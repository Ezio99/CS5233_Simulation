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rena_64\Model\Assignment 1\Question 2\Task a\"/>
    </mc:Choice>
  </mc:AlternateContent>
  <xr:revisionPtr revIDLastSave="0" documentId="13_ncr:1_{CFE92C13-F225-4791-9913-D3D02570BC58}" xr6:coauthVersionLast="47" xr6:coauthVersionMax="47" xr10:uidLastSave="{00000000-0000-0000-0000-000000000000}"/>
  <bookViews>
    <workbookView xWindow="-110" yWindow="-110" windowWidth="25820" windowHeight="139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ContinuousTimeStatsByRep!$A$1:$L$12</definedName>
    <definedName name="ExternalData_1" localSheetId="4" hidden="1">CounterStatsByRep!$A$1:$G$3</definedName>
    <definedName name="ExternalData_1" localSheetId="2" hidden="1">DiscreteTimeStatsByRep!$A$1:$K$15</definedName>
    <definedName name="ExternalData_1" localSheetId="6" hidden="1">FrequencyStatsByRep!$A$1:$J$2</definedName>
    <definedName name="ExternalData_1" localSheetId="5" hidden="1">OutputStatsByRep!$A$1:$H$10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L2" i="20" s="1" a="1"/>
  <c r="L2" i="20" s="1"/>
  <c r="I4" i="20"/>
  <c r="I5" i="20"/>
  <c r="I6" i="20"/>
  <c r="I7" i="20"/>
  <c r="O2" i="20" s="1" a="1"/>
  <c r="O2" i="20" s="1"/>
  <c r="I8" i="20"/>
  <c r="I9" i="20"/>
  <c r="I10" i="20"/>
  <c r="L7" i="20" s="1" a="1"/>
  <c r="L7" i="20" s="1"/>
  <c r="J2" i="20" a="1"/>
  <c r="J2" i="20"/>
  <c r="J3" i="20" a="1"/>
  <c r="J3" i="20"/>
  <c r="J4" i="20" a="1"/>
  <c r="J4" i="20"/>
  <c r="J5" i="20" a="1"/>
  <c r="J5" i="20" s="1"/>
  <c r="J6" i="20" a="1"/>
  <c r="J6" i="20"/>
  <c r="J7" i="20" a="1"/>
  <c r="J7" i="20"/>
  <c r="J8" i="20" a="1"/>
  <c r="J8" i="20" s="1"/>
  <c r="J9" i="20" a="1"/>
  <c r="J9" i="20" s="1"/>
  <c r="J10" i="20" a="1"/>
  <c r="J10" i="20"/>
  <c r="K2" i="20" a="1"/>
  <c r="K2" i="20" s="1"/>
  <c r="K3" i="20" a="1"/>
  <c r="K3" i="20" s="1"/>
  <c r="K4" i="20" a="1"/>
  <c r="K4" i="20" s="1"/>
  <c r="K9" i="20" a="1"/>
  <c r="K9" i="20" s="1"/>
  <c r="K10" i="20" a="1"/>
  <c r="K10" i="20" s="1"/>
  <c r="M2" i="20" a="1"/>
  <c r="M2" i="20" s="1"/>
  <c r="M3" i="20" a="1"/>
  <c r="M3" i="20" s="1"/>
  <c r="M4" i="20" a="1"/>
  <c r="M4" i="20"/>
  <c r="M5" i="20" a="1"/>
  <c r="M5" i="20"/>
  <c r="M6" i="20" a="1"/>
  <c r="M6" i="20"/>
  <c r="M7" i="20" a="1"/>
  <c r="M7" i="20"/>
  <c r="N7" i="20" s="1"/>
  <c r="M8" i="20" a="1"/>
  <c r="M8" i="20" s="1"/>
  <c r="M9" i="20" a="1"/>
  <c r="M9" i="20" s="1"/>
  <c r="M10" i="20" a="1"/>
  <c r="M10" i="20" s="1"/>
  <c r="O10" i="20" a="1"/>
  <c r="O10" i="20" s="1"/>
  <c r="P2" i="20" a="1"/>
  <c r="P2" i="20" s="1"/>
  <c r="P3" i="20" a="1"/>
  <c r="P3" i="20" s="1"/>
  <c r="P8" i="20" a="1"/>
  <c r="P8" i="20" s="1"/>
  <c r="P9" i="20" a="1"/>
  <c r="P9" i="20" s="1"/>
  <c r="H2" i="19"/>
  <c r="H3" i="19"/>
  <c r="I2" i="19" a="1"/>
  <c r="I2" i="19" s="1"/>
  <c r="I3" i="19" a="1"/>
  <c r="I3" i="19" s="1"/>
  <c r="J2" i="19" a="1"/>
  <c r="J2" i="19" s="1"/>
  <c r="J3" i="19" a="1"/>
  <c r="J3" i="19" s="1"/>
  <c r="K2" i="19" a="1"/>
  <c r="K2" i="19" s="1"/>
  <c r="K3" i="19" a="1"/>
  <c r="K3" i="19" s="1"/>
  <c r="L2" i="19" a="1"/>
  <c r="L2" i="19" s="1"/>
  <c r="L3" i="19" a="1"/>
  <c r="L3" i="19" s="1"/>
  <c r="N2" i="19" a="1"/>
  <c r="N2" i="19" s="1"/>
  <c r="N3" i="19" a="1"/>
  <c r="N3" i="19" s="1"/>
  <c r="O2" i="19" a="1"/>
  <c r="O2" i="19" s="1"/>
  <c r="O3" i="19" a="1"/>
  <c r="O3" i="19" s="1"/>
  <c r="M2" i="18"/>
  <c r="M3" i="18"/>
  <c r="M4" i="18"/>
  <c r="M5" i="18"/>
  <c r="M6" i="18"/>
  <c r="P5" i="18" s="1" a="1"/>
  <c r="P5" i="18" s="1"/>
  <c r="M7" i="18"/>
  <c r="M8" i="18"/>
  <c r="M9" i="18"/>
  <c r="M10" i="18"/>
  <c r="T10" i="18" s="1" a="1"/>
  <c r="T10" i="18" s="1"/>
  <c r="M11" i="18"/>
  <c r="M12" i="18"/>
  <c r="S12" i="18" s="1" a="1"/>
  <c r="S12" i="18" s="1"/>
  <c r="N2" i="18" a="1"/>
  <c r="N2" i="18"/>
  <c r="N3" i="18" a="1"/>
  <c r="N3" i="18"/>
  <c r="N4" i="18" a="1"/>
  <c r="N4" i="18" s="1"/>
  <c r="N5" i="18" a="1"/>
  <c r="N5" i="18"/>
  <c r="N6" i="18" a="1"/>
  <c r="N6" i="18"/>
  <c r="N7" i="18" a="1"/>
  <c r="N7" i="18" s="1"/>
  <c r="N8" i="18" a="1"/>
  <c r="N8" i="18"/>
  <c r="U8" i="18" s="1"/>
  <c r="N9" i="18" a="1"/>
  <c r="N9" i="18"/>
  <c r="U9" i="18" s="1"/>
  <c r="N10" i="18" a="1"/>
  <c r="N10" i="18"/>
  <c r="U10" i="18" s="1"/>
  <c r="N11" i="18" a="1"/>
  <c r="N11" i="18"/>
  <c r="U11" i="18" s="1"/>
  <c r="N12" i="18" a="1"/>
  <c r="N12" i="18" s="1"/>
  <c r="O7" i="18" a="1"/>
  <c r="O7" i="18" s="1"/>
  <c r="Q2" i="18" a="1"/>
  <c r="Q2" i="18"/>
  <c r="Q3" i="18" a="1"/>
  <c r="Q3" i="18" s="1"/>
  <c r="Q4" i="18" a="1"/>
  <c r="Q4" i="18"/>
  <c r="Q5" i="18" a="1"/>
  <c r="Q5" i="18"/>
  <c r="Q6" i="18" a="1"/>
  <c r="Q6" i="18" s="1"/>
  <c r="Q7" i="18" a="1"/>
  <c r="Q7" i="18"/>
  <c r="Q8" i="18" a="1"/>
  <c r="Q8" i="18"/>
  <c r="Q9" i="18" a="1"/>
  <c r="Q9" i="18" s="1"/>
  <c r="Q10" i="18" a="1"/>
  <c r="Q10" i="18"/>
  <c r="Q11" i="18" a="1"/>
  <c r="Q11" i="18" s="1"/>
  <c r="Q12" i="18" a="1"/>
  <c r="Q12" i="18"/>
  <c r="S2" i="18" a="1"/>
  <c r="S2" i="18" s="1"/>
  <c r="S5" i="18" a="1"/>
  <c r="S5" i="18" s="1"/>
  <c r="S9" i="18" a="1"/>
  <c r="S9" i="18" s="1"/>
  <c r="U5" i="18"/>
  <c r="U6" i="18"/>
  <c r="L2" i="17"/>
  <c r="L3" i="17"/>
  <c r="L4" i="17"/>
  <c r="L5" i="17"/>
  <c r="L6" i="17"/>
  <c r="L7" i="17"/>
  <c r="O7" i="17" s="1" a="1"/>
  <c r="O7" i="17" s="1"/>
  <c r="L8" i="17"/>
  <c r="L9" i="17"/>
  <c r="L10" i="17"/>
  <c r="L11" i="17"/>
  <c r="L12" i="17"/>
  <c r="L13" i="17"/>
  <c r="L14" i="17"/>
  <c r="O14" i="17" s="1" a="1"/>
  <c r="O14" i="17" s="1"/>
  <c r="L15" i="17"/>
  <c r="S15" i="17" s="1" a="1"/>
  <c r="S15" i="17" s="1"/>
  <c r="M2" i="17" a="1"/>
  <c r="M2" i="17"/>
  <c r="M3" i="17" a="1"/>
  <c r="M3" i="17" s="1"/>
  <c r="M4" i="17" a="1"/>
  <c r="M4" i="17" s="1"/>
  <c r="W4" i="17" s="1"/>
  <c r="M5" i="17" a="1"/>
  <c r="M5" i="17" s="1"/>
  <c r="M6" i="17" a="1"/>
  <c r="M6" i="17" s="1"/>
  <c r="M7" i="17" a="1"/>
  <c r="M7" i="17"/>
  <c r="W7" i="17" s="1"/>
  <c r="M8" i="17" a="1"/>
  <c r="M8" i="17"/>
  <c r="W8" i="17" s="1"/>
  <c r="M9" i="17" a="1"/>
  <c r="M9" i="17"/>
  <c r="W9" i="17" s="1"/>
  <c r="M10" i="17" a="1"/>
  <c r="M10" i="17"/>
  <c r="W10" i="17" s="1"/>
  <c r="M11" i="17" a="1"/>
  <c r="M11" i="17" s="1"/>
  <c r="M12" i="17" a="1"/>
  <c r="M12" i="17" s="1"/>
  <c r="W12" i="17" s="1"/>
  <c r="M13" i="17" a="1"/>
  <c r="M13" i="17" s="1"/>
  <c r="M14" i="17" a="1"/>
  <c r="M14" i="17" s="1"/>
  <c r="W14" i="17" s="1"/>
  <c r="M15" i="17" a="1"/>
  <c r="M15" i="17" s="1"/>
  <c r="W15" i="17" s="1"/>
  <c r="P2" i="17" a="1"/>
  <c r="P2" i="17"/>
  <c r="P3" i="17" a="1"/>
  <c r="P3" i="17" s="1"/>
  <c r="P4" i="17" a="1"/>
  <c r="P4" i="17"/>
  <c r="P5" i="17" a="1"/>
  <c r="P5" i="17"/>
  <c r="P6" i="17" a="1"/>
  <c r="P6" i="17"/>
  <c r="P7" i="17" a="1"/>
  <c r="P7" i="17"/>
  <c r="P8" i="17" a="1"/>
  <c r="P8" i="17" s="1"/>
  <c r="P9" i="17" a="1"/>
  <c r="P9" i="17" s="1"/>
  <c r="P10" i="17" a="1"/>
  <c r="P10" i="17" s="1"/>
  <c r="P11" i="17" a="1"/>
  <c r="P11" i="17" s="1"/>
  <c r="P12" i="17" a="1"/>
  <c r="P12" i="17"/>
  <c r="P13" i="17" a="1"/>
  <c r="P13" i="17"/>
  <c r="P14" i="17" a="1"/>
  <c r="P14" i="17"/>
  <c r="P15" i="17" a="1"/>
  <c r="P15" i="17" s="1"/>
  <c r="R4" i="17" a="1"/>
  <c r="R4" i="17" s="1"/>
  <c r="R11" i="17" a="1"/>
  <c r="R11" i="17" s="1"/>
  <c r="G2" i="16"/>
  <c r="N2" i="20" l="1"/>
  <c r="O8" i="20" a="1"/>
  <c r="O8" i="20" s="1"/>
  <c r="O6" i="20" a="1"/>
  <c r="O6" i="20" s="1"/>
  <c r="O9" i="20" a="1"/>
  <c r="O9" i="20" s="1"/>
  <c r="P6" i="20" a="1"/>
  <c r="P6" i="20" s="1"/>
  <c r="L10" i="20" a="1"/>
  <c r="L10" i="20" s="1"/>
  <c r="L9" i="20" a="1"/>
  <c r="L9" i="20" s="1"/>
  <c r="O5" i="20" a="1"/>
  <c r="O5" i="20" s="1"/>
  <c r="O4" i="20" a="1"/>
  <c r="O4" i="20" s="1"/>
  <c r="N9" i="20"/>
  <c r="L8" i="20" a="1"/>
  <c r="L8" i="20" s="1"/>
  <c r="N8" i="20" s="1"/>
  <c r="L3" i="20" a="1"/>
  <c r="L3" i="20" s="1"/>
  <c r="N3" i="20" s="1"/>
  <c r="N10" i="20"/>
  <c r="O3" i="20" a="1"/>
  <c r="O3" i="20" s="1"/>
  <c r="P10" i="20" a="1"/>
  <c r="P10" i="20" s="1"/>
  <c r="P7" i="20" a="1"/>
  <c r="P7" i="20" s="1"/>
  <c r="L6" i="20" a="1"/>
  <c r="L6" i="20" s="1"/>
  <c r="N6" i="20" s="1"/>
  <c r="K7" i="20" a="1"/>
  <c r="K7" i="20" s="1"/>
  <c r="L5" i="20" a="1"/>
  <c r="L5" i="20" s="1"/>
  <c r="N5" i="20" s="1"/>
  <c r="K6" i="20" a="1"/>
  <c r="K6" i="20" s="1"/>
  <c r="K8" i="20" a="1"/>
  <c r="K8" i="20" s="1"/>
  <c r="O7" i="20" a="1"/>
  <c r="O7" i="20" s="1"/>
  <c r="P5" i="20" a="1"/>
  <c r="P5" i="20" s="1"/>
  <c r="L4" i="20" a="1"/>
  <c r="L4" i="20" s="1"/>
  <c r="N4" i="20" s="1"/>
  <c r="K5" i="20" a="1"/>
  <c r="K5" i="20" s="1"/>
  <c r="P4" i="20" a="1"/>
  <c r="P4" i="20" s="1"/>
  <c r="M2" i="19"/>
  <c r="M3" i="19"/>
  <c r="T8" i="18" a="1"/>
  <c r="T8" i="18" s="1"/>
  <c r="P12" i="18" a="1"/>
  <c r="P12" i="18" s="1"/>
  <c r="T7" i="18" a="1"/>
  <c r="T7" i="18" s="1"/>
  <c r="S11" i="18" a="1"/>
  <c r="S11" i="18" s="1"/>
  <c r="S4" i="18" a="1"/>
  <c r="S4" i="18" s="1"/>
  <c r="P9" i="18" a="1"/>
  <c r="P9" i="18" s="1"/>
  <c r="O11" i="18" a="1"/>
  <c r="O11" i="18" s="1"/>
  <c r="T2" i="18" a="1"/>
  <c r="T2" i="18" s="1"/>
  <c r="O9" i="18" a="1"/>
  <c r="O9" i="18" s="1"/>
  <c r="P7" i="18" a="1"/>
  <c r="P7" i="18" s="1"/>
  <c r="R7" i="18" s="1"/>
  <c r="O10" i="18" a="1"/>
  <c r="O10" i="18" s="1"/>
  <c r="T6" i="18" a="1"/>
  <c r="T6" i="18" s="1"/>
  <c r="S3" i="18" a="1"/>
  <c r="S3" i="18" s="1"/>
  <c r="P6" i="18" a="1"/>
  <c r="P6" i="18" s="1"/>
  <c r="R6" i="18" s="1"/>
  <c r="P4" i="18" a="1"/>
  <c r="P4" i="18" s="1"/>
  <c r="R4" i="18" s="1"/>
  <c r="S10" i="18" a="1"/>
  <c r="S10" i="18" s="1"/>
  <c r="O8" i="18" a="1"/>
  <c r="O8" i="18" s="1"/>
  <c r="U12" i="18"/>
  <c r="R12" i="18"/>
  <c r="R9" i="18"/>
  <c r="U4" i="18"/>
  <c r="R5" i="18"/>
  <c r="R2" i="18"/>
  <c r="U7" i="18"/>
  <c r="U3" i="18"/>
  <c r="R10" i="18"/>
  <c r="U2" i="18"/>
  <c r="S8" i="18" a="1"/>
  <c r="S8" i="18" s="1"/>
  <c r="P3" i="18" a="1"/>
  <c r="P3" i="18" s="1"/>
  <c r="R3" i="18" s="1"/>
  <c r="O6" i="18" a="1"/>
  <c r="O6" i="18" s="1"/>
  <c r="T12" i="18" a="1"/>
  <c r="T12" i="18" s="1"/>
  <c r="T4" i="18" a="1"/>
  <c r="T4" i="18" s="1"/>
  <c r="P2" i="18" a="1"/>
  <c r="P2" i="18" s="1"/>
  <c r="T3" i="18" a="1"/>
  <c r="T3" i="18" s="1"/>
  <c r="S6" i="18" a="1"/>
  <c r="S6" i="18" s="1"/>
  <c r="T5" i="18" a="1"/>
  <c r="T5" i="18" s="1"/>
  <c r="P11" i="18" a="1"/>
  <c r="P11" i="18" s="1"/>
  <c r="S7" i="18" a="1"/>
  <c r="S7" i="18" s="1"/>
  <c r="P10" i="18" a="1"/>
  <c r="P10" i="18" s="1"/>
  <c r="O5" i="18" a="1"/>
  <c r="O5" i="18" s="1"/>
  <c r="T11" i="18" a="1"/>
  <c r="T11" i="18" s="1"/>
  <c r="O12" i="18" a="1"/>
  <c r="O12" i="18" s="1"/>
  <c r="O4" i="18" a="1"/>
  <c r="O4" i="18" s="1"/>
  <c r="R11" i="18"/>
  <c r="P8" i="18" a="1"/>
  <c r="P8" i="18" s="1"/>
  <c r="R8" i="18" s="1"/>
  <c r="T9" i="18" a="1"/>
  <c r="T9" i="18" s="1"/>
  <c r="O2" i="18" a="1"/>
  <c r="O2" i="18" s="1"/>
  <c r="O3" i="18" a="1"/>
  <c r="O3" i="18" s="1"/>
  <c r="V11" i="17" a="1"/>
  <c r="V11" i="17" s="1"/>
  <c r="N4" i="17" a="1"/>
  <c r="N4" i="17" s="1"/>
  <c r="V12" i="17" a="1"/>
  <c r="V12" i="17" s="1"/>
  <c r="X6" i="17" a="1"/>
  <c r="X6" i="17" s="1"/>
  <c r="T7" i="17" a="1"/>
  <c r="T7" i="17" s="1"/>
  <c r="X7" i="17" a="1"/>
  <c r="X7" i="17" s="1"/>
  <c r="O6" i="17" a="1"/>
  <c r="O6" i="17" s="1"/>
  <c r="N5" i="17" a="1"/>
  <c r="N5" i="17" s="1"/>
  <c r="U10" i="17" a="1"/>
  <c r="U10" i="17" s="1"/>
  <c r="U9" i="17" a="1"/>
  <c r="U9" i="17" s="1"/>
  <c r="Y6" i="17"/>
  <c r="Q6" i="17" s="1"/>
  <c r="W6" i="17"/>
  <c r="V13" i="17" a="1"/>
  <c r="V13" i="17" s="1"/>
  <c r="T15" i="17" a="1"/>
  <c r="T15" i="17" s="1"/>
  <c r="S14" i="17" a="1"/>
  <c r="S14" i="17" s="1"/>
  <c r="N13" i="17" a="1"/>
  <c r="N13" i="17" s="1"/>
  <c r="N12" i="17" a="1"/>
  <c r="N12" i="17" s="1"/>
  <c r="N6" i="17" a="1"/>
  <c r="N6" i="17" s="1"/>
  <c r="S6" i="17" a="1"/>
  <c r="S6" i="17" s="1"/>
  <c r="O8" i="17" a="1"/>
  <c r="O8" i="17" s="1"/>
  <c r="U2" i="17" a="1"/>
  <c r="U2" i="17" s="1"/>
  <c r="U12" i="17" a="1"/>
  <c r="U12" i="17" s="1"/>
  <c r="O10" i="17" a="1"/>
  <c r="O10" i="17" s="1"/>
  <c r="V4" i="17" a="1"/>
  <c r="V4" i="17" s="1"/>
  <c r="N14" i="17" a="1"/>
  <c r="N14" i="17" s="1"/>
  <c r="U11" i="17" a="1"/>
  <c r="U11" i="17" s="1"/>
  <c r="S13" i="17" a="1"/>
  <c r="S13" i="17" s="1"/>
  <c r="X15" i="17" a="1"/>
  <c r="X15" i="17" s="1"/>
  <c r="Y15" i="17" s="1"/>
  <c r="S5" i="17" a="1"/>
  <c r="S5" i="17" s="1"/>
  <c r="O15" i="17" a="1"/>
  <c r="O15" i="17" s="1"/>
  <c r="R3" i="17" a="1"/>
  <c r="R3" i="17" s="1"/>
  <c r="T8" i="17" a="1"/>
  <c r="T8" i="17" s="1"/>
  <c r="T9" i="17" a="1"/>
  <c r="T9" i="17" s="1"/>
  <c r="X14" i="17" a="1"/>
  <c r="X14" i="17" s="1"/>
  <c r="Y14" i="17" s="1"/>
  <c r="Q14" i="17" s="1"/>
  <c r="V3" i="17" a="1"/>
  <c r="V3" i="17" s="1"/>
  <c r="R12" i="17" a="1"/>
  <c r="R12" i="17" s="1"/>
  <c r="Y7" i="17"/>
  <c r="Q7" i="17" s="1"/>
  <c r="W11" i="17"/>
  <c r="W5" i="17"/>
  <c r="Y13" i="17"/>
  <c r="Q13" i="17" s="1"/>
  <c r="W13" i="17"/>
  <c r="W3" i="17"/>
  <c r="V10" i="17" a="1"/>
  <c r="V10" i="17" s="1"/>
  <c r="V2" i="17" a="1"/>
  <c r="V2" i="17" s="1"/>
  <c r="T14" i="17" a="1"/>
  <c r="T14" i="17" s="1"/>
  <c r="R2" i="17" a="1"/>
  <c r="R2" i="17" s="1"/>
  <c r="O5" i="17" a="1"/>
  <c r="O5" i="17" s="1"/>
  <c r="U7" i="17" a="1"/>
  <c r="U7" i="17" s="1"/>
  <c r="T13" i="17" a="1"/>
  <c r="T13" i="17" s="1"/>
  <c r="R9" i="17" a="1"/>
  <c r="R9" i="17" s="1"/>
  <c r="O4" i="17" a="1"/>
  <c r="O4" i="17" s="1"/>
  <c r="V8" i="17" a="1"/>
  <c r="V8" i="17" s="1"/>
  <c r="U14" i="17" a="1"/>
  <c r="U14" i="17" s="1"/>
  <c r="T4" i="17" a="1"/>
  <c r="T4" i="17" s="1"/>
  <c r="S2" i="17" a="1"/>
  <c r="S2" i="17" s="1"/>
  <c r="O3" i="17" a="1"/>
  <c r="O3" i="17" s="1"/>
  <c r="X10" i="17" a="1"/>
  <c r="X10" i="17" s="1"/>
  <c r="Y10" i="17" s="1"/>
  <c r="Q10" i="17" s="1"/>
  <c r="V7" i="17" a="1"/>
  <c r="V7" i="17" s="1"/>
  <c r="U13" i="17" a="1"/>
  <c r="U13" i="17" s="1"/>
  <c r="U5" i="17" a="1"/>
  <c r="U5" i="17" s="1"/>
  <c r="T11" i="17" a="1"/>
  <c r="T11" i="17" s="1"/>
  <c r="R7" i="17" a="1"/>
  <c r="R7" i="17" s="1"/>
  <c r="N8" i="17" a="1"/>
  <c r="N8" i="17" s="1"/>
  <c r="X13" i="17" a="1"/>
  <c r="X13" i="17" s="1"/>
  <c r="U8" i="17" a="1"/>
  <c r="U8" i="17" s="1"/>
  <c r="S4" i="17" a="1"/>
  <c r="S4" i="17" s="1"/>
  <c r="N3" i="17" a="1"/>
  <c r="N3" i="17" s="1"/>
  <c r="V9" i="17" a="1"/>
  <c r="V9" i="17" s="1"/>
  <c r="S11" i="17" a="1"/>
  <c r="S11" i="17" s="1"/>
  <c r="N10" i="17" a="1"/>
  <c r="N10" i="17" s="1"/>
  <c r="X11" i="17" a="1"/>
  <c r="X11" i="17" s="1"/>
  <c r="Y11" i="17" s="1"/>
  <c r="U6" i="17" a="1"/>
  <c r="U6" i="17" s="1"/>
  <c r="T12" i="17" a="1"/>
  <c r="T12" i="17" s="1"/>
  <c r="S10" i="17" a="1"/>
  <c r="S10" i="17" s="1"/>
  <c r="R8" i="17" a="1"/>
  <c r="R8" i="17" s="1"/>
  <c r="O11" i="17" a="1"/>
  <c r="O11" i="17" s="1"/>
  <c r="N9" i="17" a="1"/>
  <c r="N9" i="17" s="1"/>
  <c r="X2" i="17" a="1"/>
  <c r="X2" i="17" s="1"/>
  <c r="Y2" i="17" s="1"/>
  <c r="Q2" i="17" s="1"/>
  <c r="V15" i="17" a="1"/>
  <c r="V15" i="17" s="1"/>
  <c r="T3" i="17" a="1"/>
  <c r="T3" i="17" s="1"/>
  <c r="S9" i="17" a="1"/>
  <c r="S9" i="17" s="1"/>
  <c r="R15" i="17" a="1"/>
  <c r="R15" i="17" s="1"/>
  <c r="O2" i="17" a="1"/>
  <c r="O2" i="17" s="1"/>
  <c r="S12" i="17" a="1"/>
  <c r="S12" i="17" s="1"/>
  <c r="O13" i="17" a="1"/>
  <c r="O13" i="17" s="1"/>
  <c r="N11" i="17" a="1"/>
  <c r="N11" i="17" s="1"/>
  <c r="X4" i="17" a="1"/>
  <c r="X4" i="17" s="1"/>
  <c r="Y4" i="17" s="1"/>
  <c r="Q4" i="17" s="1"/>
  <c r="U15" i="17" a="1"/>
  <c r="U15" i="17" s="1"/>
  <c r="S3" i="17" a="1"/>
  <c r="S3" i="17" s="1"/>
  <c r="O12" i="17" a="1"/>
  <c r="O12" i="17" s="1"/>
  <c r="X3" i="17" a="1"/>
  <c r="X3" i="17" s="1"/>
  <c r="Y3" i="17" s="1"/>
  <c r="W2" i="17"/>
  <c r="V14" i="17" a="1"/>
  <c r="V14" i="17" s="1"/>
  <c r="U4" i="17" a="1"/>
  <c r="U4" i="17" s="1"/>
  <c r="T2" i="17" a="1"/>
  <c r="T2" i="17" s="1"/>
  <c r="R14" i="17" a="1"/>
  <c r="R14" i="17" s="1"/>
  <c r="N7" i="17" a="1"/>
  <c r="N7" i="17" s="1"/>
  <c r="U3" i="17" a="1"/>
  <c r="U3" i="17" s="1"/>
  <c r="S7" i="17" a="1"/>
  <c r="S7" i="17" s="1"/>
  <c r="R13" i="17" a="1"/>
  <c r="R13" i="17" s="1"/>
  <c r="R5" i="17" a="1"/>
  <c r="R5" i="17" s="1"/>
  <c r="X5" i="17" a="1"/>
  <c r="X5" i="17" s="1"/>
  <c r="Y5" i="17" s="1"/>
  <c r="T6" i="17" a="1"/>
  <c r="T6" i="17" s="1"/>
  <c r="R10" i="17" a="1"/>
  <c r="R10" i="17" s="1"/>
  <c r="X12" i="17" a="1"/>
  <c r="X12" i="17" s="1"/>
  <c r="Y12" i="17" s="1"/>
  <c r="T5" i="17" a="1"/>
  <c r="T5" i="17" s="1"/>
  <c r="N2" i="17" a="1"/>
  <c r="N2" i="17" s="1"/>
  <c r="X9" i="17" a="1"/>
  <c r="X9" i="17" s="1"/>
  <c r="Y9" i="17" s="1"/>
  <c r="V6" i="17" a="1"/>
  <c r="V6" i="17" s="1"/>
  <c r="T10" i="17" a="1"/>
  <c r="T10" i="17" s="1"/>
  <c r="S8" i="17" a="1"/>
  <c r="S8" i="17" s="1"/>
  <c r="R6" i="17" a="1"/>
  <c r="R6" i="17" s="1"/>
  <c r="O9" i="17" a="1"/>
  <c r="O9" i="17" s="1"/>
  <c r="N15" i="17" a="1"/>
  <c r="N15" i="17" s="1"/>
  <c r="X8" i="17" a="1"/>
  <c r="X8" i="17" s="1"/>
  <c r="Y8" i="17" s="1"/>
  <c r="Q8" i="17" s="1"/>
  <c r="V5" i="17" a="1"/>
  <c r="V5" i="17" s="1"/>
  <c r="Q5" i="17" l="1"/>
  <c r="Q11" i="17"/>
  <c r="Q9" i="17"/>
  <c r="Q3" i="17"/>
  <c r="Q15" i="17"/>
  <c r="Q1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d:\arena_64\model\assignment 1\question 2\task a\question_2_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d:\arena_64\model\assignment 1\question 2\task a\question_2_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d:\arena_64\model\assignment 1\question 2\task a\question_2_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d:\arena_64\model\assignment 1\question 2\task a\question_2_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d:\arena_64\model\assignment 1\question 2\task a\question_2_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d:\arena_64\model\assignment 1\question 2\task a\question_2_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<sst xmlns="http://schemas.openxmlformats.org/spreadsheetml/2006/main" count="438" uniqueCount="111">
  <si>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</si>
  <si>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</si>
  <si>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</si>
  <si>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</si>
  <si>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</si>
  <si>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</si>
  <si>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</si>
  <si>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</si>
  <si>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</si>
  <si>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</si>
  <si>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</si>
  <si>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</si>
  <si>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</si>
  <si>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</si>
  <si>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</si>
  <si>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</si>
  <si>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</si>
  <si>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</si>
  <si>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</si>
  <si>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</si>
  <si>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</si>
  <si>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</si>
  <si>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</si>
  <si>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</si>
  <si>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</si>
  <si>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</si>
  <si>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</si>
  <si>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</si>
  <si>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</si>
  <si>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</si>
  <si>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</si>
  <si>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</si>
  <si>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</si>
  <si>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</si>
  <si>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</si>
  <si>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</si>
  <si>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</si>
  <si>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</si>
  <si>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</si>
  <si>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</si>
  <si>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</si>
  <si>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</si>
  <si>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</si>
  <si>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</si>
  <si>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</si>
  <si>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</si>
  <si>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</si>
  <si>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</si>
  <si>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</si>
  <si>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</si>
  <si>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</si>
  <si>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</si>
  <si>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</si>
  <si>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</si>
  <si>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</si>
  <si>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</si>
  <si>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</si>
  <si>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</si>
  <si>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</si>
  <si>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</si>
  <si>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</si>
  <si>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</si>
  <si>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</si>
  <si>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</si>
  <si>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</si>
  <si>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</si>
  <si>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</si>
  <si>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</si>
  <si>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D:\Arena_64\Model\Assignment 1\Question 2\Task a\Question_2_a.p</t>
  </si>
  <si>
    <t>2025-02-16 16:21:30</t>
  </si>
  <si>
    <t>CallA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</si>
  <si>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</si>
  <si>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</si>
  <si>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</si>
  <si>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</si>
  <si>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</si>
  <si>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</si>
  <si>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</si>
  <si>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CallB</t>
  </si>
  <si>
    <t>Process A to B.Queue</t>
  </si>
  <si>
    <t>Waiting Time</t>
  </si>
  <si>
    <t>Queue</t>
  </si>
  <si>
    <t>Process B to A.Queue</t>
  </si>
  <si>
    <t>AChannels</t>
  </si>
  <si>
    <t>Instantaneous Utilization</t>
  </si>
  <si>
    <t>Resource</t>
  </si>
  <si>
    <t>Number Busy</t>
  </si>
  <si>
    <t>Number Scheduled</t>
  </si>
  <si>
    <t>BChannels</t>
  </si>
  <si>
    <t>WIP</t>
  </si>
  <si>
    <t>Number Waiting</t>
  </si>
  <si>
    <t>TotalChannels</t>
  </si>
  <si>
    <t>Variable</t>
  </si>
  <si>
    <t>User Specified</t>
  </si>
  <si>
    <t>ACallsBlocked</t>
  </si>
  <si>
    <t>Count</t>
  </si>
  <si>
    <t>BCallsBlocked</t>
  </si>
  <si>
    <t>AChannels.NumberSeized</t>
  </si>
  <si>
    <t>Total Number Seized</t>
  </si>
  <si>
    <t>AChannels.ScheduledUtilization</t>
  </si>
  <si>
    <t>Scheduled Utilization</t>
  </si>
  <si>
    <t>BChannels.NumberSeized</t>
  </si>
  <si>
    <t>BChannels.ScheduledUtilization</t>
  </si>
  <si>
    <t>CallA.NumberIn</t>
  </si>
  <si>
    <t>Number In</t>
  </si>
  <si>
    <t>CallA.NumberOut</t>
  </si>
  <si>
    <t>Number Out</t>
  </si>
  <si>
    <t>CallB.NumberIn</t>
  </si>
  <si>
    <t>CallB.NumberOut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</si>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</sst>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81658680558" createdVersion="7" refreshedVersion="8" minRefreshableVersion="3" recordCount="1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3">
        <s v="CallA"/>
        <s v="CallB"/>
        <s v="Process A to B.Queue"/>
        <s v="Process B to A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.33718741308411E-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0.74734119982299396"/>
    </cacheField>
    <cacheField name="NumberObservations" numFmtId="0">
      <sharedItems containsSemiMixedTypes="0" containsString="0" containsNumber="1" containsInteger="1" minValue="5605" maxValue="70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8.33718741308411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8.33718741308411E-2"/>
    </cacheField>
    <cacheField name="MaximumAverage" numFmtId="0">
      <sharedItems containsSemiMixedTypes="0" containsString="0" containsNumber="1" minValue="0" maxValue="8.33718741308411E-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0.74734119982299396"/>
    </cacheField>
    <cacheField name="AverageNumberObservations" numFmtId="0">
      <sharedItems containsSemiMixedTypes="0" containsString="0" containsNumber="1" containsInteger="1" minValue="5605" maxValue="7000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81658796297" createdVersion="7" refreshedVersion="8" minRefreshableVersion="3" recordCount="9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7">
        <s v="AChannels.NumberSeized"/>
        <s v="AChannels.ScheduledUtilization"/>
        <s v="BChannels.NumberSeized"/>
        <s v="BChannels.ScheduledUtilization"/>
        <s v="CallA.NumberIn"/>
        <s v="CallA.NumberOut"/>
        <s v="CallB.NumberIn"/>
        <s v="CallB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7699709205709901" maxValue="127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67699709205709901" maxValue="127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67699709205709901" maxValue="12700"/>
    </cacheField>
    <cacheField name="Maximum" numFmtId="0">
      <sharedItems containsSemiMixedTypes="0" containsString="0" containsNumber="1" minValue="0.67699709205709901" maxValue="1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81658796297" createdVersion="7" refreshedVersion="8" minRefreshableVersion="3" recordCount="2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6">
        <s v="ACallsBlocked"/>
        <s v="BCallsBlocked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95" maxValue="51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95" maxValue="516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95" maxValue="516"/>
    </cacheField>
    <cacheField name="Maximum" numFmtId="0">
      <sharedItems containsSemiMixedTypes="0" containsString="0" containsNumber="1" containsInteger="1" minValue="95" maxValue="5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81658912035" createdVersion="7" refreshedVersion="8" minRefreshableVersion="3" recordCount="1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AChannels"/>
        <s v="BChannels"/>
        <s v="CallA"/>
        <s v="CallB"/>
        <s v="Process A to B.Queue"/>
        <s v="Process B to A.Queue"/>
        <s v="TotalChannel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8">
        <s v="Instantaneous Utilization"/>
        <s v="Number Busy"/>
        <s v="Number Scheduled"/>
        <s v="WIP"/>
        <s v="Number Waiting"/>
        <s v="Variable"/>
        <m u="1"/>
        <s v="Levels" u="1"/>
      </sharedItems>
    </cacheField>
    <cacheField name="Source" numFmtId="0">
      <sharedItems containsBlank="1" count="5">
        <s v="Resource"/>
        <s v="Entity"/>
        <s v="Queue"/>
        <s v="User Specified"/>
        <m u="1"/>
      </sharedItems>
    </cacheField>
    <cacheField name="Average" numFmtId="0">
      <sharedItems containsSemiMixedTypes="0" containsString="0" containsNumber="1" minValue="0" maxValue="58"/>
    </cacheField>
    <cacheField name="BatchMeansHalfWidth" numFmtId="0">
      <sharedItems containsSemiMixedTypes="0" containsString="0" containsNumber="1" minValue="2.27962280109241E-2" maxValue="3E+20"/>
    </cacheField>
    <cacheField name="Minimum" numFmtId="0">
      <sharedItems containsSemiMixedTypes="0" containsString="0" containsNumber="1" containsInteger="1" minValue="0" maxValue="58"/>
    </cacheField>
    <cacheField name="Maximum" numFmtId="0">
      <sharedItems containsSemiMixedTypes="0" containsString="0" containsNumber="1" containsInteger="1" minValue="0" maxValue="58"/>
    </cacheField>
    <cacheField name="LastRecordedValue" numFmtId="0">
      <sharedItems containsSemiMixedTypes="0" containsString="0" containsNumber="1" containsInteger="1" minValue="0" maxValue="5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8"/>
    </cacheField>
    <cacheField name="MaximumAverage" numFmtId="0">
      <sharedItems containsSemiMixedTypes="0" containsString="0" containsNumber="1" minValue="0" maxValue="58"/>
    </cacheField>
    <cacheField name="SummaryHalfWidth" numFmtId="0">
      <sharedItems containsSemiMixedTypes="0" containsString="0" containsNumber="1" minValue="2.27962280109241E-2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81658912035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5-02-16 16:21:30"/>
    <n v="1"/>
    <x v="0"/>
    <x v="0"/>
    <x v="0"/>
    <n v="0"/>
    <n v="0"/>
    <n v="0"/>
    <n v="0"/>
    <n v="7000"/>
    <s v="Unnamed ProjectCallANVA TimeEntity"/>
    <n v="1"/>
    <n v="0"/>
    <n v="0"/>
    <n v="0.95"/>
    <n v="4E+20"/>
    <n v="0"/>
    <n v="0"/>
    <n v="0"/>
    <n v="0"/>
    <n v="7000"/>
    <n v="0"/>
    <n v="1"/>
    <n v="1"/>
  </r>
  <r>
    <x v="0"/>
    <s v="2025-02-16 16:21:30"/>
    <n v="1"/>
    <x v="0"/>
    <x v="1"/>
    <x v="0"/>
    <n v="0"/>
    <n v="0"/>
    <n v="0"/>
    <n v="0"/>
    <n v="7000"/>
    <s v="Unnamed ProjectCallAOther TimeEntity"/>
    <n v="1"/>
    <n v="0"/>
    <n v="0"/>
    <n v="0.95"/>
    <n v="4E+20"/>
    <n v="0"/>
    <n v="0"/>
    <n v="0"/>
    <n v="0"/>
    <n v="7000"/>
    <n v="0"/>
    <n v="1"/>
    <n v="1"/>
  </r>
  <r>
    <x v="0"/>
    <s v="2025-02-16 16:21:30"/>
    <n v="1"/>
    <x v="0"/>
    <x v="2"/>
    <x v="0"/>
    <n v="7.8952900654861102E-2"/>
    <n v="2.2543363107829901E-3"/>
    <n v="0"/>
    <n v="0.71949503546730798"/>
    <n v="7000"/>
    <s v="Unnamed ProjectCallATotal TimeEntity"/>
    <n v="1"/>
    <n v="7.8952900654861102E-2"/>
    <n v="0"/>
    <n v="0.95"/>
    <n v="4E+20"/>
    <n v="7.8952900654861102E-2"/>
    <n v="7.8952900654861102E-2"/>
    <n v="0"/>
    <n v="0.71949503546730798"/>
    <n v="7000"/>
    <n v="2.2543363107829901E-3"/>
    <n v="1"/>
    <n v="1"/>
  </r>
  <r>
    <x v="0"/>
    <s v="2025-02-16 16:21:30"/>
    <n v="1"/>
    <x v="0"/>
    <x v="3"/>
    <x v="0"/>
    <n v="0"/>
    <n v="0"/>
    <n v="0"/>
    <n v="0"/>
    <n v="7000"/>
    <s v="Unnamed ProjectCallATransfer TimeEntity"/>
    <n v="1"/>
    <n v="0"/>
    <n v="0"/>
    <n v="0.95"/>
    <n v="4E+20"/>
    <n v="0"/>
    <n v="0"/>
    <n v="0"/>
    <n v="0"/>
    <n v="7000"/>
    <n v="0"/>
    <n v="1"/>
    <n v="1"/>
  </r>
  <r>
    <x v="0"/>
    <s v="2025-02-16 16:21:30"/>
    <n v="1"/>
    <x v="0"/>
    <x v="4"/>
    <x v="0"/>
    <n v="7.8952900654861102E-2"/>
    <n v="2.2543363107829901E-3"/>
    <n v="0"/>
    <n v="0.71949503546730798"/>
    <n v="7000"/>
    <s v="Unnamed ProjectCallAVA TimeEntity"/>
    <n v="1"/>
    <n v="7.8952900654861102E-2"/>
    <n v="0"/>
    <n v="0.95"/>
    <n v="4E+20"/>
    <n v="7.8952900654861102E-2"/>
    <n v="7.8952900654861102E-2"/>
    <n v="0"/>
    <n v="0.71949503546730798"/>
    <n v="7000"/>
    <n v="2.2543363107829901E-3"/>
    <n v="1"/>
    <n v="1"/>
  </r>
  <r>
    <x v="0"/>
    <s v="2025-02-16 16:21:30"/>
    <n v="1"/>
    <x v="0"/>
    <x v="5"/>
    <x v="0"/>
    <n v="0"/>
    <n v="0"/>
    <n v="0"/>
    <n v="0"/>
    <n v="7000"/>
    <s v="Unnamed ProjectCallAWait TimeEntity"/>
    <n v="1"/>
    <n v="0"/>
    <n v="0"/>
    <n v="0.95"/>
    <n v="4E+20"/>
    <n v="0"/>
    <n v="0"/>
    <n v="0"/>
    <n v="0"/>
    <n v="7000"/>
    <n v="0"/>
    <n v="1"/>
    <n v="1"/>
  </r>
  <r>
    <x v="0"/>
    <s v="2025-02-16 16:21:30"/>
    <n v="1"/>
    <x v="1"/>
    <x v="0"/>
    <x v="0"/>
    <n v="0"/>
    <n v="0"/>
    <n v="0"/>
    <n v="0"/>
    <n v="5700"/>
    <s v="Unnamed ProjectCallBNVA TimeEntity"/>
    <n v="1"/>
    <n v="0"/>
    <n v="0"/>
    <n v="0.95"/>
    <n v="4E+20"/>
    <n v="0"/>
    <n v="0"/>
    <n v="0"/>
    <n v="0"/>
    <n v="5700"/>
    <n v="0"/>
    <n v="1"/>
    <n v="1"/>
  </r>
  <r>
    <x v="0"/>
    <s v="2025-02-16 16:21:30"/>
    <n v="1"/>
    <x v="1"/>
    <x v="1"/>
    <x v="0"/>
    <n v="0"/>
    <n v="0"/>
    <n v="0"/>
    <n v="0"/>
    <n v="5700"/>
    <s v="Unnamed ProjectCallBOther TimeEntity"/>
    <n v="1"/>
    <n v="0"/>
    <n v="0"/>
    <n v="0.95"/>
    <n v="4E+20"/>
    <n v="0"/>
    <n v="0"/>
    <n v="0"/>
    <n v="0"/>
    <n v="5700"/>
    <n v="0"/>
    <n v="1"/>
    <n v="1"/>
  </r>
  <r>
    <x v="0"/>
    <s v="2025-02-16 16:21:30"/>
    <n v="1"/>
    <x v="1"/>
    <x v="2"/>
    <x v="0"/>
    <n v="8.33718741308411E-2"/>
    <n v="3E+20"/>
    <n v="0"/>
    <n v="0.74734119982299396"/>
    <n v="5700"/>
    <s v="Unnamed ProjectCallBTotal TimeEntity"/>
    <n v="1"/>
    <n v="8.33718741308411E-2"/>
    <n v="0"/>
    <n v="0.95"/>
    <n v="4E+20"/>
    <n v="8.33718741308411E-2"/>
    <n v="8.33718741308411E-2"/>
    <n v="0"/>
    <n v="0.74734119982299396"/>
    <n v="5700"/>
    <n v="3E+20"/>
    <n v="1"/>
    <n v="1"/>
  </r>
  <r>
    <x v="0"/>
    <s v="2025-02-16 16:21:30"/>
    <n v="1"/>
    <x v="1"/>
    <x v="3"/>
    <x v="0"/>
    <n v="0"/>
    <n v="0"/>
    <n v="0"/>
    <n v="0"/>
    <n v="5700"/>
    <s v="Unnamed ProjectCallBTransfer TimeEntity"/>
    <n v="1"/>
    <n v="0"/>
    <n v="0"/>
    <n v="0.95"/>
    <n v="4E+20"/>
    <n v="0"/>
    <n v="0"/>
    <n v="0"/>
    <n v="0"/>
    <n v="5700"/>
    <n v="0"/>
    <n v="1"/>
    <n v="1"/>
  </r>
  <r>
    <x v="0"/>
    <s v="2025-02-16 16:21:30"/>
    <n v="1"/>
    <x v="1"/>
    <x v="4"/>
    <x v="0"/>
    <n v="8.33718741308411E-2"/>
    <n v="3E+20"/>
    <n v="0"/>
    <n v="0.74734119982299396"/>
    <n v="5700"/>
    <s v="Unnamed ProjectCallBVA TimeEntity"/>
    <n v="1"/>
    <n v="8.33718741308411E-2"/>
    <n v="0"/>
    <n v="0.95"/>
    <n v="4E+20"/>
    <n v="8.33718741308411E-2"/>
    <n v="8.33718741308411E-2"/>
    <n v="0"/>
    <n v="0.74734119982299396"/>
    <n v="5700"/>
    <n v="3E+20"/>
    <n v="1"/>
    <n v="1"/>
  </r>
  <r>
    <x v="0"/>
    <s v="2025-02-16 16:21:30"/>
    <n v="1"/>
    <x v="1"/>
    <x v="5"/>
    <x v="0"/>
    <n v="0"/>
    <n v="0"/>
    <n v="0"/>
    <n v="0"/>
    <n v="5700"/>
    <s v="Unnamed ProjectCallBWait TimeEntity"/>
    <n v="1"/>
    <n v="0"/>
    <n v="0"/>
    <n v="0.95"/>
    <n v="4E+20"/>
    <n v="0"/>
    <n v="0"/>
    <n v="0"/>
    <n v="0"/>
    <n v="5700"/>
    <n v="0"/>
    <n v="1"/>
    <n v="1"/>
  </r>
  <r>
    <x v="0"/>
    <s v="2025-02-16 16:21:30"/>
    <n v="1"/>
    <x v="2"/>
    <x v="6"/>
    <x v="1"/>
    <n v="0"/>
    <n v="0"/>
    <n v="0"/>
    <n v="0"/>
    <n v="6484"/>
    <s v="Unnamed ProjectProcess A to B.QueueWaiting TimeQueue"/>
    <n v="1"/>
    <n v="0"/>
    <n v="0"/>
    <n v="0.95"/>
    <n v="4E+20"/>
    <n v="0"/>
    <n v="0"/>
    <n v="0"/>
    <n v="0"/>
    <n v="6484"/>
    <n v="0"/>
    <n v="1"/>
    <n v="1"/>
  </r>
  <r>
    <x v="0"/>
    <s v="2025-02-16 16:21:30"/>
    <n v="1"/>
    <x v="3"/>
    <x v="6"/>
    <x v="1"/>
    <n v="0"/>
    <n v="0"/>
    <n v="0"/>
    <n v="0"/>
    <n v="5605"/>
    <s v="Unnamed ProjectProcess B to A.QueueWaiting TimeQueue"/>
    <n v="1"/>
    <n v="0"/>
    <n v="0"/>
    <n v="0.95"/>
    <n v="4E+20"/>
    <n v="0"/>
    <n v="0"/>
    <n v="0"/>
    <n v="0"/>
    <n v="5605"/>
    <n v="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02-16 16:21:30"/>
    <n v="1"/>
    <x v="0"/>
    <x v="0"/>
    <x v="0"/>
    <n v="6484"/>
    <n v="0"/>
    <s v="Unnamed ProjectAChannels.NumberSeizedTotal Number SeizedResource"/>
    <n v="1"/>
    <n v="6484"/>
    <n v="0"/>
    <n v="0.95"/>
    <n v="4E+20"/>
    <n v="6484"/>
    <n v="6484"/>
  </r>
  <r>
    <x v="0"/>
    <s v="2025-02-16 16:21:30"/>
    <n v="1"/>
    <x v="1"/>
    <x v="1"/>
    <x v="0"/>
    <n v="0.78733310679665103"/>
    <n v="0"/>
    <s v="Unnamed ProjectAChannels.ScheduledUtilizationScheduled UtilizationResource"/>
    <n v="1"/>
    <n v="0.78733310679665103"/>
    <n v="0"/>
    <n v="0.95"/>
    <n v="4E+20"/>
    <n v="0.78733310679665103"/>
    <n v="0.78733310679665103"/>
  </r>
  <r>
    <x v="0"/>
    <s v="2025-02-16 16:21:30"/>
    <n v="1"/>
    <x v="2"/>
    <x v="0"/>
    <x v="0"/>
    <n v="5605"/>
    <n v="0"/>
    <s v="Unnamed ProjectBChannels.NumberSeizedTotal Number SeizedResource"/>
    <n v="1"/>
    <n v="5605"/>
    <n v="0"/>
    <n v="0.95"/>
    <n v="4E+20"/>
    <n v="5605"/>
    <n v="5605"/>
  </r>
  <r>
    <x v="0"/>
    <s v="2025-02-16 16:21:30"/>
    <n v="1"/>
    <x v="3"/>
    <x v="1"/>
    <x v="0"/>
    <n v="0.67699709205709901"/>
    <n v="0"/>
    <s v="Unnamed ProjectBChannels.ScheduledUtilizationScheduled UtilizationResource"/>
    <n v="1"/>
    <n v="0.67699709205709901"/>
    <n v="0"/>
    <n v="0.95"/>
    <n v="4E+20"/>
    <n v="0.67699709205709901"/>
    <n v="0.67699709205709901"/>
  </r>
  <r>
    <x v="0"/>
    <s v="2025-02-16 16:21:30"/>
    <n v="1"/>
    <x v="4"/>
    <x v="2"/>
    <x v="1"/>
    <n v="7000"/>
    <n v="0"/>
    <s v="Unnamed ProjectCallA.NumberInNumber InEntity"/>
    <n v="1"/>
    <n v="7000"/>
    <n v="0"/>
    <n v="0.95"/>
    <n v="4E+20"/>
    <n v="7000"/>
    <n v="7000"/>
  </r>
  <r>
    <x v="0"/>
    <s v="2025-02-16 16:21:30"/>
    <n v="1"/>
    <x v="5"/>
    <x v="3"/>
    <x v="1"/>
    <n v="7000"/>
    <n v="0"/>
    <s v="Unnamed ProjectCallA.NumberOutNumber OutEntity"/>
    <n v="1"/>
    <n v="7000"/>
    <n v="0"/>
    <n v="0.95"/>
    <n v="4E+20"/>
    <n v="7000"/>
    <n v="7000"/>
  </r>
  <r>
    <x v="0"/>
    <s v="2025-02-16 16:21:30"/>
    <n v="1"/>
    <x v="6"/>
    <x v="2"/>
    <x v="1"/>
    <n v="5700"/>
    <n v="0"/>
    <s v="Unnamed ProjectCallB.NumberInNumber InEntity"/>
    <n v="1"/>
    <n v="5700"/>
    <n v="0"/>
    <n v="0.95"/>
    <n v="4E+20"/>
    <n v="5700"/>
    <n v="5700"/>
  </r>
  <r>
    <x v="0"/>
    <s v="2025-02-16 16:21:30"/>
    <n v="1"/>
    <x v="7"/>
    <x v="3"/>
    <x v="1"/>
    <n v="5700"/>
    <n v="0"/>
    <s v="Unnamed ProjectCallB.NumberOutNumber OutEntity"/>
    <n v="1"/>
    <n v="5700"/>
    <n v="0"/>
    <n v="0.95"/>
    <n v="4E+20"/>
    <n v="5700"/>
    <n v="5700"/>
  </r>
  <r>
    <x v="0"/>
    <s v="2025-02-16 16:21:30"/>
    <n v="1"/>
    <x v="8"/>
    <x v="3"/>
    <x v="2"/>
    <n v="12700"/>
    <n v="0"/>
    <s v="Unnamed ProjectSystem.NumberOutNumber OutSystem"/>
    <n v="1"/>
    <n v="12700"/>
    <n v="0"/>
    <n v="0.95"/>
    <n v="4E+20"/>
    <n v="12700"/>
    <n v="127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5-02-16 16:21:30"/>
    <n v="1"/>
    <x v="0"/>
    <x v="0"/>
    <x v="0"/>
    <n v="516"/>
    <s v="Unnamed ProjectACallsBlockedCountUser Specified"/>
    <n v="1"/>
    <n v="516"/>
    <n v="0"/>
    <n v="0.95"/>
    <n v="4E+20"/>
    <n v="516"/>
    <n v="516"/>
  </r>
  <r>
    <x v="0"/>
    <s v="2025-02-16 16:21:30"/>
    <n v="1"/>
    <x v="1"/>
    <x v="0"/>
    <x v="0"/>
    <n v="95"/>
    <s v="Unnamed ProjectBCallsBlockedCountUser Specified"/>
    <n v="1"/>
    <n v="95"/>
    <n v="0"/>
    <n v="0.95"/>
    <n v="4E+20"/>
    <n v="95"/>
    <n v="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5-02-16 16:21:30"/>
    <n v="1"/>
    <x v="0"/>
    <x v="0"/>
    <x v="0"/>
    <n v="0.78733310679665303"/>
    <n v="3E+20"/>
    <n v="0"/>
    <n v="1"/>
    <n v="0"/>
    <n v="0"/>
    <s v="Unnamed ProjectAChannelsInstantaneous UtilizationResource"/>
    <n v="1"/>
    <n v="0.78733310679665303"/>
    <n v="0"/>
    <n v="0.95"/>
    <n v="4E+20"/>
    <n v="0.78733310679665303"/>
    <n v="0.78733310679665303"/>
    <n v="3E+20"/>
  </r>
  <r>
    <x v="0"/>
    <s v="2025-02-16 16:21:30"/>
    <n v="1"/>
    <x v="0"/>
    <x v="1"/>
    <x v="0"/>
    <n v="22.832660097102899"/>
    <n v="3E+20"/>
    <n v="0"/>
    <n v="29"/>
    <n v="0"/>
    <n v="0"/>
    <s v="Unnamed ProjectAChannelsNumber BusyResource"/>
    <n v="1"/>
    <n v="22.832660097102899"/>
    <n v="0"/>
    <n v="0.95"/>
    <n v="4E+20"/>
    <n v="22.832660097102899"/>
    <n v="22.832660097102899"/>
    <n v="3E+20"/>
  </r>
  <r>
    <x v="0"/>
    <s v="2025-02-16 16:21:30"/>
    <n v="1"/>
    <x v="0"/>
    <x v="2"/>
    <x v="0"/>
    <n v="29"/>
    <n v="2E+20"/>
    <n v="29"/>
    <n v="29"/>
    <n v="29"/>
    <n v="0"/>
    <s v="Unnamed ProjectAChannelsNumber ScheduledResource"/>
    <n v="1"/>
    <n v="29"/>
    <n v="0"/>
    <n v="0.95"/>
    <n v="4E+20"/>
    <n v="29"/>
    <n v="29"/>
    <n v="2E+20"/>
  </r>
  <r>
    <x v="0"/>
    <s v="2025-02-16 16:21:30"/>
    <n v="1"/>
    <x v="1"/>
    <x v="0"/>
    <x v="0"/>
    <n v="0.67699709205710101"/>
    <n v="2.27962280109241E-2"/>
    <n v="0"/>
    <n v="1"/>
    <n v="0"/>
    <n v="0"/>
    <s v="Unnamed ProjectBChannelsInstantaneous UtilizationResource"/>
    <n v="1"/>
    <n v="0.67699709205710101"/>
    <n v="0"/>
    <n v="0.95"/>
    <n v="4E+20"/>
    <n v="0.67699709205710101"/>
    <n v="0.67699709205710101"/>
    <n v="2.27962280109241E-2"/>
  </r>
  <r>
    <x v="0"/>
    <s v="2025-02-16 16:21:30"/>
    <n v="1"/>
    <x v="1"/>
    <x v="1"/>
    <x v="0"/>
    <n v="19.632915669655901"/>
    <n v="0.661090612316799"/>
    <n v="0"/>
    <n v="29"/>
    <n v="0"/>
    <n v="0"/>
    <s v="Unnamed ProjectBChannelsNumber BusyResource"/>
    <n v="1"/>
    <n v="19.632915669655901"/>
    <n v="0"/>
    <n v="0.95"/>
    <n v="4E+20"/>
    <n v="19.632915669655901"/>
    <n v="19.632915669655901"/>
    <n v="0.661090612316799"/>
  </r>
  <r>
    <x v="0"/>
    <s v="2025-02-16 16:21:30"/>
    <n v="1"/>
    <x v="1"/>
    <x v="2"/>
    <x v="0"/>
    <n v="29"/>
    <n v="2E+20"/>
    <n v="29"/>
    <n v="29"/>
    <n v="29"/>
    <n v="0"/>
    <s v="Unnamed ProjectBChannelsNumber ScheduledResource"/>
    <n v="1"/>
    <n v="29"/>
    <n v="0"/>
    <n v="0.95"/>
    <n v="4E+20"/>
    <n v="29"/>
    <n v="29"/>
    <n v="2E+20"/>
  </r>
  <r>
    <x v="0"/>
    <s v="2025-02-16 16:21:30"/>
    <n v="1"/>
    <x v="2"/>
    <x v="3"/>
    <x v="1"/>
    <n v="22.832660097102899"/>
    <n v="3E+20"/>
    <n v="0"/>
    <n v="30"/>
    <n v="0"/>
    <n v="0"/>
    <s v="Unnamed ProjectCallAWIPEntity"/>
    <n v="1"/>
    <n v="22.832660097102899"/>
    <n v="0"/>
    <n v="0.95"/>
    <n v="4E+20"/>
    <n v="22.832660097102899"/>
    <n v="22.832660097102899"/>
    <n v="3E+20"/>
  </r>
  <r>
    <x v="0"/>
    <s v="2025-02-16 16:21:30"/>
    <n v="1"/>
    <x v="3"/>
    <x v="3"/>
    <x v="1"/>
    <n v="19.632915669655901"/>
    <n v="0.661090612316799"/>
    <n v="0"/>
    <n v="30"/>
    <n v="0"/>
    <n v="0"/>
    <s v="Unnamed ProjectCallBWIPEntity"/>
    <n v="1"/>
    <n v="19.632915669655901"/>
    <n v="0"/>
    <n v="0.95"/>
    <n v="4E+20"/>
    <n v="19.632915669655901"/>
    <n v="19.632915669655901"/>
    <n v="0.661090612316799"/>
  </r>
  <r>
    <x v="0"/>
    <s v="2025-02-16 16:21:30"/>
    <n v="1"/>
    <x v="4"/>
    <x v="4"/>
    <x v="2"/>
    <n v="0"/>
    <n v="2E+20"/>
    <n v="0"/>
    <n v="0"/>
    <n v="0"/>
    <n v="0"/>
    <s v="Unnamed ProjectProcess A to B.QueueNumber WaitingQueue"/>
    <n v="1"/>
    <n v="0"/>
    <n v="0"/>
    <n v="0.95"/>
    <n v="4E+20"/>
    <n v="0"/>
    <n v="0"/>
    <n v="2E+20"/>
  </r>
  <r>
    <x v="0"/>
    <s v="2025-02-16 16:21:30"/>
    <n v="1"/>
    <x v="5"/>
    <x v="4"/>
    <x v="2"/>
    <n v="0"/>
    <n v="2E+20"/>
    <n v="0"/>
    <n v="0"/>
    <n v="0"/>
    <n v="0"/>
    <s v="Unnamed ProjectProcess B to A.QueueNumber WaitingQueue"/>
    <n v="1"/>
    <n v="0"/>
    <n v="0"/>
    <n v="0.95"/>
    <n v="4E+20"/>
    <n v="0"/>
    <n v="0"/>
    <n v="2E+20"/>
  </r>
  <r>
    <x v="0"/>
    <s v="2025-02-16 16:21:30"/>
    <n v="1"/>
    <x v="6"/>
    <x v="5"/>
    <x v="3"/>
    <n v="58"/>
    <n v="2E+20"/>
    <n v="58"/>
    <n v="58"/>
    <n v="58"/>
    <n v="0"/>
    <s v="Unnamed ProjectTotalChannelsVariableUser Specified"/>
    <n v="1"/>
    <n v="58"/>
    <n v="0"/>
    <n v="0.95"/>
    <n v="4E+20"/>
    <n v="58"/>
    <n v="58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4"/>
        <item m="1" x="37"/>
        <item m="1" x="9"/>
        <item m="1" x="89"/>
        <item m="1" x="72"/>
        <item m="1" x="42"/>
        <item m="1" x="98"/>
        <item m="1" x="30"/>
        <item m="1" x="34"/>
        <item m="1" x="101"/>
        <item m="1" x="67"/>
        <item m="1" x="79"/>
        <item m="1" x="84"/>
        <item m="1" x="8"/>
        <item m="1" x="36"/>
        <item m="1" x="26"/>
        <item m="1" x="102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2"/>
        <item x="3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1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4"/>
        <item m="1" x="10"/>
        <item m="1" x="35"/>
        <item m="1" x="11"/>
        <item m="1" x="36"/>
        <item m="1" x="12"/>
        <item m="1" x="37"/>
        <item m="1" x="13"/>
        <item m="1" x="69"/>
        <item m="1" x="24"/>
        <item x="8"/>
        <item m="1" x="68"/>
        <item m="1" x="55"/>
        <item m="1" x="72"/>
        <item m="1" x="57"/>
        <item m="1" x="73"/>
        <item m="1" x="80"/>
        <item m="1" x="49"/>
        <item m="1" x="17"/>
        <item m="1" x="66"/>
        <item m="1" x="56"/>
        <item m="1" x="54"/>
        <item m="1" x="20"/>
        <item m="1" x="64"/>
        <item m="1" x="29"/>
        <item m="1" x="65"/>
        <item m="1" x="30"/>
        <item m="1" x="63"/>
        <item m="1" x="83"/>
        <item m="1" x="23"/>
        <item m="1" x="86"/>
        <item m="1" x="51"/>
        <item m="1" x="18"/>
        <item m="1" x="81"/>
        <item m="1" x="76"/>
        <item m="1" x="52"/>
        <item m="1" x="19"/>
        <item m="1" x="82"/>
        <item m="1" x="77"/>
        <item m="1" x="14"/>
        <item m="1" x="48"/>
        <item m="1" x="32"/>
        <item m="1" x="22"/>
        <item m="1" x="74"/>
        <item m="1" x="44"/>
        <item m="1" x="75"/>
        <item m="1" x="45"/>
        <item m="1" x="31"/>
        <item m="1" x="26"/>
        <item m="1" x="53"/>
        <item m="1" x="28"/>
        <item m="1" x="85"/>
        <item m="1" x="78"/>
        <item m="1" x="27"/>
        <item m="1" x="25"/>
        <item m="1" x="70"/>
        <item m="1" x="79"/>
        <item m="1" x="15"/>
        <item m="1" x="33"/>
        <item m="1" x="46"/>
        <item m="1" x="67"/>
        <item m="1" x="84"/>
        <item m="1" x="16"/>
        <item m="1" x="43"/>
        <item m="1" x="47"/>
        <item m="1" x="71"/>
        <item m="1" x="50"/>
        <item m="1" x="21"/>
        <item m="1" x="38"/>
        <item m="1" x="58"/>
        <item m="1" x="39"/>
        <item m="1" x="59"/>
        <item m="1" x="40"/>
        <item m="1" x="60"/>
        <item m="1" x="41"/>
        <item m="1" x="61"/>
        <item m="1" x="42"/>
        <item m="1" x="62"/>
        <item m="1" x="9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  <i r="1">
      <x v="85"/>
      <x/>
      <x/>
    </i>
    <i r="1">
      <x v="8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8">
        <item x="0"/>
        <item x="1"/>
        <item x="2"/>
        <item x="4"/>
        <item x="3"/>
        <item m="1" x="7"/>
        <item m="1" x="6"/>
        <item x="5"/>
      </items>
    </pivotField>
    <pivotField axis="axisRow" compact="0" outline="0" showAll="0" defaultSubtotal="0">
      <items count="5">
        <item x="1"/>
        <item x="2"/>
        <item x="0"/>
        <item x="3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 v="4"/>
      <x/>
    </i>
    <i r="1">
      <x v="127"/>
      <x v="4"/>
      <x/>
    </i>
    <i r="1">
      <x v="128"/>
      <x v="3"/>
      <x v="1"/>
    </i>
    <i r="1">
      <x v="129"/>
      <x v="3"/>
      <x v="1"/>
    </i>
    <i r="1">
      <x v="130"/>
      <x v="7"/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5" tableType="queryTable" totalsRowShown="0">
  <autoFilter ref="A1:Y15" xr:uid="{C3D003CA-1AFF-426C-A03D-D3AF5760DF1A}"/>
  <sortState xmlns:xlrd2="http://schemas.microsoft.com/office/spreadsheetml/2017/richdata2" ref="A2:Y15">
    <sortCondition ref="D1:D1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2" tableType="queryTable" totalsRowShown="0">
  <autoFilter ref="A1:U1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3" tableType="queryTable" totalsRowShown="0">
  <autoFilter ref="A1:O3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0" tableType="queryTable" totalsRowShown="0">
  <autoFilter ref="A1:P10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60.4531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67</v>
      </c>
      <c r="B2" t="s">
        <v>68</v>
      </c>
      <c r="C2" t="s">
        <v>69</v>
      </c>
      <c r="D2">
        <v>3</v>
      </c>
      <c r="E2">
        <v>1</v>
      </c>
      <c r="F2">
        <v>24.205252573884501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8" width="12.5429687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7000</v>
      </c>
      <c r="O3" t="s">
        <v>67</v>
      </c>
      <c r="P3" t="s">
        <v>83</v>
      </c>
      <c r="Q3" t="s">
        <v>84</v>
      </c>
      <c r="R3" t="s">
        <v>85</v>
      </c>
      <c r="S3" s="5">
        <v>0.78733310679665303</v>
      </c>
      <c r="T3" s="5">
        <v>3E+20</v>
      </c>
      <c r="U3" s="5">
        <v>0</v>
      </c>
      <c r="V3" s="5">
        <v>0.78733310679665303</v>
      </c>
      <c r="W3" s="5">
        <v>0.78733310679665303</v>
      </c>
      <c r="X3" s="5">
        <v>0</v>
      </c>
      <c r="Y3" s="5">
        <v>1</v>
      </c>
      <c r="AA3" t="s">
        <v>67</v>
      </c>
      <c r="AB3" t="s">
        <v>94</v>
      </c>
      <c r="AC3" t="s">
        <v>95</v>
      </c>
      <c r="AD3" t="s">
        <v>93</v>
      </c>
      <c r="AE3" s="5">
        <v>516</v>
      </c>
      <c r="AF3" s="5">
        <v>4E+20</v>
      </c>
      <c r="AG3" s="5">
        <v>0</v>
      </c>
      <c r="AH3" s="5">
        <v>516</v>
      </c>
      <c r="AI3" s="5">
        <v>516</v>
      </c>
      <c r="AK3" t="s">
        <v>67</v>
      </c>
      <c r="AL3" t="s">
        <v>109</v>
      </c>
      <c r="AM3" t="s">
        <v>106</v>
      </c>
      <c r="AN3" t="s">
        <v>110</v>
      </c>
      <c r="AO3" s="5">
        <v>12700</v>
      </c>
      <c r="AP3" s="5">
        <v>4E+20</v>
      </c>
      <c r="AQ3" s="5">
        <v>0</v>
      </c>
      <c r="AR3" s="5">
        <v>12700</v>
      </c>
      <c r="AS3" s="5">
        <v>12700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7000</v>
      </c>
      <c r="Q4" t="s">
        <v>86</v>
      </c>
      <c r="R4" t="s">
        <v>85</v>
      </c>
      <c r="S4" s="5">
        <v>22.832660097102899</v>
      </c>
      <c r="T4" s="5">
        <v>3E+20</v>
      </c>
      <c r="U4" s="5">
        <v>0</v>
      </c>
      <c r="V4" s="5">
        <v>22.832660097102899</v>
      </c>
      <c r="W4" s="5">
        <v>22.832660097102899</v>
      </c>
      <c r="X4" s="5">
        <v>0</v>
      </c>
      <c r="Y4" s="5">
        <v>29</v>
      </c>
      <c r="AB4" t="s">
        <v>96</v>
      </c>
      <c r="AC4" t="s">
        <v>95</v>
      </c>
      <c r="AD4" t="s">
        <v>93</v>
      </c>
      <c r="AE4" s="5">
        <v>95</v>
      </c>
      <c r="AF4" s="5">
        <v>4E+20</v>
      </c>
      <c r="AG4" s="5">
        <v>0</v>
      </c>
      <c r="AH4" s="5">
        <v>95</v>
      </c>
      <c r="AI4" s="5">
        <v>95</v>
      </c>
      <c r="AL4" t="s">
        <v>97</v>
      </c>
      <c r="AM4" t="s">
        <v>98</v>
      </c>
      <c r="AN4" t="s">
        <v>85</v>
      </c>
      <c r="AO4" s="5">
        <v>6484</v>
      </c>
      <c r="AP4" s="5">
        <v>4E+20</v>
      </c>
      <c r="AQ4" s="5">
        <v>0</v>
      </c>
      <c r="AR4" s="5">
        <v>6484</v>
      </c>
      <c r="AS4" s="5">
        <v>6484</v>
      </c>
    </row>
    <row r="5" spans="1:52" x14ac:dyDescent="0.35">
      <c r="C5" t="s">
        <v>74</v>
      </c>
      <c r="D5" t="s">
        <v>72</v>
      </c>
      <c r="E5" s="5">
        <v>7.8952900654861102E-2</v>
      </c>
      <c r="F5" s="5">
        <v>1</v>
      </c>
      <c r="G5" s="5">
        <v>2.2543363107829901E-3</v>
      </c>
      <c r="H5" s="5">
        <v>0</v>
      </c>
      <c r="I5" s="5">
        <v>7.8952900654861102E-2</v>
      </c>
      <c r="J5" s="5">
        <v>7.8952900654861102E-2</v>
      </c>
      <c r="K5" s="5">
        <v>0</v>
      </c>
      <c r="L5" s="5">
        <v>0.71949503546730798</v>
      </c>
      <c r="M5" s="5">
        <v>7000</v>
      </c>
      <c r="Q5" t="s">
        <v>87</v>
      </c>
      <c r="R5" t="s">
        <v>85</v>
      </c>
      <c r="S5" s="5">
        <v>29</v>
      </c>
      <c r="T5" s="5">
        <v>2E+20</v>
      </c>
      <c r="U5" s="5">
        <v>0</v>
      </c>
      <c r="V5" s="5">
        <v>29</v>
      </c>
      <c r="W5" s="5">
        <v>29</v>
      </c>
      <c r="X5" s="5">
        <v>29</v>
      </c>
      <c r="Y5" s="5">
        <v>29</v>
      </c>
      <c r="AL5" t="s">
        <v>99</v>
      </c>
      <c r="AM5" t="s">
        <v>100</v>
      </c>
      <c r="AN5" t="s">
        <v>85</v>
      </c>
      <c r="AO5" s="5">
        <v>0.78733310679665103</v>
      </c>
      <c r="AP5" s="5">
        <v>4E+20</v>
      </c>
      <c r="AQ5" s="5">
        <v>0</v>
      </c>
      <c r="AR5" s="5">
        <v>0.78733310679665103</v>
      </c>
      <c r="AS5" s="5">
        <v>0.78733310679665103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7000</v>
      </c>
      <c r="P6" t="s">
        <v>88</v>
      </c>
      <c r="Q6" t="s">
        <v>84</v>
      </c>
      <c r="R6" t="s">
        <v>85</v>
      </c>
      <c r="S6" s="5">
        <v>0.67699709205710101</v>
      </c>
      <c r="T6" s="5">
        <v>2.27962280109241E-2</v>
      </c>
      <c r="U6" s="5">
        <v>0</v>
      </c>
      <c r="V6" s="5">
        <v>0.67699709205710101</v>
      </c>
      <c r="W6" s="5">
        <v>0.67699709205710101</v>
      </c>
      <c r="X6" s="5">
        <v>0</v>
      </c>
      <c r="Y6" s="5">
        <v>1</v>
      </c>
      <c r="AL6" t="s">
        <v>101</v>
      </c>
      <c r="AM6" t="s">
        <v>98</v>
      </c>
      <c r="AN6" t="s">
        <v>85</v>
      </c>
      <c r="AO6" s="5">
        <v>5605</v>
      </c>
      <c r="AP6" s="5">
        <v>4E+20</v>
      </c>
      <c r="AQ6" s="5">
        <v>0</v>
      </c>
      <c r="AR6" s="5">
        <v>5605</v>
      </c>
      <c r="AS6" s="5">
        <v>5605</v>
      </c>
    </row>
    <row r="7" spans="1:52" x14ac:dyDescent="0.35">
      <c r="C7" t="s">
        <v>76</v>
      </c>
      <c r="D7" t="s">
        <v>72</v>
      </c>
      <c r="E7" s="5">
        <v>7.8952900654861102E-2</v>
      </c>
      <c r="F7" s="5">
        <v>1</v>
      </c>
      <c r="G7" s="5">
        <v>2.2543363107829901E-3</v>
      </c>
      <c r="H7" s="5">
        <v>0</v>
      </c>
      <c r="I7" s="5">
        <v>7.8952900654861102E-2</v>
      </c>
      <c r="J7" s="5">
        <v>7.8952900654861102E-2</v>
      </c>
      <c r="K7" s="5">
        <v>0</v>
      </c>
      <c r="L7" s="5">
        <v>0.71949503546730798</v>
      </c>
      <c r="M7" s="5">
        <v>7000</v>
      </c>
      <c r="Q7" t="s">
        <v>86</v>
      </c>
      <c r="R7" t="s">
        <v>85</v>
      </c>
      <c r="S7" s="5">
        <v>19.632915669655901</v>
      </c>
      <c r="T7" s="5">
        <v>0.661090612316799</v>
      </c>
      <c r="U7" s="5">
        <v>0</v>
      </c>
      <c r="V7" s="5">
        <v>19.632915669655901</v>
      </c>
      <c r="W7" s="5">
        <v>19.632915669655901</v>
      </c>
      <c r="X7" s="5">
        <v>0</v>
      </c>
      <c r="Y7" s="5">
        <v>29</v>
      </c>
      <c r="AL7" t="s">
        <v>102</v>
      </c>
      <c r="AM7" t="s">
        <v>100</v>
      </c>
      <c r="AN7" t="s">
        <v>85</v>
      </c>
      <c r="AO7" s="5">
        <v>0.67699709205709901</v>
      </c>
      <c r="AP7" s="5">
        <v>4E+20</v>
      </c>
      <c r="AQ7" s="5">
        <v>0</v>
      </c>
      <c r="AR7" s="5">
        <v>0.67699709205709901</v>
      </c>
      <c r="AS7" s="5">
        <v>0.67699709205709901</v>
      </c>
    </row>
    <row r="8" spans="1:52" x14ac:dyDescent="0.35">
      <c r="C8" t="s">
        <v>77</v>
      </c>
      <c r="D8" t="s">
        <v>72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7000</v>
      </c>
      <c r="Q8" t="s">
        <v>87</v>
      </c>
      <c r="R8" t="s">
        <v>85</v>
      </c>
      <c r="S8" s="5">
        <v>29</v>
      </c>
      <c r="T8" s="5">
        <v>2E+20</v>
      </c>
      <c r="U8" s="5">
        <v>0</v>
      </c>
      <c r="V8" s="5">
        <v>29</v>
      </c>
      <c r="W8" s="5">
        <v>29</v>
      </c>
      <c r="X8" s="5">
        <v>29</v>
      </c>
      <c r="Y8" s="5">
        <v>29</v>
      </c>
      <c r="AL8" t="s">
        <v>103</v>
      </c>
      <c r="AM8" t="s">
        <v>104</v>
      </c>
      <c r="AN8" t="s">
        <v>72</v>
      </c>
      <c r="AO8" s="5">
        <v>7000</v>
      </c>
      <c r="AP8" s="5">
        <v>4E+20</v>
      </c>
      <c r="AQ8" s="5">
        <v>0</v>
      </c>
      <c r="AR8" s="5">
        <v>7000</v>
      </c>
      <c r="AS8" s="5">
        <v>7000</v>
      </c>
    </row>
    <row r="9" spans="1:52" x14ac:dyDescent="0.35">
      <c r="B9" t="s">
        <v>78</v>
      </c>
      <c r="C9" t="s">
        <v>71</v>
      </c>
      <c r="D9" t="s">
        <v>72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5700</v>
      </c>
      <c r="P9" t="s">
        <v>70</v>
      </c>
      <c r="Q9" t="s">
        <v>89</v>
      </c>
      <c r="R9" t="s">
        <v>72</v>
      </c>
      <c r="S9" s="5">
        <v>22.832660097102899</v>
      </c>
      <c r="T9" s="5">
        <v>3E+20</v>
      </c>
      <c r="U9" s="5">
        <v>0</v>
      </c>
      <c r="V9" s="5">
        <v>22.832660097102899</v>
      </c>
      <c r="W9" s="5">
        <v>22.832660097102899</v>
      </c>
      <c r="X9" s="5">
        <v>0</v>
      </c>
      <c r="Y9" s="5">
        <v>30</v>
      </c>
      <c r="AL9" t="s">
        <v>105</v>
      </c>
      <c r="AM9" t="s">
        <v>106</v>
      </c>
      <c r="AN9" t="s">
        <v>72</v>
      </c>
      <c r="AO9" s="5">
        <v>7000</v>
      </c>
      <c r="AP9" s="5">
        <v>4E+20</v>
      </c>
      <c r="AQ9" s="5">
        <v>0</v>
      </c>
      <c r="AR9" s="5">
        <v>7000</v>
      </c>
      <c r="AS9" s="5">
        <v>7000</v>
      </c>
    </row>
    <row r="10" spans="1:52" x14ac:dyDescent="0.35">
      <c r="C10" t="s">
        <v>73</v>
      </c>
      <c r="D10" t="s">
        <v>72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5700</v>
      </c>
      <c r="P10" t="s">
        <v>78</v>
      </c>
      <c r="Q10" t="s">
        <v>89</v>
      </c>
      <c r="R10" t="s">
        <v>72</v>
      </c>
      <c r="S10" s="5">
        <v>19.632915669655901</v>
      </c>
      <c r="T10" s="5">
        <v>0.661090612316799</v>
      </c>
      <c r="U10" s="5">
        <v>0</v>
      </c>
      <c r="V10" s="5">
        <v>19.632915669655901</v>
      </c>
      <c r="W10" s="5">
        <v>19.632915669655901</v>
      </c>
      <c r="X10" s="5">
        <v>0</v>
      </c>
      <c r="Y10" s="5">
        <v>30</v>
      </c>
      <c r="AL10" t="s">
        <v>107</v>
      </c>
      <c r="AM10" t="s">
        <v>104</v>
      </c>
      <c r="AN10" t="s">
        <v>72</v>
      </c>
      <c r="AO10" s="5">
        <v>5700</v>
      </c>
      <c r="AP10" s="5">
        <v>4E+20</v>
      </c>
      <c r="AQ10" s="5">
        <v>0</v>
      </c>
      <c r="AR10" s="5">
        <v>5700</v>
      </c>
      <c r="AS10" s="5">
        <v>5700</v>
      </c>
    </row>
    <row r="11" spans="1:52" x14ac:dyDescent="0.35">
      <c r="C11" t="s">
        <v>74</v>
      </c>
      <c r="D11" t="s">
        <v>72</v>
      </c>
      <c r="E11" s="5">
        <v>8.33718741308411E-2</v>
      </c>
      <c r="F11" s="5">
        <v>1</v>
      </c>
      <c r="G11" s="5">
        <v>3E+20</v>
      </c>
      <c r="H11" s="5">
        <v>0</v>
      </c>
      <c r="I11" s="5">
        <v>8.33718741308411E-2</v>
      </c>
      <c r="J11" s="5">
        <v>8.33718741308411E-2</v>
      </c>
      <c r="K11" s="5">
        <v>0</v>
      </c>
      <c r="L11" s="5">
        <v>0.74734119982299396</v>
      </c>
      <c r="M11" s="5">
        <v>5700</v>
      </c>
      <c r="P11" t="s">
        <v>79</v>
      </c>
      <c r="Q11" t="s">
        <v>90</v>
      </c>
      <c r="R11" t="s">
        <v>81</v>
      </c>
      <c r="S11" s="5">
        <v>0</v>
      </c>
      <c r="T11" s="5">
        <v>2E+20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L11" t="s">
        <v>108</v>
      </c>
      <c r="AM11" t="s">
        <v>106</v>
      </c>
      <c r="AN11" t="s">
        <v>72</v>
      </c>
      <c r="AO11" s="5">
        <v>5700</v>
      </c>
      <c r="AP11" s="5">
        <v>4E+20</v>
      </c>
      <c r="AQ11" s="5">
        <v>0</v>
      </c>
      <c r="AR11" s="5">
        <v>5700</v>
      </c>
      <c r="AS11" s="5">
        <v>5700</v>
      </c>
    </row>
    <row r="12" spans="1:52" x14ac:dyDescent="0.35">
      <c r="C12" t="s">
        <v>75</v>
      </c>
      <c r="D12" t="s">
        <v>72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5700</v>
      </c>
      <c r="P12" t="s">
        <v>82</v>
      </c>
      <c r="Q12" t="s">
        <v>90</v>
      </c>
      <c r="R12" t="s">
        <v>81</v>
      </c>
      <c r="S12" s="5">
        <v>0</v>
      </c>
      <c r="T12" s="5">
        <v>2E+20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</row>
    <row r="13" spans="1:52" x14ac:dyDescent="0.35">
      <c r="C13" t="s">
        <v>76</v>
      </c>
      <c r="D13" t="s">
        <v>72</v>
      </c>
      <c r="E13" s="5">
        <v>8.33718741308411E-2</v>
      </c>
      <c r="F13" s="5">
        <v>1</v>
      </c>
      <c r="G13" s="5">
        <v>3E+20</v>
      </c>
      <c r="H13" s="5">
        <v>0</v>
      </c>
      <c r="I13" s="5">
        <v>8.33718741308411E-2</v>
      </c>
      <c r="J13" s="5">
        <v>8.33718741308411E-2</v>
      </c>
      <c r="K13" s="5">
        <v>0</v>
      </c>
      <c r="L13" s="5">
        <v>0.74734119982299396</v>
      </c>
      <c r="M13" s="5">
        <v>5700</v>
      </c>
      <c r="P13" t="s">
        <v>91</v>
      </c>
      <c r="Q13" t="s">
        <v>92</v>
      </c>
      <c r="R13" t="s">
        <v>93</v>
      </c>
      <c r="S13" s="5">
        <v>58</v>
      </c>
      <c r="T13" s="5">
        <v>2E+20</v>
      </c>
      <c r="U13" s="5">
        <v>0</v>
      </c>
      <c r="V13" s="5">
        <v>58</v>
      </c>
      <c r="W13" s="5">
        <v>58</v>
      </c>
      <c r="X13" s="5">
        <v>58</v>
      </c>
      <c r="Y13" s="5">
        <v>58</v>
      </c>
    </row>
    <row r="14" spans="1:52" x14ac:dyDescent="0.35">
      <c r="C14" t="s">
        <v>77</v>
      </c>
      <c r="D14" t="s">
        <v>72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5700</v>
      </c>
    </row>
    <row r="15" spans="1:52" x14ac:dyDescent="0.35">
      <c r="B15" t="s">
        <v>79</v>
      </c>
      <c r="C15" t="s">
        <v>80</v>
      </c>
      <c r="D15" t="s">
        <v>81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6484</v>
      </c>
    </row>
    <row r="16" spans="1:52" x14ac:dyDescent="0.35">
      <c r="B16" t="s">
        <v>82</v>
      </c>
      <c r="C16" t="s">
        <v>80</v>
      </c>
      <c r="D16" t="s">
        <v>81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5605</v>
      </c>
    </row>
  </sheetData>
  <dataConsolidate/>
  <conditionalFormatting pivot="1" sqref="G3:G16">
    <cfRule type="expression" dxfId="29" priority="10">
      <formula>G3=200000000000000000000</formula>
    </cfRule>
  </conditionalFormatting>
  <conditionalFormatting pivot="1" sqref="T3:T13">
    <cfRule type="expression" dxfId="28" priority="9">
      <formula>T3=200000000000000000000</formula>
    </cfRule>
  </conditionalFormatting>
  <conditionalFormatting pivot="1" sqref="T3:T13">
    <cfRule type="expression" dxfId="27" priority="8">
      <formula>T3=300000000000000000000</formula>
    </cfRule>
  </conditionalFormatting>
  <conditionalFormatting pivot="1" sqref="G3:G16">
    <cfRule type="expression" dxfId="26" priority="7">
      <formula>G3=300000000000000000000</formula>
    </cfRule>
  </conditionalFormatting>
  <conditionalFormatting pivot="1" sqref="F3:F16">
    <cfRule type="expression" dxfId="25" priority="6">
      <formula>F3=0</formula>
    </cfRule>
  </conditionalFormatting>
  <conditionalFormatting pivot="1" sqref="F3:F16">
    <cfRule type="expression" dxfId="24" priority="5">
      <formula>F3=1</formula>
    </cfRule>
  </conditionalFormatting>
  <conditionalFormatting pivot="1" sqref="T3:T13">
    <cfRule type="expression" dxfId="23" priority="4">
      <formula>T3=400000000000000000000</formula>
    </cfRule>
  </conditionalFormatting>
  <conditionalFormatting pivot="1" sqref="AP3:AP11">
    <cfRule type="expression" dxfId="22" priority="3">
      <formula>AP3=400000000000000000000</formula>
    </cfRule>
  </conditionalFormatting>
  <conditionalFormatting pivot="1" sqref="AF3:AF4">
    <cfRule type="expression" dxfId="21" priority="2">
      <formula>AF3=400000000000000000000</formula>
    </cfRule>
  </conditionalFormatting>
  <conditionalFormatting pivot="1" sqref="G3:G16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5"/>
  <sheetViews>
    <sheetView workbookViewId="0">
      <selection activeCell="K2" sqref="K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72656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21.1796875" bestFit="1" customWidth="1"/>
    <col min="12" max="12" width="50.269531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7000</v>
      </c>
      <c r="L2" t="str">
        <f>DiscreteStatsTable[[#This Row],[ProjectName]]&amp;DiscreteStatsTable[[#This Row],[Name]]&amp;DiscreteStatsTable[[#This Row],[Type]]&amp;DiscreteStatsTable[[#This Row],[Source]]</f>
        <v>Unnamed ProjectCallANVA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7000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7000</v>
      </c>
      <c r="L3" t="str">
        <f>DiscreteStatsTable[[#This Row],[ProjectName]]&amp;DiscreteStatsTable[[#This Row],[Name]]&amp;DiscreteStatsTable[[#This Row],[Type]]&amp;DiscreteStatsTable[[#This Row],[Source]]</f>
        <v>Unnamed ProjectCallAOther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7000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7.8952900654861102E-2</v>
      </c>
      <c r="H4">
        <v>2.2543363107829901E-3</v>
      </c>
      <c r="I4">
        <v>0</v>
      </c>
      <c r="J4">
        <v>0.71949503546730798</v>
      </c>
      <c r="K4">
        <v>7000</v>
      </c>
      <c r="L4" t="str">
        <f>DiscreteStatsTable[[#This Row],[ProjectName]]&amp;DiscreteStatsTable[[#This Row],[Name]]&amp;DiscreteStatsTable[[#This Row],[Type]]&amp;DiscreteStatsTable[[#This Row],[Source]]</f>
        <v>Unnamed ProjectCallATotal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7.8952900654861102E-2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7.8952900654861102E-2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7.8952900654861102E-2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0.71949503546730798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7000</v>
      </c>
      <c r="W4">
        <f>IF((DiscreteStatsTable[[#This Row],[RepsRequested]]&gt;1),DiscreteStatsTable[[#This Row],[HalfWidth]],DiscreteStatsTable[[#This Row],[BatchMeansHalfWidth]])</f>
        <v>2.2543363107829901E-3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7000</v>
      </c>
      <c r="L5" t="str">
        <f>DiscreteStatsTable[[#This Row],[ProjectName]]&amp;DiscreteStatsTable[[#This Row],[Name]]&amp;DiscreteStatsTable[[#This Row],[Type]]&amp;DiscreteStatsTable[[#This Row],[Source]]</f>
        <v>Unnamed ProjectCallATransfer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7000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7.8952900654861102E-2</v>
      </c>
      <c r="H6">
        <v>2.2543363107829901E-3</v>
      </c>
      <c r="I6">
        <v>0</v>
      </c>
      <c r="J6">
        <v>0.71949503546730798</v>
      </c>
      <c r="K6">
        <v>7000</v>
      </c>
      <c r="L6" t="str">
        <f>DiscreteStatsTable[[#This Row],[ProjectName]]&amp;DiscreteStatsTable[[#This Row],[Name]]&amp;DiscreteStatsTable[[#This Row],[Type]]&amp;DiscreteStatsTable[[#This Row],[Source]]</f>
        <v>Unnamed ProjectCallAVA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7.8952900654861102E-2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7.8952900654861102E-2</v>
      </c>
      <c r="S6" cm="1">
        <f t="array" ref="S6">MAX(IF((DiscreteStatsTable[GroupByKey]=DiscreteStatsTable[[#This Row],[GroupByKey]]),(DiscreteStatsTable[GroupByKey]=DiscreteStatsTable[[#This Row],[GroupByKey]])*DiscreteStatsTable[Average]))</f>
        <v>7.8952900654861102E-2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0.71949503546730798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7000</v>
      </c>
      <c r="W6">
        <f>IF((DiscreteStatsTable[[#This Row],[RepsRequested]]&gt;1),DiscreteStatsTable[[#This Row],[HalfWidth]],DiscreteStatsTable[[#This Row],[BatchMeansHalfWidth]])</f>
        <v>2.2543363107829901E-3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7000</v>
      </c>
      <c r="L7" t="str">
        <f>DiscreteStatsTable[[#This Row],[ProjectName]]&amp;DiscreteStatsTable[[#This Row],[Name]]&amp;DiscreteStatsTable[[#This Row],[Type]]&amp;DiscreteStatsTable[[#This Row],[Source]]</f>
        <v>Unnamed ProjectCallAWait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7000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67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5700</v>
      </c>
      <c r="L8" t="str">
        <f>DiscreteStatsTable[[#This Row],[ProjectName]]&amp;DiscreteStatsTable[[#This Row],[Name]]&amp;DiscreteStatsTable[[#This Row],[Type]]&amp;DiscreteStatsTable[[#This Row],[Source]]</f>
        <v>Unnamed ProjectCallBNVA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5700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67</v>
      </c>
      <c r="B9" t="s">
        <v>69</v>
      </c>
      <c r="C9">
        <v>1</v>
      </c>
      <c r="D9" t="s">
        <v>78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5700</v>
      </c>
      <c r="L9" t="str">
        <f>DiscreteStatsTable[[#This Row],[ProjectName]]&amp;DiscreteStatsTable[[#This Row],[Name]]&amp;DiscreteStatsTable[[#This Row],[Type]]&amp;DiscreteStatsTable[[#This Row],[Source]]</f>
        <v>Unnamed ProjectCallBOther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5700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67</v>
      </c>
      <c r="B10" t="s">
        <v>69</v>
      </c>
      <c r="C10">
        <v>1</v>
      </c>
      <c r="D10" t="s">
        <v>78</v>
      </c>
      <c r="E10" t="s">
        <v>74</v>
      </c>
      <c r="F10" t="s">
        <v>72</v>
      </c>
      <c r="G10">
        <v>8.33718741308411E-2</v>
      </c>
      <c r="H10">
        <v>3E+20</v>
      </c>
      <c r="I10">
        <v>0</v>
      </c>
      <c r="J10">
        <v>0.74734119982299396</v>
      </c>
      <c r="K10">
        <v>5700</v>
      </c>
      <c r="L10" t="str">
        <f>DiscreteStatsTable[[#This Row],[ProjectName]]&amp;DiscreteStatsTable[[#This Row],[Name]]&amp;DiscreteStatsTable[[#This Row],[Type]]&amp;DiscreteStatsTable[[#This Row],[Source]]</f>
        <v>Unnamed ProjectCallBTotal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8.33718741308411E-2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8.33718741308411E-2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8.33718741308411E-2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0.74734119982299396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5700</v>
      </c>
      <c r="W10">
        <f>IF((DiscreteStatsTable[[#This Row],[RepsRequested]]&gt;1),DiscreteStatsTable[[#This Row],[HalfWidth]],DiscreteStatsTable[[#This Row],[BatchMeansHalfWidth]])</f>
        <v>3E+20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67</v>
      </c>
      <c r="B11" t="s">
        <v>69</v>
      </c>
      <c r="C11">
        <v>1</v>
      </c>
      <c r="D11" t="s">
        <v>78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5700</v>
      </c>
      <c r="L11" t="str">
        <f>DiscreteStatsTable[[#This Row],[ProjectName]]&amp;DiscreteStatsTable[[#This Row],[Name]]&amp;DiscreteStatsTable[[#This Row],[Type]]&amp;DiscreteStatsTable[[#This Row],[Source]]</f>
        <v>Unnamed ProjectCallBTransfer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5700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67</v>
      </c>
      <c r="B12" t="s">
        <v>69</v>
      </c>
      <c r="C12">
        <v>1</v>
      </c>
      <c r="D12" t="s">
        <v>78</v>
      </c>
      <c r="E12" t="s">
        <v>76</v>
      </c>
      <c r="F12" t="s">
        <v>72</v>
      </c>
      <c r="G12">
        <v>8.33718741308411E-2</v>
      </c>
      <c r="H12">
        <v>3E+20</v>
      </c>
      <c r="I12">
        <v>0</v>
      </c>
      <c r="J12">
        <v>0.74734119982299396</v>
      </c>
      <c r="K12">
        <v>5700</v>
      </c>
      <c r="L12" t="str">
        <f>DiscreteStatsTable[[#This Row],[ProjectName]]&amp;DiscreteStatsTable[[#This Row],[Name]]&amp;DiscreteStatsTable[[#This Row],[Type]]&amp;DiscreteStatsTable[[#This Row],[Source]]</f>
        <v>Unnamed ProjectCallBVA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8.33718741308411E-2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8.33718741308411E-2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8.33718741308411E-2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0.74734119982299396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5700</v>
      </c>
      <c r="W12">
        <f>IF((DiscreteStatsTable[[#This Row],[RepsRequested]]&gt;1),DiscreteStatsTable[[#This Row],[HalfWidth]],DiscreteStatsTable[[#This Row],[BatchMeansHalfWidth]])</f>
        <v>3E+20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67</v>
      </c>
      <c r="B13" t="s">
        <v>69</v>
      </c>
      <c r="C13">
        <v>1</v>
      </c>
      <c r="D13" t="s">
        <v>78</v>
      </c>
      <c r="E13" t="s">
        <v>77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5700</v>
      </c>
      <c r="L13" t="str">
        <f>DiscreteStatsTable[[#This Row],[ProjectName]]&amp;DiscreteStatsTable[[#This Row],[Name]]&amp;DiscreteStatsTable[[#This Row],[Type]]&amp;DiscreteStatsTable[[#This Row],[Source]]</f>
        <v>Unnamed ProjectCallBWait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5700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67</v>
      </c>
      <c r="B14" t="s">
        <v>69</v>
      </c>
      <c r="C14">
        <v>1</v>
      </c>
      <c r="D14" t="s">
        <v>79</v>
      </c>
      <c r="E14" t="s">
        <v>80</v>
      </c>
      <c r="F14" t="s">
        <v>81</v>
      </c>
      <c r="G14">
        <v>0</v>
      </c>
      <c r="H14">
        <v>0</v>
      </c>
      <c r="I14">
        <v>0</v>
      </c>
      <c r="J14">
        <v>0</v>
      </c>
      <c r="K14">
        <v>6484</v>
      </c>
      <c r="L14" t="str">
        <f>DiscreteStatsTable[[#This Row],[ProjectName]]&amp;DiscreteStatsTable[[#This Row],[Name]]&amp;DiscreteStatsTable[[#This Row],[Type]]&amp;DiscreteStatsTable[[#This Row],[Source]]</f>
        <v>Unnamed ProjectProcess A to B.QueueWaiting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6484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67</v>
      </c>
      <c r="B15" t="s">
        <v>69</v>
      </c>
      <c r="C15">
        <v>1</v>
      </c>
      <c r="D15" t="s">
        <v>82</v>
      </c>
      <c r="E15" t="s">
        <v>80</v>
      </c>
      <c r="F15" t="s">
        <v>81</v>
      </c>
      <c r="G15">
        <v>0</v>
      </c>
      <c r="H15">
        <v>0</v>
      </c>
      <c r="I15">
        <v>0</v>
      </c>
      <c r="J15">
        <v>0</v>
      </c>
      <c r="K15">
        <v>5605</v>
      </c>
      <c r="L15" t="str">
        <f>DiscreteStatsTable[[#This Row],[ProjectName]]&amp;DiscreteStatsTable[[#This Row],[Name]]&amp;DiscreteStatsTable[[#This Row],[Type]]&amp;DiscreteStatsTable[[#This Row],[Source]]</f>
        <v>Unnamed ProjectProcess B to A.QueueWaiting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5605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19" priority="23">
      <formula>H2=200000000000000000000</formula>
    </cfRule>
  </conditionalFormatting>
  <conditionalFormatting sqref="H2:H15">
    <cfRule type="expression" dxfId="18" priority="21">
      <formula>H2=300000000000000000000</formula>
    </cfRule>
  </conditionalFormatting>
  <conditionalFormatting sqref="L2:Y15">
    <cfRule type="expression" dxfId="17" priority="19">
      <formula>MOD(ROW(),2)=0</formula>
    </cfRule>
  </conditionalFormatting>
  <conditionalFormatting sqref="Y2:Y15">
    <cfRule type="expression" dxfId="16" priority="14">
      <formula>Y2=0</formula>
    </cfRule>
    <cfRule type="expression" dxfId="15" priority="16">
      <formula>Y2=1</formula>
    </cfRule>
  </conditionalFormatting>
  <conditionalFormatting sqref="Y3:Y15">
    <cfRule type="expression" dxfId="14" priority="15">
      <formula>Y3=1</formula>
    </cfRule>
  </conditionalFormatting>
  <conditionalFormatting sqref="W2:W15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15 W2:W15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2"/>
  <sheetViews>
    <sheetView workbookViewId="0">
      <selection activeCell="D2" sqref="D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7265625" bestFit="1" customWidth="1"/>
    <col min="5" max="5" width="21.81640625" bestFit="1" customWidth="1"/>
    <col min="6" max="6" width="12.5429687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269531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67</v>
      </c>
      <c r="B2" t="s">
        <v>69</v>
      </c>
      <c r="C2">
        <v>1</v>
      </c>
      <c r="D2" t="s">
        <v>83</v>
      </c>
      <c r="E2" t="s">
        <v>84</v>
      </c>
      <c r="F2" t="s">
        <v>85</v>
      </c>
      <c r="G2">
        <v>0.78733310679665303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ProjectAChannelsInstantaneous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0.78733310679665303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0.78733310679665303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0.78733310679665303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67</v>
      </c>
      <c r="B3" t="s">
        <v>69</v>
      </c>
      <c r="C3">
        <v>1</v>
      </c>
      <c r="D3" t="s">
        <v>83</v>
      </c>
      <c r="E3" t="s">
        <v>86</v>
      </c>
      <c r="F3" t="s">
        <v>85</v>
      </c>
      <c r="G3">
        <v>22.832660097102899</v>
      </c>
      <c r="H3">
        <v>3E+20</v>
      </c>
      <c r="I3">
        <v>0</v>
      </c>
      <c r="J3">
        <v>29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ProjectAChannelsNumber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22.832660097102899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22.832660097102899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22.832660097102899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67</v>
      </c>
      <c r="B4" t="s">
        <v>69</v>
      </c>
      <c r="C4">
        <v>1</v>
      </c>
      <c r="D4" t="s">
        <v>83</v>
      </c>
      <c r="E4" t="s">
        <v>87</v>
      </c>
      <c r="F4" t="s">
        <v>85</v>
      </c>
      <c r="G4">
        <v>29</v>
      </c>
      <c r="H4">
        <v>2E+20</v>
      </c>
      <c r="I4">
        <v>29</v>
      </c>
      <c r="J4">
        <v>29</v>
      </c>
      <c r="K4">
        <v>29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ProjectAChannelsNumber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29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67</v>
      </c>
      <c r="B5" t="s">
        <v>69</v>
      </c>
      <c r="C5">
        <v>1</v>
      </c>
      <c r="D5" t="s">
        <v>88</v>
      </c>
      <c r="E5" t="s">
        <v>84</v>
      </c>
      <c r="F5" t="s">
        <v>85</v>
      </c>
      <c r="G5">
        <v>0.67699709205710101</v>
      </c>
      <c r="H5">
        <v>2.27962280109241E-2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ProjectBChannelsInstantaneous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0.67699709205710101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0.67699709205710101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0.67699709205710101</v>
      </c>
      <c r="U5">
        <f>IF((ContinuousStatsTable[[#This Row],[RepsRequested]]&gt;1),ContinuousStatsTable[[#This Row],[HalfWidth]],ContinuousStatsTable[[#This Row],[BatchMeansHalfWidth]])</f>
        <v>2.27962280109241E-2</v>
      </c>
    </row>
    <row r="6" spans="1:21" x14ac:dyDescent="0.35">
      <c r="A6" t="s">
        <v>67</v>
      </c>
      <c r="B6" t="s">
        <v>69</v>
      </c>
      <c r="C6">
        <v>1</v>
      </c>
      <c r="D6" t="s">
        <v>88</v>
      </c>
      <c r="E6" t="s">
        <v>86</v>
      </c>
      <c r="F6" t="s">
        <v>85</v>
      </c>
      <c r="G6">
        <v>19.632915669655901</v>
      </c>
      <c r="H6">
        <v>0.661090612316799</v>
      </c>
      <c r="I6">
        <v>0</v>
      </c>
      <c r="J6">
        <v>29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ProjectBChannelsNumber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19.632915669655901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19.632915669655901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19.632915669655901</v>
      </c>
      <c r="U6">
        <f>IF((ContinuousStatsTable[[#This Row],[RepsRequested]]&gt;1),ContinuousStatsTable[[#This Row],[HalfWidth]],ContinuousStatsTable[[#This Row],[BatchMeansHalfWidth]])</f>
        <v>0.661090612316799</v>
      </c>
    </row>
    <row r="7" spans="1:21" x14ac:dyDescent="0.35">
      <c r="A7" t="s">
        <v>67</v>
      </c>
      <c r="B7" t="s">
        <v>69</v>
      </c>
      <c r="C7">
        <v>1</v>
      </c>
      <c r="D7" t="s">
        <v>88</v>
      </c>
      <c r="E7" t="s">
        <v>87</v>
      </c>
      <c r="F7" t="s">
        <v>85</v>
      </c>
      <c r="G7">
        <v>29</v>
      </c>
      <c r="H7">
        <v>2E+20</v>
      </c>
      <c r="I7">
        <v>29</v>
      </c>
      <c r="J7">
        <v>29</v>
      </c>
      <c r="K7">
        <v>29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ProjectBChannelsNumber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29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67</v>
      </c>
      <c r="B8" t="s">
        <v>69</v>
      </c>
      <c r="C8">
        <v>1</v>
      </c>
      <c r="D8" t="s">
        <v>70</v>
      </c>
      <c r="E8" t="s">
        <v>89</v>
      </c>
      <c r="F8" t="s">
        <v>72</v>
      </c>
      <c r="G8">
        <v>22.832660097102899</v>
      </c>
      <c r="H8">
        <v>3E+20</v>
      </c>
      <c r="I8">
        <v>0</v>
      </c>
      <c r="J8">
        <v>30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ProjectCallAWIPEntity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22.832660097102899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22.832660097102899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22.832660097102899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67</v>
      </c>
      <c r="B9" t="s">
        <v>69</v>
      </c>
      <c r="C9">
        <v>1</v>
      </c>
      <c r="D9" t="s">
        <v>78</v>
      </c>
      <c r="E9" t="s">
        <v>89</v>
      </c>
      <c r="F9" t="s">
        <v>72</v>
      </c>
      <c r="G9">
        <v>19.632915669655901</v>
      </c>
      <c r="H9">
        <v>0.661090612316799</v>
      </c>
      <c r="I9">
        <v>0</v>
      </c>
      <c r="J9">
        <v>30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ProjectCallBWIPEntity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19.632915669655901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19.632915669655901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19.632915669655901</v>
      </c>
      <c r="U9">
        <f>IF((ContinuousStatsTable[[#This Row],[RepsRequested]]&gt;1),ContinuousStatsTable[[#This Row],[HalfWidth]],ContinuousStatsTable[[#This Row],[BatchMeansHalfWidth]])</f>
        <v>0.661090612316799</v>
      </c>
    </row>
    <row r="10" spans="1:21" x14ac:dyDescent="0.35">
      <c r="A10" t="s">
        <v>67</v>
      </c>
      <c r="B10" t="s">
        <v>69</v>
      </c>
      <c r="C10">
        <v>1</v>
      </c>
      <c r="D10" t="s">
        <v>79</v>
      </c>
      <c r="E10" t="s">
        <v>90</v>
      </c>
      <c r="F10" t="s">
        <v>81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ProjectProcess A to B.QueueNumber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67</v>
      </c>
      <c r="B11" t="s">
        <v>69</v>
      </c>
      <c r="C11">
        <v>1</v>
      </c>
      <c r="D11" t="s">
        <v>82</v>
      </c>
      <c r="E11" t="s">
        <v>90</v>
      </c>
      <c r="F11" t="s">
        <v>81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ProjectProcess B to A.QueueNumber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67</v>
      </c>
      <c r="B12" t="s">
        <v>69</v>
      </c>
      <c r="C12">
        <v>1</v>
      </c>
      <c r="D12" t="s">
        <v>91</v>
      </c>
      <c r="E12" t="s">
        <v>92</v>
      </c>
      <c r="F12" t="s">
        <v>93</v>
      </c>
      <c r="G12">
        <v>58</v>
      </c>
      <c r="H12">
        <v>2E+20</v>
      </c>
      <c r="I12">
        <v>58</v>
      </c>
      <c r="J12">
        <v>58</v>
      </c>
      <c r="K12">
        <v>58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ProjectTotalChannelsVariableUser Specified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58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58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58</v>
      </c>
      <c r="U12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2">
    <cfRule type="expression" dxfId="10" priority="9">
      <formula>H2=200000000000000000000</formula>
    </cfRule>
  </conditionalFormatting>
  <conditionalFormatting sqref="H2:H12">
    <cfRule type="expression" dxfId="9" priority="7">
      <formula>H2=300000000000000000000</formula>
    </cfRule>
  </conditionalFormatting>
  <conditionalFormatting sqref="M2:U12">
    <cfRule type="expression" dxfId="8" priority="5">
      <formula>MOD(ROW(),2)=0</formula>
    </cfRule>
  </conditionalFormatting>
  <conditionalFormatting sqref="U2:U12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12 U2:U12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3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2.26953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44.0898437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67</v>
      </c>
      <c r="B2" t="s">
        <v>69</v>
      </c>
      <c r="C2">
        <v>1</v>
      </c>
      <c r="D2" t="s">
        <v>94</v>
      </c>
      <c r="E2" t="s">
        <v>95</v>
      </c>
      <c r="F2" t="s">
        <v>93</v>
      </c>
      <c r="G2">
        <v>516</v>
      </c>
      <c r="H2" t="str">
        <f>CountersTable[[#This Row],[ProjectName]]&amp;CountersTable[[#This Row],[Name]]&amp;CountersTable[[#This Row],[Type]]&amp;CountersTable[[#This Row],[Source]]</f>
        <v>Unnamed ProjectACallsBlockedCountUser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516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516</v>
      </c>
      <c r="O2" cm="1">
        <f t="array" ref="O2">MAX(IF((CountersTable[GroupByKey]=CountersTable[[#This Row],[GroupByKey]]),(CountersTable[GroupByKey]=CountersTable[[#This Row],[GroupByKey]])*CountersTable[RecordedValue]))</f>
        <v>516</v>
      </c>
    </row>
    <row r="3" spans="1:15" x14ac:dyDescent="0.35">
      <c r="A3" t="s">
        <v>67</v>
      </c>
      <c r="B3" t="s">
        <v>69</v>
      </c>
      <c r="C3">
        <v>1</v>
      </c>
      <c r="D3" t="s">
        <v>96</v>
      </c>
      <c r="E3" t="s">
        <v>95</v>
      </c>
      <c r="F3" t="s">
        <v>93</v>
      </c>
      <c r="G3">
        <v>95</v>
      </c>
      <c r="H3" t="str">
        <f>CountersTable[[#This Row],[ProjectName]]&amp;CountersTable[[#This Row],[Name]]&amp;CountersTable[[#This Row],[Type]]&amp;CountersTable[[#This Row],[Source]]</f>
        <v>Unnamed ProjectBCallsBlockedCountUser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1</v>
      </c>
      <c r="J3" cm="1">
        <f t="array" ref="J3">IFERROR(AVERAGE(IF((CountersTable[GroupByKey]=CountersTable[[#This Row],[GroupByKey]]),(CountersTable[GroupByKey]=CountersTable[[#This Row],[GroupByKey]])*CountersTable[RecordedValue])),0)</f>
        <v>95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0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3" cm="1">
        <f t="array" ref="N3">MIN(IF((CountersTable[GroupByKey]=CountersTable[[#This Row],[GroupByKey]]),(CountersTable[GroupByKey]=CountersTable[[#This Row],[GroupByKey]])*CountersTable[RecordedValue]))</f>
        <v>95</v>
      </c>
      <c r="O3" cm="1">
        <f t="array" ref="O3">MAX(IF((CountersTable[GroupByKey]=CountersTable[[#This Row],[GroupByKey]]),(CountersTable[GroupByKey]=CountersTable[[#This Row],[GroupByKey]])*CountersTable[RecordedValue]))</f>
        <v>95</v>
      </c>
    </row>
  </sheetData>
  <phoneticPr fontId="2" type="noConversion"/>
  <conditionalFormatting sqref="H2:O3">
    <cfRule type="expression" dxfId="4" priority="2">
      <formula>MOD(ROW(),2)=0</formula>
    </cfRule>
  </conditionalFormatting>
  <conditionalFormatting sqref="M2:M3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0"/>
  <sheetViews>
    <sheetView workbookViewId="0">
      <selection activeCell="H2" sqref="H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4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72656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67</v>
      </c>
      <c r="B2" t="s">
        <v>69</v>
      </c>
      <c r="C2">
        <v>1</v>
      </c>
      <c r="D2" t="s">
        <v>97</v>
      </c>
      <c r="E2" t="s">
        <v>98</v>
      </c>
      <c r="F2" t="s">
        <v>85</v>
      </c>
      <c r="G2">
        <v>6484</v>
      </c>
      <c r="H2">
        <v>0</v>
      </c>
      <c r="I2" t="str">
        <f>OutputTable[[#This Row],[ProjectName]]&amp;OutputTable[[#This Row],[Name]]&amp;OutputTable[[#This Row],[Type]]&amp;OutputTable[[#This Row],[Source]]</f>
        <v>Unnamed ProjectAChannels.NumberSeizedTotal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6484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6484</v>
      </c>
      <c r="P2" cm="1">
        <f t="array" ref="P2">MAX(IF((OutputTable[GroupByKey]=OutputTable[[#This Row],[GroupByKey]]),(OutputTable[GroupByKey]=OutputTable[[#This Row],[GroupByKey]])*OutputTable[RecordedValue]))</f>
        <v>6484</v>
      </c>
    </row>
    <row r="3" spans="1:16" x14ac:dyDescent="0.35">
      <c r="A3" t="s">
        <v>67</v>
      </c>
      <c r="B3" t="s">
        <v>69</v>
      </c>
      <c r="C3">
        <v>1</v>
      </c>
      <c r="D3" t="s">
        <v>99</v>
      </c>
      <c r="E3" t="s">
        <v>100</v>
      </c>
      <c r="F3" t="s">
        <v>85</v>
      </c>
      <c r="G3">
        <v>0.78733310679665103</v>
      </c>
      <c r="H3">
        <v>0</v>
      </c>
      <c r="I3" t="str">
        <f>OutputTable[[#This Row],[ProjectName]]&amp;OutputTable[[#This Row],[Name]]&amp;OutputTable[[#This Row],[Type]]&amp;OutputTable[[#This Row],[Source]]</f>
        <v>Unnamed ProjectAChannels.ScheduledUtilizationScheduled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0.78733310679665103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0.78733310679665103</v>
      </c>
      <c r="P3" cm="1">
        <f t="array" ref="P3">MAX(IF((OutputTable[GroupByKey]=OutputTable[[#This Row],[GroupByKey]]),(OutputTable[GroupByKey]=OutputTable[[#This Row],[GroupByKey]])*OutputTable[RecordedValue]))</f>
        <v>0.78733310679665103</v>
      </c>
    </row>
    <row r="4" spans="1:16" x14ac:dyDescent="0.35">
      <c r="A4" t="s">
        <v>67</v>
      </c>
      <c r="B4" t="s">
        <v>69</v>
      </c>
      <c r="C4">
        <v>1</v>
      </c>
      <c r="D4" t="s">
        <v>101</v>
      </c>
      <c r="E4" t="s">
        <v>98</v>
      </c>
      <c r="F4" t="s">
        <v>85</v>
      </c>
      <c r="G4">
        <v>5605</v>
      </c>
      <c r="H4">
        <v>0</v>
      </c>
      <c r="I4" t="str">
        <f>OutputTable[[#This Row],[ProjectName]]&amp;OutputTable[[#This Row],[Name]]&amp;OutputTable[[#This Row],[Type]]&amp;OutputTable[[#This Row],[Source]]</f>
        <v>Unnamed ProjectBChannels.NumberSeizedTotal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5605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5605</v>
      </c>
      <c r="P4" cm="1">
        <f t="array" ref="P4">MAX(IF((OutputTable[GroupByKey]=OutputTable[[#This Row],[GroupByKey]]),(OutputTable[GroupByKey]=OutputTable[[#This Row],[GroupByKey]])*OutputTable[RecordedValue]))</f>
        <v>5605</v>
      </c>
    </row>
    <row r="5" spans="1:16" x14ac:dyDescent="0.35">
      <c r="A5" t="s">
        <v>67</v>
      </c>
      <c r="B5" t="s">
        <v>69</v>
      </c>
      <c r="C5">
        <v>1</v>
      </c>
      <c r="D5" t="s">
        <v>102</v>
      </c>
      <c r="E5" t="s">
        <v>100</v>
      </c>
      <c r="F5" t="s">
        <v>85</v>
      </c>
      <c r="G5">
        <v>0.67699709205709901</v>
      </c>
      <c r="H5">
        <v>0</v>
      </c>
      <c r="I5" t="str">
        <f>OutputTable[[#This Row],[ProjectName]]&amp;OutputTable[[#This Row],[Name]]&amp;OutputTable[[#This Row],[Type]]&amp;OutputTable[[#This Row],[Source]]</f>
        <v>Unnamed ProjectBChannels.ScheduledUtilizationScheduled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0.67699709205709901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0.67699709205709901</v>
      </c>
      <c r="P5" cm="1">
        <f t="array" ref="P5">MAX(IF((OutputTable[GroupByKey]=OutputTable[[#This Row],[GroupByKey]]),(OutputTable[GroupByKey]=OutputTable[[#This Row],[GroupByKey]])*OutputTable[RecordedValue]))</f>
        <v>0.67699709205709901</v>
      </c>
    </row>
    <row r="6" spans="1:16" x14ac:dyDescent="0.35">
      <c r="A6" t="s">
        <v>67</v>
      </c>
      <c r="B6" t="s">
        <v>69</v>
      </c>
      <c r="C6">
        <v>1</v>
      </c>
      <c r="D6" t="s">
        <v>103</v>
      </c>
      <c r="E6" t="s">
        <v>104</v>
      </c>
      <c r="F6" t="s">
        <v>72</v>
      </c>
      <c r="G6">
        <v>7000</v>
      </c>
      <c r="H6">
        <v>0</v>
      </c>
      <c r="I6" t="str">
        <f>OutputTable[[#This Row],[ProjectName]]&amp;OutputTable[[#This Row],[Name]]&amp;OutputTable[[#This Row],[Type]]&amp;OutputTable[[#This Row],[Source]]</f>
        <v>Unnamed ProjectCallA.NumberInNumber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7000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7000</v>
      </c>
      <c r="P6" cm="1">
        <f t="array" ref="P6">MAX(IF((OutputTable[GroupByKey]=OutputTable[[#This Row],[GroupByKey]]),(OutputTable[GroupByKey]=OutputTable[[#This Row],[GroupByKey]])*OutputTable[RecordedValue]))</f>
        <v>7000</v>
      </c>
    </row>
    <row r="7" spans="1:16" x14ac:dyDescent="0.35">
      <c r="A7" t="s">
        <v>67</v>
      </c>
      <c r="B7" t="s">
        <v>69</v>
      </c>
      <c r="C7">
        <v>1</v>
      </c>
      <c r="D7" t="s">
        <v>105</v>
      </c>
      <c r="E7" t="s">
        <v>106</v>
      </c>
      <c r="F7" t="s">
        <v>72</v>
      </c>
      <c r="G7">
        <v>7000</v>
      </c>
      <c r="H7">
        <v>0</v>
      </c>
      <c r="I7" t="str">
        <f>OutputTable[[#This Row],[ProjectName]]&amp;OutputTable[[#This Row],[Name]]&amp;OutputTable[[#This Row],[Type]]&amp;OutputTable[[#This Row],[Source]]</f>
        <v>Unnamed ProjectCallA.NumberOutNumber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7000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7000</v>
      </c>
      <c r="P7" cm="1">
        <f t="array" ref="P7">MAX(IF((OutputTable[GroupByKey]=OutputTable[[#This Row],[GroupByKey]]),(OutputTable[GroupByKey]=OutputTable[[#This Row],[GroupByKey]])*OutputTable[RecordedValue]))</f>
        <v>7000</v>
      </c>
    </row>
    <row r="8" spans="1:16" x14ac:dyDescent="0.35">
      <c r="A8" t="s">
        <v>67</v>
      </c>
      <c r="B8" t="s">
        <v>69</v>
      </c>
      <c r="C8">
        <v>1</v>
      </c>
      <c r="D8" t="s">
        <v>107</v>
      </c>
      <c r="E8" t="s">
        <v>104</v>
      </c>
      <c r="F8" t="s">
        <v>72</v>
      </c>
      <c r="G8">
        <v>5700</v>
      </c>
      <c r="H8">
        <v>0</v>
      </c>
      <c r="I8" t="str">
        <f>OutputTable[[#This Row],[ProjectName]]&amp;OutputTable[[#This Row],[Name]]&amp;OutputTable[[#This Row],[Type]]&amp;OutputTable[[#This Row],[Source]]</f>
        <v>Unnamed ProjectCallB.NumberInNumber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5700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5700</v>
      </c>
      <c r="P8" cm="1">
        <f t="array" ref="P8">MAX(IF((OutputTable[GroupByKey]=OutputTable[[#This Row],[GroupByKey]]),(OutputTable[GroupByKey]=OutputTable[[#This Row],[GroupByKey]])*OutputTable[RecordedValue]))</f>
        <v>5700</v>
      </c>
    </row>
    <row r="9" spans="1:16" x14ac:dyDescent="0.35">
      <c r="A9" t="s">
        <v>67</v>
      </c>
      <c r="B9" t="s">
        <v>69</v>
      </c>
      <c r="C9">
        <v>1</v>
      </c>
      <c r="D9" t="s">
        <v>108</v>
      </c>
      <c r="E9" t="s">
        <v>106</v>
      </c>
      <c r="F9" t="s">
        <v>72</v>
      </c>
      <c r="G9">
        <v>5700</v>
      </c>
      <c r="H9">
        <v>0</v>
      </c>
      <c r="I9" t="str">
        <f>OutputTable[[#This Row],[ProjectName]]&amp;OutputTable[[#This Row],[Name]]&amp;OutputTable[[#This Row],[Type]]&amp;OutputTable[[#This Row],[Source]]</f>
        <v>Unnamed ProjectCallB.NumberOutNumber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5700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5700</v>
      </c>
      <c r="P9" cm="1">
        <f t="array" ref="P9">MAX(IF((OutputTable[GroupByKey]=OutputTable[[#This Row],[GroupByKey]]),(OutputTable[GroupByKey]=OutputTable[[#This Row],[GroupByKey]])*OutputTable[RecordedValue]))</f>
        <v>5700</v>
      </c>
    </row>
    <row r="10" spans="1:16" x14ac:dyDescent="0.35">
      <c r="A10" t="s">
        <v>67</v>
      </c>
      <c r="B10" t="s">
        <v>69</v>
      </c>
      <c r="C10">
        <v>1</v>
      </c>
      <c r="D10" t="s">
        <v>109</v>
      </c>
      <c r="E10" t="s">
        <v>106</v>
      </c>
      <c r="F10" t="s">
        <v>110</v>
      </c>
      <c r="G10">
        <v>12700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12700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12700</v>
      </c>
      <c r="P10" cm="1">
        <f t="array" ref="P10">MAX(IF((OutputTable[GroupByKey]=OutputTable[[#This Row],[GroupByKey]]),(OutputTable[GroupByKey]=OutputTable[[#This Row],[GroupByKey]])*OutputTable[RecordedValue]))</f>
        <v>12700</v>
      </c>
    </row>
  </sheetData>
  <phoneticPr fontId="2" type="noConversion"/>
  <conditionalFormatting sqref="I2:P10">
    <cfRule type="expression" dxfId="2" priority="2">
      <formula>MOD(ROW(),2)=0</formula>
    </cfRule>
  </conditionalFormatting>
  <conditionalFormatting sqref="N2:N10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3.36328125" bestFit="1" customWidth="1"/>
    <col min="12" max="12" width="28.36328125" bestFit="1" customWidth="1"/>
    <col min="13" max="13" width="29.1796875" bestFit="1" customWidth="1"/>
    <col min="14" max="14" width="16.08984375" bestFit="1" customWidth="1"/>
    <col min="15" max="15" width="27.08984375" bestFit="1" customWidth="1"/>
    <col min="16" max="16" width="28" bestFit="1" customWidth="1"/>
    <col min="17" max="17" width="29.1796875" bestFit="1" customWidth="1"/>
    <col min="18" max="18" width="28.36328125" bestFit="1" customWidth="1"/>
    <col min="19" max="19" width="26.1796875" bestFit="1" customWidth="1"/>
    <col min="20" max="20" width="29.90625" bestFit="1" customWidth="1"/>
    <col min="21" max="21" width="31.90625" bestFit="1" customWidth="1"/>
    <col min="22" max="22" width="32.089843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Vaibhav Deb</cp:lastModifiedBy>
  <cp:lastPrinted>2022-03-22T10:33:10Z</cp:lastPrinted>
  <dcterms:created xsi:type="dcterms:W3CDTF">2020-06-29T21:30:31Z</dcterms:created>
  <dcterms:modified xsi:type="dcterms:W3CDTF">2025-02-16T08:21:35Z</dcterms:modified>
</cp:coreProperties>
</file>