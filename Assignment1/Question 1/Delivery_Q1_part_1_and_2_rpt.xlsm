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oondunine\Documents\simu\Assignment_1\"/>
    </mc:Choice>
  </mc:AlternateContent>
  <xr:revisionPtr revIDLastSave="0" documentId="13_ncr:1_{897AA276-4D42-4F65-879F-838873430E43}" xr6:coauthVersionLast="47" xr6:coauthVersionMax="47" xr10:uidLastSave="{00000000-0000-0000-0000-000000000000}"/>
  <bookViews>
    <workbookView xWindow="2895" yWindow="2895" windowWidth="28800" windowHeight="15885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ContinuousTimeStatsByRep!$A$1:$L$8</definedName>
    <definedName name="ExternalData_1" localSheetId="4" hidden="1">CounterStatsByRep!$A$1:$G$2</definedName>
    <definedName name="ExternalData_1" localSheetId="2" hidden="1">DiscreteTimeStatsByRep!$A$1:$K$8</definedName>
    <definedName name="ExternalData_1" localSheetId="6" hidden="1">FrequencyStatsByRep!$A$1:$J$2</definedName>
    <definedName name="ExternalData_1" localSheetId="5" hidden="1">OutputStatsByRep!$A$1:$H$6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K2" i="20" s="1" a="1"/>
  <c r="K2" i="20" s="1"/>
  <c r="I4" i="20"/>
  <c r="I5" i="20"/>
  <c r="L3" i="20" s="1" a="1"/>
  <c r="L3" i="20" s="1"/>
  <c r="I6" i="20"/>
  <c r="O2" i="20" s="1" a="1"/>
  <c r="O2" i="20" s="1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O6" i="20" a="1"/>
  <c r="O6" i="20" s="1"/>
  <c r="P6" i="20" a="1"/>
  <c r="P6" i="20" s="1"/>
  <c r="H2" i="19"/>
  <c r="J2" i="19" s="1" a="1"/>
  <c r="J2" i="19" s="1"/>
  <c r="I2" i="19" a="1"/>
  <c r="I2" i="19" s="1"/>
  <c r="L2" i="19" a="1"/>
  <c r="L2" i="19" s="1"/>
  <c r="N2" i="19" a="1"/>
  <c r="N2" i="19" s="1"/>
  <c r="M2" i="18"/>
  <c r="M3" i="18"/>
  <c r="M4" i="18"/>
  <c r="M5" i="18"/>
  <c r="M6" i="18"/>
  <c r="S3" i="18" s="1" a="1"/>
  <c r="S3" i="18" s="1"/>
  <c r="M7" i="18"/>
  <c r="M8" i="18"/>
  <c r="O8" i="18" s="1" a="1"/>
  <c r="O8" i="18" s="1"/>
  <c r="N2" i="18" a="1"/>
  <c r="N2" i="18" s="1"/>
  <c r="N3" i="18" a="1"/>
  <c r="N3" i="18" s="1"/>
  <c r="N4" i="18" a="1"/>
  <c r="N4" i="18" s="1"/>
  <c r="U4" i="18" s="1"/>
  <c r="N5" i="18" a="1"/>
  <c r="N5" i="18" s="1"/>
  <c r="N6" i="18" a="1"/>
  <c r="N6" i="18" s="1"/>
  <c r="N7" i="18" a="1"/>
  <c r="N7" i="18" s="1"/>
  <c r="N8" i="18" a="1"/>
  <c r="N8" i="18" s="1"/>
  <c r="U8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L2" i="17"/>
  <c r="L3" i="17"/>
  <c r="L4" i="17"/>
  <c r="O3" i="17" s="1" a="1"/>
  <c r="O3" i="17" s="1"/>
  <c r="L5" i="17"/>
  <c r="S5" i="17" s="1" a="1"/>
  <c r="S5" i="17" s="1"/>
  <c r="L6" i="17"/>
  <c r="L7" i="17"/>
  <c r="L8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R7" i="17" a="1"/>
  <c r="R7" i="17" s="1"/>
  <c r="S8" i="17" a="1"/>
  <c r="S8" i="17" s="1"/>
  <c r="T8" i="17" a="1"/>
  <c r="T8" i="17" s="1"/>
  <c r="V2" i="17" a="1"/>
  <c r="V2" i="17" s="1"/>
  <c r="V3" i="17" a="1"/>
  <c r="V3" i="17" s="1"/>
  <c r="X3" i="17" a="1"/>
  <c r="X3" i="17" s="1"/>
  <c r="X4" i="17" a="1"/>
  <c r="X4" i="17" s="1"/>
  <c r="G2" i="16"/>
  <c r="L2" i="20" l="1" a="1"/>
  <c r="L2" i="20" s="1"/>
  <c r="N3" i="20"/>
  <c r="P5" i="20" a="1"/>
  <c r="P5" i="20" s="1"/>
  <c r="O5" i="20" a="1"/>
  <c r="O5" i="20" s="1"/>
  <c r="K5" i="20" a="1"/>
  <c r="K5" i="20" s="1"/>
  <c r="N2" i="20"/>
  <c r="K3" i="20" a="1"/>
  <c r="K3" i="20" s="1"/>
  <c r="P4" i="20" a="1"/>
  <c r="P4" i="20" s="1"/>
  <c r="O4" i="20" a="1"/>
  <c r="O4" i="20" s="1"/>
  <c r="L6" i="20" a="1"/>
  <c r="L6" i="20" s="1"/>
  <c r="P3" i="20" a="1"/>
  <c r="P3" i="20" s="1"/>
  <c r="L5" i="20" a="1"/>
  <c r="L5" i="20" s="1"/>
  <c r="N5" i="20" s="1"/>
  <c r="K6" i="20" a="1"/>
  <c r="K6" i="20" s="1"/>
  <c r="P2" i="20" a="1"/>
  <c r="P2" i="20" s="1"/>
  <c r="L4" i="20" a="1"/>
  <c r="L4" i="20" s="1"/>
  <c r="N4" i="20" s="1"/>
  <c r="K4" i="20" a="1"/>
  <c r="K4" i="20" s="1"/>
  <c r="O3" i="20" a="1"/>
  <c r="O3" i="20" s="1"/>
  <c r="N6" i="20"/>
  <c r="O2" i="19" a="1"/>
  <c r="O2" i="19" s="1"/>
  <c r="K2" i="19" a="1"/>
  <c r="K2" i="19" s="1"/>
  <c r="M2" i="19" s="1"/>
  <c r="P7" i="18" a="1"/>
  <c r="P7" i="18" s="1"/>
  <c r="P4" i="18" a="1"/>
  <c r="P4" i="18" s="1"/>
  <c r="S7" i="18" a="1"/>
  <c r="S7" i="18" s="1"/>
  <c r="P3" i="18" a="1"/>
  <c r="P3" i="18" s="1"/>
  <c r="R3" i="18" s="1"/>
  <c r="O7" i="18" a="1"/>
  <c r="O7" i="18" s="1"/>
  <c r="T8" i="18" a="1"/>
  <c r="T8" i="18" s="1"/>
  <c r="T7" i="18" a="1"/>
  <c r="T7" i="18" s="1"/>
  <c r="S6" i="18" a="1"/>
  <c r="S6" i="18" s="1"/>
  <c r="O6" i="18" a="1"/>
  <c r="O6" i="18" s="1"/>
  <c r="T2" i="18" a="1"/>
  <c r="T2" i="18" s="1"/>
  <c r="O3" i="18" a="1"/>
  <c r="O3" i="18" s="1"/>
  <c r="T3" i="18" a="1"/>
  <c r="T3" i="18" s="1"/>
  <c r="P6" i="18" a="1"/>
  <c r="P6" i="18" s="1"/>
  <c r="T6" i="18" a="1"/>
  <c r="T6" i="18" s="1"/>
  <c r="S2" i="18" a="1"/>
  <c r="S2" i="18" s="1"/>
  <c r="P8" i="18" a="1"/>
  <c r="P8" i="18" s="1"/>
  <c r="R8" i="18" s="1"/>
  <c r="O2" i="18" a="1"/>
  <c r="O2" i="18" s="1"/>
  <c r="U6" i="18"/>
  <c r="R6" i="18"/>
  <c r="U2" i="18"/>
  <c r="U7" i="18"/>
  <c r="R7" i="18"/>
  <c r="R4" i="18"/>
  <c r="U5" i="18"/>
  <c r="U3" i="18"/>
  <c r="S5" i="18" a="1"/>
  <c r="S5" i="18" s="1"/>
  <c r="O5" i="18" a="1"/>
  <c r="O5" i="18" s="1"/>
  <c r="P2" i="18" a="1"/>
  <c r="P2" i="18" s="1"/>
  <c r="R2" i="18" s="1"/>
  <c r="T5" i="18" a="1"/>
  <c r="T5" i="18" s="1"/>
  <c r="S8" i="18" a="1"/>
  <c r="S8" i="18" s="1"/>
  <c r="S4" i="18" a="1"/>
  <c r="S4" i="18" s="1"/>
  <c r="P5" i="18" a="1"/>
  <c r="P5" i="18" s="1"/>
  <c r="R5" i="18" s="1"/>
  <c r="O4" i="18" a="1"/>
  <c r="O4" i="18" s="1"/>
  <c r="T4" i="18" a="1"/>
  <c r="T4" i="18" s="1"/>
  <c r="X7" i="17" a="1"/>
  <c r="X7" i="17" s="1"/>
  <c r="V6" i="17" a="1"/>
  <c r="V6" i="17" s="1"/>
  <c r="U5" i="17" a="1"/>
  <c r="U5" i="17" s="1"/>
  <c r="T5" i="17" a="1"/>
  <c r="T5" i="17" s="1"/>
  <c r="S4" i="17" a="1"/>
  <c r="S4" i="17" s="1"/>
  <c r="R4" i="17" a="1"/>
  <c r="R4" i="17" s="1"/>
  <c r="N8" i="17" a="1"/>
  <c r="N8" i="17" s="1"/>
  <c r="O6" i="17" a="1"/>
  <c r="O6" i="17" s="1"/>
  <c r="X6" i="17" a="1"/>
  <c r="X6" i="17" s="1"/>
  <c r="V5" i="17" a="1"/>
  <c r="V5" i="17" s="1"/>
  <c r="U4" i="17" a="1"/>
  <c r="U4" i="17" s="1"/>
  <c r="T4" i="17" a="1"/>
  <c r="T4" i="17" s="1"/>
  <c r="S3" i="17" a="1"/>
  <c r="S3" i="17" s="1"/>
  <c r="R3" i="17" a="1"/>
  <c r="R3" i="17" s="1"/>
  <c r="N3" i="17" a="1"/>
  <c r="N3" i="17" s="1"/>
  <c r="X5" i="17" a="1"/>
  <c r="X5" i="17" s="1"/>
  <c r="V4" i="17" a="1"/>
  <c r="V4" i="17" s="1"/>
  <c r="U3" i="17" a="1"/>
  <c r="U3" i="17" s="1"/>
  <c r="T3" i="17" a="1"/>
  <c r="T3" i="17" s="1"/>
  <c r="S2" i="17" a="1"/>
  <c r="S2" i="17" s="1"/>
  <c r="R2" i="17" a="1"/>
  <c r="R2" i="17" s="1"/>
  <c r="O8" i="17" a="1"/>
  <c r="O8" i="17" s="1"/>
  <c r="U2" i="17" a="1"/>
  <c r="U2" i="17" s="1"/>
  <c r="T2" i="17" a="1"/>
  <c r="T2" i="17" s="1"/>
  <c r="R8" i="17" a="1"/>
  <c r="R8" i="17" s="1"/>
  <c r="O7" i="17" a="1"/>
  <c r="O7" i="17" s="1"/>
  <c r="N4" i="17" a="1"/>
  <c r="N4" i="17" s="1"/>
  <c r="S7" i="17" a="1"/>
  <c r="S7" i="17" s="1"/>
  <c r="R6" i="17" a="1"/>
  <c r="R6" i="17" s="1"/>
  <c r="O5" i="17" a="1"/>
  <c r="O5" i="17" s="1"/>
  <c r="X2" i="17" a="1"/>
  <c r="X2" i="17" s="1"/>
  <c r="V8" i="17" a="1"/>
  <c r="V8" i="17" s="1"/>
  <c r="U7" i="17" a="1"/>
  <c r="U7" i="17" s="1"/>
  <c r="T7" i="17" a="1"/>
  <c r="T7" i="17" s="1"/>
  <c r="S6" i="17" a="1"/>
  <c r="S6" i="17" s="1"/>
  <c r="R5" i="17" a="1"/>
  <c r="R5" i="17" s="1"/>
  <c r="O4" i="17" a="1"/>
  <c r="O4" i="17" s="1"/>
  <c r="U8" i="17" a="1"/>
  <c r="U8" i="17" s="1"/>
  <c r="X8" i="17" a="1"/>
  <c r="X8" i="17" s="1"/>
  <c r="V7" i="17" a="1"/>
  <c r="V7" i="17" s="1"/>
  <c r="U6" i="17" a="1"/>
  <c r="U6" i="17" s="1"/>
  <c r="T6" i="17" a="1"/>
  <c r="T6" i="17" s="1"/>
  <c r="N2" i="17" a="1"/>
  <c r="N2" i="17" s="1"/>
  <c r="O2" i="17" a="1"/>
  <c r="O2" i="17" s="1"/>
  <c r="N7" i="17" a="1"/>
  <c r="N7" i="17" s="1"/>
  <c r="N6" i="17" a="1"/>
  <c r="N6" i="17" s="1"/>
  <c r="N5" i="17" a="1"/>
  <c r="N5" i="17" s="1"/>
  <c r="Y8" i="17"/>
  <c r="Q8" i="17" s="1"/>
  <c r="W8" i="17"/>
  <c r="Y6" i="17"/>
  <c r="Q6" i="17" s="1"/>
  <c r="W6" i="17"/>
  <c r="Y4" i="17"/>
  <c r="Q4" i="17" s="1"/>
  <c r="W4" i="17"/>
  <c r="Y2" i="17"/>
  <c r="Q2" i="17" s="1"/>
  <c r="W2" i="17"/>
  <c r="W7" i="17"/>
  <c r="Y7" i="17"/>
  <c r="Q7" i="17" s="1"/>
  <c r="Y5" i="17"/>
  <c r="Q5" i="17" s="1"/>
  <c r="W5" i="17"/>
  <c r="W3" i="17"/>
  <c r="Y3" i="17"/>
  <c r="Q3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goondunine\documents\simu\assignment_1\delivery_q1_part_1_and_2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goondunine\documents\simu\assignment_1\delivery_q1_part_1_and_2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goondunine\documents\simu\assignment_1\delivery_q1_part_1_and_2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goondunine\documents\simu\assignment_1\delivery_q1_part_1_and_2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goondunine\documents\simu\assignment_1\delivery_q1_part_1_and_2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goondunine\documents\simu\assignment_1\delivery_q1_part_1_and_2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<sst xmlns="http://schemas.openxmlformats.org/spreadsheetml/2006/main" count="317" uniqueCount="104">
  <si>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</si>
  <si>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</si>
  <si>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</si>
  <si>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</si>
  <si>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</si>
  <si>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</si>
  <si>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</si>
  <si>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</si>
  <si>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</si>
  <si>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</si>
  <si>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</si>
  <si>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</si>
  <si>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</si>
  <si>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</si>
  <si>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</si>
  <si>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</si>
  <si>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</si>
  <si>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</si>
  <si>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</si>
  <si>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</si>
  <si>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</si>
  <si>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</si>
  <si>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</si>
  <si>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</si>
  <si>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</si>
  <si>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</si>
  <si>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</si>
  <si>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</si>
  <si>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</si>
  <si>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</si>
  <si>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</si>
  <si>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</si>
  <si>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</si>
  <si>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</si>
  <si>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</si>
  <si>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</si>
  <si>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</si>
  <si>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</si>
  <si>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</si>
  <si>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</si>
  <si>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</si>
  <si>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</si>
  <si>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</si>
  <si>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</si>
  <si>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</si>
  <si>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</si>
  <si>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</si>
  <si>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</si>
  <si>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</si>
  <si>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</si>
  <si>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</si>
  <si>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</si>
  <si>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</si>
  <si>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</si>
  <si>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</si>
  <si>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</si>
  <si>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</si>
  <si>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</si>
  <si>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</si>
  <si>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</si>
  <si>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</si>
  <si>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</si>
  <si>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</si>
  <si>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</si>
  <si>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</si>
  <si>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</si>
  <si>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</si>
  <si>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</si>
  <si>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C:\Users\goondunine\Documents\simu\Assignment_1\Delivery_Q1_part_1_and_2.p</t>
  </si>
  <si>
    <t>2025-02-17 08:47:55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</si>
  <si>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</si>
  <si>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</si>
  <si>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</si>
  <si>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</si>
  <si>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</si>
  <si>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</si>
  <si>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</si>
  <si>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</si>
  <si>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Counter A.Queue</t>
  </si>
  <si>
    <t>Waiting Time</t>
  </si>
  <si>
    <t>Queue</t>
  </si>
  <si>
    <t>WIP</t>
  </si>
  <si>
    <t>CustomerArrivalMean</t>
  </si>
  <si>
    <t>Variable</t>
  </si>
  <si>
    <t>User Specified</t>
  </si>
  <si>
    <t>Number Waiting</t>
  </si>
  <si>
    <t>ServiceTimeMean</t>
  </si>
  <si>
    <t>counter A</t>
  </si>
  <si>
    <t>Instantaneous Utilization</t>
  </si>
  <si>
    <t>Resource</t>
  </si>
  <si>
    <t>Number Busy</t>
  </si>
  <si>
    <t>Number Scheduled</t>
  </si>
  <si>
    <t>Wait time more than 6 mins</t>
  </si>
  <si>
    <t>Count</t>
  </si>
  <si>
    <t>Customer.NumberIn</t>
  </si>
  <si>
    <t>Number In</t>
  </si>
  <si>
    <t>Customer.NumberOut</t>
  </si>
  <si>
    <t>Number Out</t>
  </si>
  <si>
    <t>System.NumberOut</t>
  </si>
  <si>
    <t>System</t>
  </si>
  <si>
    <t>counter A.NumberSeized</t>
  </si>
  <si>
    <t>Total Number Seized</t>
  </si>
  <si>
    <t>counter A.ScheduledUtilization</t>
  </si>
  <si>
    <t>Scheduled Utilization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</si>
</sst>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ondunine" refreshedDate="45705.36675173611" createdVersion="7" refreshedVersion="8" minRefreshableVersion="3" recordCount="7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1">
        <s v="Customer"/>
        <s v="Service Counter A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21.561335932248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.3439466027193101"/>
    </cacheField>
    <cacheField name="Maximum" numFmtId="0">
      <sharedItems containsSemiMixedTypes="0" containsString="0" containsNumber="1" minValue="0" maxValue="188.582573166435"/>
    </cacheField>
    <cacheField name="NumberObservations" numFmtId="0">
      <sharedItems containsSemiMixedTypes="0" containsString="0" containsNumber="1" containsInteger="1" minValue="100" maxValue="10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21.561335932248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21.56133593224899"/>
    </cacheField>
    <cacheField name="MaximumAverage" numFmtId="0">
      <sharedItems containsSemiMixedTypes="0" containsString="0" containsNumber="1" minValue="0" maxValue="121.56133593224899"/>
    </cacheField>
    <cacheField name="OverallMinimum" numFmtId="0">
      <sharedItems containsSemiMixedTypes="0" containsString="0" containsNumber="1" minValue="0" maxValue="1.3439466027193101"/>
    </cacheField>
    <cacheField name="OverallMaximum" numFmtId="0">
      <sharedItems containsSemiMixedTypes="0" containsString="0" containsNumber="1" minValue="0" maxValue="188.582573166435"/>
    </cacheField>
    <cacheField name="AverageNumberObservations" numFmtId="0">
      <sharedItems containsSemiMixedTypes="0" containsString="0" containsNumber="1" containsInteger="1" minValue="100" maxValue="100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ondunine" refreshedDate="45705.366751851849" createdVersion="7" refreshedVersion="8" minRefreshableVersion="3" recordCount="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3">
        <s v="Customer.NumberIn"/>
        <s v="Customer.NumberOut"/>
        <s v="System.NumberOut"/>
        <s v="counter A.NumberSeized"/>
        <s v="counter A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System"/>
        <s v="Resource"/>
        <m u="1"/>
        <s v="Process" u="1"/>
      </sharedItems>
    </cacheField>
    <cacheField name="RecordedValue" numFmtId="0">
      <sharedItems containsSemiMixedTypes="0" containsString="0" containsNumber="1" minValue="0.988081196019445" maxValue="10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988081196019445" maxValue="10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988081196019445" maxValue="100"/>
    </cacheField>
    <cacheField name="Maximum" numFmtId="0">
      <sharedItems containsSemiMixedTypes="0" containsString="0" containsNumber="1" minValue="0.988081196019445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ondunine" refreshedDate="45705.366751967595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5">
        <s v="Wait time more than 6 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94" maxValue="94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94" maxValue="94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94" maxValue="94"/>
    </cacheField>
    <cacheField name="Maximum" numFmtId="0">
      <sharedItems containsSemiMixedTypes="0" containsString="0" containsNumber="1" containsInteger="1" minValue="94" maxValue="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ondunine" refreshedDate="45705.366752083333" createdVersion="7" refreshedVersion="8" minRefreshableVersion="3" recordCount="7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9">
        <s v="Customer"/>
        <s v="CustomerArrivalMean"/>
        <s v="Service Counter A.Queue"/>
        <s v="ServiceTimeMean"/>
        <s v="counter A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8">
        <s v="WIP"/>
        <s v="Variable"/>
        <s v="Number Waiting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Entity"/>
        <s v="User Specified"/>
        <s v="Queue"/>
        <s v="Resource"/>
        <m u="1"/>
      </sharedItems>
    </cacheField>
    <cacheField name="Average" numFmtId="0">
      <sharedItems containsSemiMixedTypes="0" containsString="0" containsNumber="1" minValue="0.988081196019445" maxValue="14.0694250798143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8"/>
    </cacheField>
    <cacheField name="Maximum" numFmtId="0">
      <sharedItems containsSemiMixedTypes="0" containsString="0" containsNumber="1" containsInteger="1" minValue="1" maxValue="24"/>
    </cacheField>
    <cacheField name="LastRecordedValue" numFmtId="0">
      <sharedItems containsSemiMixedTypes="0" containsString="0" containsNumber="1" containsInteger="1" minValue="0" maxValue="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988081196019445" maxValue="14.0694250798143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988081196019445" maxValue="14.069425079814399"/>
    </cacheField>
    <cacheField name="MaximumAverage" numFmtId="0">
      <sharedItems containsSemiMixedTypes="0" containsString="0" containsNumber="1" minValue="0.988081196019445" maxValue="14.069425079814399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ondunine" refreshedDate="45705.366752199072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5-02-17 08:47:55"/>
    <n v="1"/>
    <x v="0"/>
    <x v="0"/>
    <x v="0"/>
    <n v="0"/>
    <n v="2E+20"/>
    <n v="0"/>
    <n v="0"/>
    <n v="100"/>
    <s v="Unnamed ProjectCustomerNVA TimeEntity"/>
    <n v="1"/>
    <n v="0"/>
    <n v="0"/>
    <n v="0.95"/>
    <n v="4E+20"/>
    <n v="0"/>
    <n v="0"/>
    <n v="0"/>
    <n v="0"/>
    <n v="100"/>
    <n v="2E+20"/>
    <n v="1"/>
    <n v="1"/>
  </r>
  <r>
    <x v="0"/>
    <s v="2025-02-17 08:47:55"/>
    <n v="1"/>
    <x v="0"/>
    <x v="1"/>
    <x v="0"/>
    <n v="0"/>
    <n v="2E+20"/>
    <n v="0"/>
    <n v="0"/>
    <n v="100"/>
    <s v="Unnamed ProjectCustomerOther TimeEntity"/>
    <n v="1"/>
    <n v="0"/>
    <n v="0"/>
    <n v="0.95"/>
    <n v="4E+20"/>
    <n v="0"/>
    <n v="0"/>
    <n v="0"/>
    <n v="0"/>
    <n v="100"/>
    <n v="2E+20"/>
    <n v="1"/>
    <n v="1"/>
  </r>
  <r>
    <x v="0"/>
    <s v="2025-02-17 08:47:55"/>
    <n v="1"/>
    <x v="0"/>
    <x v="2"/>
    <x v="0"/>
    <n v="121.56133593224899"/>
    <n v="2E+20"/>
    <n v="1.3439466027193101"/>
    <n v="188.582573166435"/>
    <n v="100"/>
    <s v="Unnamed ProjectCustomerTotal TimeEntity"/>
    <n v="1"/>
    <n v="121.56133593224899"/>
    <n v="0"/>
    <n v="0.95"/>
    <n v="4E+20"/>
    <n v="121.56133593224899"/>
    <n v="121.56133593224899"/>
    <n v="1.3439466027193101"/>
    <n v="188.582573166435"/>
    <n v="100"/>
    <n v="2E+20"/>
    <n v="1"/>
    <n v="1"/>
  </r>
  <r>
    <x v="0"/>
    <s v="2025-02-17 08:47:55"/>
    <n v="1"/>
    <x v="0"/>
    <x v="3"/>
    <x v="0"/>
    <n v="0"/>
    <n v="2E+20"/>
    <n v="0"/>
    <n v="0"/>
    <n v="100"/>
    <s v="Unnamed ProjectCustomerTransfer TimeEntity"/>
    <n v="1"/>
    <n v="0"/>
    <n v="0"/>
    <n v="0.95"/>
    <n v="4E+20"/>
    <n v="0"/>
    <n v="0"/>
    <n v="0"/>
    <n v="0"/>
    <n v="100"/>
    <n v="2E+20"/>
    <n v="1"/>
    <n v="1"/>
  </r>
  <r>
    <x v="0"/>
    <s v="2025-02-17 08:47:55"/>
    <n v="1"/>
    <x v="0"/>
    <x v="4"/>
    <x v="0"/>
    <n v="8.5371271047873005"/>
    <n v="2E+20"/>
    <n v="2.4808099713027301E-2"/>
    <n v="41.1827233327475"/>
    <n v="100"/>
    <s v="Unnamed ProjectCustomerVA TimeEntity"/>
    <n v="1"/>
    <n v="8.5371271047873005"/>
    <n v="0"/>
    <n v="0.95"/>
    <n v="4E+20"/>
    <n v="8.5371271047873005"/>
    <n v="8.5371271047873005"/>
    <n v="2.4808099713027301E-2"/>
    <n v="41.1827233327475"/>
    <n v="100"/>
    <n v="2E+20"/>
    <n v="1"/>
    <n v="1"/>
  </r>
  <r>
    <x v="0"/>
    <s v="2025-02-17 08:47:55"/>
    <n v="1"/>
    <x v="0"/>
    <x v="5"/>
    <x v="0"/>
    <n v="113.024208827461"/>
    <n v="2E+20"/>
    <n v="0"/>
    <n v="182.425309110326"/>
    <n v="100"/>
    <s v="Unnamed ProjectCustomerWait TimeEntity"/>
    <n v="1"/>
    <n v="113.024208827461"/>
    <n v="0"/>
    <n v="0.95"/>
    <n v="4E+20"/>
    <n v="113.024208827461"/>
    <n v="113.024208827461"/>
    <n v="0"/>
    <n v="182.425309110326"/>
    <n v="100"/>
    <n v="2E+20"/>
    <n v="1"/>
    <n v="1"/>
  </r>
  <r>
    <x v="0"/>
    <s v="2025-02-17 08:47:55"/>
    <n v="1"/>
    <x v="1"/>
    <x v="6"/>
    <x v="1"/>
    <n v="113.024208827461"/>
    <n v="2E+20"/>
    <n v="0"/>
    <n v="182.425309110326"/>
    <n v="100"/>
    <s v="Unnamed ProjectService Counter A.QueueWaiting TimeQueue"/>
    <n v="1"/>
    <n v="113.024208827461"/>
    <n v="0"/>
    <n v="0.95"/>
    <n v="4E+20"/>
    <n v="113.024208827461"/>
    <n v="113.024208827461"/>
    <n v="0"/>
    <n v="182.425309110326"/>
    <n v="100"/>
    <n v="2E+20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5-02-17 08:47:55"/>
    <n v="1"/>
    <x v="0"/>
    <x v="0"/>
    <x v="0"/>
    <n v="100"/>
    <n v="0"/>
    <s v="Unnamed ProjectCustomer.NumberInNumber InEntity"/>
    <n v="1"/>
    <n v="100"/>
    <n v="0"/>
    <n v="0.95"/>
    <n v="4E+20"/>
    <n v="100"/>
    <n v="100"/>
  </r>
  <r>
    <x v="0"/>
    <s v="2025-02-17 08:47:55"/>
    <n v="1"/>
    <x v="1"/>
    <x v="1"/>
    <x v="0"/>
    <n v="100"/>
    <n v="0"/>
    <s v="Unnamed ProjectCustomer.NumberOutNumber OutEntity"/>
    <n v="1"/>
    <n v="100"/>
    <n v="0"/>
    <n v="0.95"/>
    <n v="4E+20"/>
    <n v="100"/>
    <n v="100"/>
  </r>
  <r>
    <x v="0"/>
    <s v="2025-02-17 08:47:55"/>
    <n v="1"/>
    <x v="2"/>
    <x v="1"/>
    <x v="1"/>
    <n v="100"/>
    <n v="0"/>
    <s v="Unnamed ProjectSystem.NumberOutNumber OutSystem"/>
    <n v="1"/>
    <n v="100"/>
    <n v="0"/>
    <n v="0.95"/>
    <n v="4E+20"/>
    <n v="100"/>
    <n v="100"/>
  </r>
  <r>
    <x v="0"/>
    <s v="2025-02-17 08:47:55"/>
    <n v="1"/>
    <x v="3"/>
    <x v="2"/>
    <x v="2"/>
    <n v="100"/>
    <n v="0"/>
    <s v="Unnamed Projectcounter A.NumberSeizedTotal Number SeizedResource"/>
    <n v="1"/>
    <n v="100"/>
    <n v="0"/>
    <n v="0.95"/>
    <n v="4E+20"/>
    <n v="100"/>
    <n v="100"/>
  </r>
  <r>
    <x v="0"/>
    <s v="2025-02-17 08:47:55"/>
    <n v="1"/>
    <x v="4"/>
    <x v="3"/>
    <x v="2"/>
    <n v="0.988081196019445"/>
    <n v="0"/>
    <s v="Unnamed Projectcounter A.ScheduledUtilizationScheduled UtilizationResource"/>
    <n v="1"/>
    <n v="0.988081196019445"/>
    <n v="0"/>
    <n v="0.95"/>
    <n v="4E+20"/>
    <n v="0.988081196019445"/>
    <n v="0.98808119601944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2025-02-17 08:47:55"/>
    <n v="1"/>
    <x v="0"/>
    <x v="0"/>
    <x v="0"/>
    <n v="94"/>
    <s v="Unnamed ProjectWait time more than 6 minsCountUser Specified"/>
    <n v="1"/>
    <n v="94"/>
    <n v="0"/>
    <n v="0.95"/>
    <n v="4E+20"/>
    <n v="94"/>
    <n v="9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5-02-17 08:47:55"/>
    <n v="1"/>
    <x v="0"/>
    <x v="0"/>
    <x v="0"/>
    <n v="14.069425079814399"/>
    <n v="2E+20"/>
    <n v="0"/>
    <n v="24"/>
    <n v="0"/>
    <n v="0"/>
    <s v="Unnamed ProjectCustomerWIPEntity"/>
    <n v="1"/>
    <n v="14.069425079814399"/>
    <n v="0"/>
    <n v="0.95"/>
    <n v="4E+20"/>
    <n v="14.069425079814399"/>
    <n v="14.069425079814399"/>
    <n v="2E+20"/>
  </r>
  <r>
    <x v="0"/>
    <s v="2025-02-17 08:47:55"/>
    <n v="1"/>
    <x v="1"/>
    <x v="1"/>
    <x v="1"/>
    <n v="6"/>
    <n v="2E+20"/>
    <n v="6"/>
    <n v="6"/>
    <n v="6"/>
    <n v="0"/>
    <s v="Unnamed ProjectCustomerArrivalMeanVariableUser Specified"/>
    <n v="1"/>
    <n v="6"/>
    <n v="0"/>
    <n v="0.95"/>
    <n v="4E+20"/>
    <n v="6"/>
    <n v="6"/>
    <n v="2E+20"/>
  </r>
  <r>
    <x v="0"/>
    <s v="2025-02-17 08:47:55"/>
    <n v="1"/>
    <x v="2"/>
    <x v="2"/>
    <x v="2"/>
    <n v="13.081343883794901"/>
    <n v="2E+20"/>
    <n v="0"/>
    <n v="23"/>
    <n v="0"/>
    <n v="0"/>
    <s v="Unnamed ProjectService Counter A.QueueNumber WaitingQueue"/>
    <n v="1"/>
    <n v="13.081343883794901"/>
    <n v="0"/>
    <n v="0.95"/>
    <n v="4E+20"/>
    <n v="13.081343883794901"/>
    <n v="13.081343883794901"/>
    <n v="2E+20"/>
  </r>
  <r>
    <x v="0"/>
    <s v="2025-02-17 08:47:55"/>
    <n v="1"/>
    <x v="3"/>
    <x v="1"/>
    <x v="1"/>
    <n v="8"/>
    <n v="2E+20"/>
    <n v="8"/>
    <n v="8"/>
    <n v="8"/>
    <n v="0"/>
    <s v="Unnamed ProjectServiceTimeMeanVariableUser Specified"/>
    <n v="1"/>
    <n v="8"/>
    <n v="0"/>
    <n v="0.95"/>
    <n v="4E+20"/>
    <n v="8"/>
    <n v="8"/>
    <n v="2E+20"/>
  </r>
  <r>
    <x v="0"/>
    <s v="2025-02-17 08:47:55"/>
    <n v="1"/>
    <x v="4"/>
    <x v="3"/>
    <x v="3"/>
    <n v="0.988081196019445"/>
    <n v="2E+20"/>
    <n v="0"/>
    <n v="1"/>
    <n v="0"/>
    <n v="0"/>
    <s v="Unnamed Projectcounter AInstantaneous UtilizationResource"/>
    <n v="1"/>
    <n v="0.988081196019445"/>
    <n v="0"/>
    <n v="0.95"/>
    <n v="4E+20"/>
    <n v="0.988081196019445"/>
    <n v="0.988081196019445"/>
    <n v="2E+20"/>
  </r>
  <r>
    <x v="0"/>
    <s v="2025-02-17 08:47:55"/>
    <n v="1"/>
    <x v="4"/>
    <x v="4"/>
    <x v="3"/>
    <n v="0.988081196019445"/>
    <n v="2E+20"/>
    <n v="0"/>
    <n v="1"/>
    <n v="0"/>
    <n v="0"/>
    <s v="Unnamed Projectcounter ANumber BusyResource"/>
    <n v="1"/>
    <n v="0.988081196019445"/>
    <n v="0"/>
    <n v="0.95"/>
    <n v="4E+20"/>
    <n v="0.988081196019445"/>
    <n v="0.988081196019445"/>
    <n v="2E+20"/>
  </r>
  <r>
    <x v="0"/>
    <s v="2025-02-17 08:47:55"/>
    <n v="1"/>
    <x v="4"/>
    <x v="5"/>
    <x v="3"/>
    <n v="1"/>
    <n v="2E+20"/>
    <n v="1"/>
    <n v="1"/>
    <n v="1"/>
    <n v="0"/>
    <s v="Unnamed Projectcounter ANumber ScheduledResource"/>
    <n v="1"/>
    <n v="1"/>
    <n v="0"/>
    <n v="0.95"/>
    <n v="4E+20"/>
    <n v="1"/>
    <n v="1"/>
    <n v="2E+2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2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3"/>
        <item x="4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">
        <item m="1" x="4"/>
        <item m="1" x="3"/>
        <item m="1" x="2"/>
        <item m="1" x="1"/>
        <item x="0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3"/>
      <x v="4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9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9">
        <item m="1" x="20"/>
        <item m="1" x="11"/>
        <item m="1" x="27"/>
        <item m="1" x="36"/>
        <item m="1" x="49"/>
        <item m="1" x="48"/>
        <item m="1" x="12"/>
        <item m="1" x="113"/>
        <item m="1" x="91"/>
        <item m="1" x="54"/>
        <item m="1" x="41"/>
        <item m="1" x="45"/>
        <item m="1" x="127"/>
        <item m="1" x="30"/>
        <item m="1" x="112"/>
        <item m="1" x="34"/>
        <item m="1" x="85"/>
        <item m="1" x="99"/>
        <item m="1" x="9"/>
        <item m="1" x="35"/>
        <item m="1" x="122"/>
        <item m="1" x="24"/>
        <item m="1" x="114"/>
        <item m="1" x="13"/>
        <item m="1" x="40"/>
        <item m="1" x="66"/>
        <item m="1" x="10"/>
        <item m="1" x="16"/>
        <item m="1" x="86"/>
        <item m="1" x="67"/>
        <item m="1" x="101"/>
        <item m="1" x="57"/>
        <item m="1" x="21"/>
        <item m="1" x="51"/>
        <item m="1" x="87"/>
        <item m="1" x="72"/>
        <item m="1" x="22"/>
        <item m="1" x="32"/>
        <item m="1" x="94"/>
        <item m="1" x="8"/>
        <item m="1" x="121"/>
        <item m="1" x="79"/>
        <item m="1" x="19"/>
        <item m="1" x="104"/>
        <item m="1" x="50"/>
        <item m="1" x="123"/>
        <item m="1" x="84"/>
        <item m="1" x="26"/>
        <item m="1" x="71"/>
        <item m="1" x="90"/>
        <item m="1" x="103"/>
        <item m="1" x="111"/>
        <item m="1" x="120"/>
        <item m="1" x="7"/>
        <item m="1" x="25"/>
        <item m="1" x="39"/>
        <item m="1" x="28"/>
        <item m="1" x="6"/>
        <item m="1" x="100"/>
        <item m="1" x="117"/>
        <item m="1" x="43"/>
        <item m="1" x="78"/>
        <item m="1" x="31"/>
        <item m="1" x="52"/>
        <item m="1" x="37"/>
        <item m="1" x="61"/>
        <item m="1" x="46"/>
        <item m="1" x="68"/>
        <item m="1" x="53"/>
        <item m="1" x="80"/>
        <item m="1" x="62"/>
        <item m="1" x="88"/>
        <item m="1" x="69"/>
        <item m="1" x="97"/>
        <item m="1" x="81"/>
        <item m="1" x="102"/>
        <item m="1" x="89"/>
        <item m="1" x="106"/>
        <item m="1" x="118"/>
        <item m="1" x="108"/>
        <item m="1" x="92"/>
        <item m="1" x="65"/>
        <item m="1" x="44"/>
        <item m="1" x="59"/>
        <item m="1" x="23"/>
        <item m="1" x="29"/>
        <item m="1" x="38"/>
        <item m="1" x="42"/>
        <item m="1" x="74"/>
        <item m="1" x="119"/>
        <item m="1" x="109"/>
        <item m="1" x="93"/>
        <item m="1" x="60"/>
        <item m="1" x="128"/>
        <item m="1" x="76"/>
        <item m="1" x="64"/>
        <item m="1" x="96"/>
        <item m="1" x="77"/>
        <item m="1" x="56"/>
        <item m="1" x="63"/>
        <item m="1" x="17"/>
        <item m="1" x="82"/>
        <item m="1" x="98"/>
        <item m="1" x="107"/>
        <item m="1" x="115"/>
        <item m="1" x="126"/>
        <item m="1" x="14"/>
        <item m="1" x="33"/>
        <item m="1" x="125"/>
        <item m="1" x="15"/>
        <item m="1" x="83"/>
        <item m="1" x="58"/>
        <item m="1" x="73"/>
        <item m="1" x="18"/>
        <item m="1" x="124"/>
        <item m="1" x="105"/>
        <item m="1" x="55"/>
        <item m="1" x="116"/>
        <item m="1" x="75"/>
        <item m="1" x="95"/>
        <item m="1" x="110"/>
        <item m="1" x="47"/>
        <item m="1" x="70"/>
        <item m="1" x="5"/>
        <item x="0"/>
        <item x="1"/>
        <item x="2"/>
        <item x="3"/>
        <item x="4"/>
      </items>
    </pivotField>
    <pivotField axis="axisRow" compact="0" outline="0" showAll="0" defaultSubtotal="0">
      <items count="8">
        <item x="3"/>
        <item x="4"/>
        <item x="5"/>
        <item x="2"/>
        <item x="0"/>
        <item m="1" x="7"/>
        <item m="1" x="6"/>
        <item x="1"/>
      </items>
    </pivotField>
    <pivotField axis="axisRow" compact="0" outline="0" showAll="0" defaultSubtotal="0">
      <items count="5">
        <item x="0"/>
        <item x="2"/>
        <item x="3"/>
        <item x="1"/>
        <item m="1" x="4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24"/>
      <x v="4"/>
      <x/>
    </i>
    <i r="1">
      <x v="125"/>
      <x v="7"/>
      <x v="3"/>
    </i>
    <i r="1">
      <x v="126"/>
      <x v="3"/>
      <x v="1"/>
    </i>
    <i r="1">
      <x v="127"/>
      <x v="7"/>
      <x v="3"/>
    </i>
    <i r="1">
      <x v="128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8" tableType="queryTable" totalsRowShown="0">
  <autoFilter ref="A1:Y8" xr:uid="{C3D003CA-1AFF-426C-A03D-D3AF5760DF1A}"/>
  <sortState xmlns:xlrd2="http://schemas.microsoft.com/office/spreadsheetml/2017/richdata2" ref="A2:Y8">
    <sortCondition ref="D1:D8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6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8" tableType="queryTable" totalsRowShown="0">
  <autoFilter ref="A1:U8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5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6" tableType="queryTable" totalsRowShown="0">
  <autoFilter ref="A1:P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1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0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39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38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7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6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5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4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16.42578125" bestFit="1" customWidth="1"/>
    <col min="2" max="2" width="77.8554687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68</v>
      </c>
      <c r="C2" t="s">
        <v>69</v>
      </c>
      <c r="D2">
        <v>2</v>
      </c>
      <c r="E2">
        <v>1</v>
      </c>
      <c r="F2">
        <v>864.01068446396198</v>
      </c>
      <c r="G2">
        <f>0.95</f>
        <v>0.95</v>
      </c>
    </row>
  </sheetData>
  <phoneticPr fontId="2" type="noConversion"/>
  <conditionalFormatting sqref="D2">
    <cfRule type="expression" dxfId="33" priority="1">
      <formula>D2=3</formula>
    </cfRule>
    <cfRule type="expression" dxfId="32" priority="2">
      <formula>D2=2</formula>
    </cfRule>
    <cfRule type="expression" dxfId="31" priority="3">
      <formula>D2=1</formula>
    </cfRule>
    <cfRule type="expression" dxfId="30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1.140625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13.85546875" bestFit="1" customWidth="1"/>
    <col min="19" max="19" width="30.5703125" bestFit="1" customWidth="1"/>
    <col min="20" max="20" width="11.140625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13.8554687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100</v>
      </c>
      <c r="O3" t="s">
        <v>67</v>
      </c>
      <c r="P3" t="s">
        <v>70</v>
      </c>
      <c r="Q3" t="s">
        <v>81</v>
      </c>
      <c r="R3" t="s">
        <v>72</v>
      </c>
      <c r="S3" s="5">
        <v>14.069425079814399</v>
      </c>
      <c r="T3" s="5">
        <v>2E+20</v>
      </c>
      <c r="U3" s="5">
        <v>0</v>
      </c>
      <c r="V3" s="5">
        <v>14.069425079814399</v>
      </c>
      <c r="W3" s="5">
        <v>14.069425079814399</v>
      </c>
      <c r="X3" s="5">
        <v>0</v>
      </c>
      <c r="Y3" s="5">
        <v>24</v>
      </c>
      <c r="AA3" t="s">
        <v>67</v>
      </c>
      <c r="AB3" t="s">
        <v>92</v>
      </c>
      <c r="AC3" t="s">
        <v>93</v>
      </c>
      <c r="AD3" t="s">
        <v>84</v>
      </c>
      <c r="AE3" s="5">
        <v>94</v>
      </c>
      <c r="AF3" s="5">
        <v>4E+20</v>
      </c>
      <c r="AG3" s="5">
        <v>0</v>
      </c>
      <c r="AH3" s="5">
        <v>94</v>
      </c>
      <c r="AI3" s="5">
        <v>94</v>
      </c>
      <c r="AK3" t="s">
        <v>67</v>
      </c>
      <c r="AL3" t="s">
        <v>98</v>
      </c>
      <c r="AM3" t="s">
        <v>97</v>
      </c>
      <c r="AN3" t="s">
        <v>99</v>
      </c>
      <c r="AO3" s="5">
        <v>100</v>
      </c>
      <c r="AP3" s="5">
        <v>4E+20</v>
      </c>
      <c r="AQ3" s="5">
        <v>0</v>
      </c>
      <c r="AR3" s="5">
        <v>100</v>
      </c>
      <c r="AS3" s="5">
        <v>100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73</v>
      </c>
      <c r="D4" t="s">
        <v>72</v>
      </c>
      <c r="E4" s="5">
        <v>0</v>
      </c>
      <c r="F4" s="5">
        <v>1</v>
      </c>
      <c r="G4" s="5">
        <v>2E+20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100</v>
      </c>
      <c r="P4" t="s">
        <v>82</v>
      </c>
      <c r="Q4" t="s">
        <v>83</v>
      </c>
      <c r="R4" t="s">
        <v>84</v>
      </c>
      <c r="S4" s="5">
        <v>6</v>
      </c>
      <c r="T4" s="5">
        <v>2E+20</v>
      </c>
      <c r="U4" s="5">
        <v>0</v>
      </c>
      <c r="V4" s="5">
        <v>6</v>
      </c>
      <c r="W4" s="5">
        <v>6</v>
      </c>
      <c r="X4" s="5">
        <v>6</v>
      </c>
      <c r="Y4" s="5">
        <v>6</v>
      </c>
      <c r="AL4" t="s">
        <v>94</v>
      </c>
      <c r="AM4" t="s">
        <v>95</v>
      </c>
      <c r="AN4" t="s">
        <v>72</v>
      </c>
      <c r="AO4" s="5">
        <v>100</v>
      </c>
      <c r="AP4" s="5">
        <v>4E+20</v>
      </c>
      <c r="AQ4" s="5">
        <v>0</v>
      </c>
      <c r="AR4" s="5">
        <v>100</v>
      </c>
      <c r="AS4" s="5">
        <v>100</v>
      </c>
    </row>
    <row r="5" spans="1:52" x14ac:dyDescent="0.25">
      <c r="C5" t="s">
        <v>74</v>
      </c>
      <c r="D5" t="s">
        <v>72</v>
      </c>
      <c r="E5" s="5">
        <v>121.56133593224899</v>
      </c>
      <c r="F5" s="5">
        <v>1</v>
      </c>
      <c r="G5" s="5">
        <v>2E+20</v>
      </c>
      <c r="H5" s="5">
        <v>0</v>
      </c>
      <c r="I5" s="5">
        <v>121.56133593224899</v>
      </c>
      <c r="J5" s="5">
        <v>121.56133593224899</v>
      </c>
      <c r="K5" s="5">
        <v>1.3439466027193101</v>
      </c>
      <c r="L5" s="5">
        <v>188.582573166435</v>
      </c>
      <c r="M5" s="5">
        <v>100</v>
      </c>
      <c r="P5" t="s">
        <v>78</v>
      </c>
      <c r="Q5" t="s">
        <v>85</v>
      </c>
      <c r="R5" t="s">
        <v>80</v>
      </c>
      <c r="S5" s="5">
        <v>13.081343883794901</v>
      </c>
      <c r="T5" s="5">
        <v>2E+20</v>
      </c>
      <c r="U5" s="5">
        <v>0</v>
      </c>
      <c r="V5" s="5">
        <v>13.081343883794901</v>
      </c>
      <c r="W5" s="5">
        <v>13.081343883794901</v>
      </c>
      <c r="X5" s="5">
        <v>0</v>
      </c>
      <c r="Y5" s="5">
        <v>23</v>
      </c>
      <c r="AL5" t="s">
        <v>96</v>
      </c>
      <c r="AM5" t="s">
        <v>97</v>
      </c>
      <c r="AN5" t="s">
        <v>72</v>
      </c>
      <c r="AO5" s="5">
        <v>100</v>
      </c>
      <c r="AP5" s="5">
        <v>4E+20</v>
      </c>
      <c r="AQ5" s="5">
        <v>0</v>
      </c>
      <c r="AR5" s="5">
        <v>100</v>
      </c>
      <c r="AS5" s="5">
        <v>100</v>
      </c>
    </row>
    <row r="6" spans="1:52" x14ac:dyDescent="0.25">
      <c r="C6" t="s">
        <v>75</v>
      </c>
      <c r="D6" t="s">
        <v>72</v>
      </c>
      <c r="E6" s="5">
        <v>0</v>
      </c>
      <c r="F6" s="5">
        <v>1</v>
      </c>
      <c r="G6" s="5">
        <v>2E+20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100</v>
      </c>
      <c r="P6" t="s">
        <v>86</v>
      </c>
      <c r="Q6" t="s">
        <v>83</v>
      </c>
      <c r="R6" t="s">
        <v>84</v>
      </c>
      <c r="S6" s="5">
        <v>8</v>
      </c>
      <c r="T6" s="5">
        <v>2E+20</v>
      </c>
      <c r="U6" s="5">
        <v>0</v>
      </c>
      <c r="V6" s="5">
        <v>8</v>
      </c>
      <c r="W6" s="5">
        <v>8</v>
      </c>
      <c r="X6" s="5">
        <v>8</v>
      </c>
      <c r="Y6" s="5">
        <v>8</v>
      </c>
      <c r="AL6" t="s">
        <v>100</v>
      </c>
      <c r="AM6" t="s">
        <v>101</v>
      </c>
      <c r="AN6" t="s">
        <v>89</v>
      </c>
      <c r="AO6" s="5">
        <v>100</v>
      </c>
      <c r="AP6" s="5">
        <v>4E+20</v>
      </c>
      <c r="AQ6" s="5">
        <v>0</v>
      </c>
      <c r="AR6" s="5">
        <v>100</v>
      </c>
      <c r="AS6" s="5">
        <v>100</v>
      </c>
    </row>
    <row r="7" spans="1:52" x14ac:dyDescent="0.25">
      <c r="C7" t="s">
        <v>76</v>
      </c>
      <c r="D7" t="s">
        <v>72</v>
      </c>
      <c r="E7" s="5">
        <v>8.5371271047873005</v>
      </c>
      <c r="F7" s="5">
        <v>1</v>
      </c>
      <c r="G7" s="5">
        <v>2E+20</v>
      </c>
      <c r="H7" s="5">
        <v>0</v>
      </c>
      <c r="I7" s="5">
        <v>8.5371271047873005</v>
      </c>
      <c r="J7" s="5">
        <v>8.5371271047873005</v>
      </c>
      <c r="K7" s="5">
        <v>2.4808099713027301E-2</v>
      </c>
      <c r="L7" s="5">
        <v>41.1827233327475</v>
      </c>
      <c r="M7" s="5">
        <v>100</v>
      </c>
      <c r="P7" t="s">
        <v>87</v>
      </c>
      <c r="Q7" t="s">
        <v>88</v>
      </c>
      <c r="R7" t="s">
        <v>89</v>
      </c>
      <c r="S7" s="5">
        <v>0.988081196019445</v>
      </c>
      <c r="T7" s="5">
        <v>2E+20</v>
      </c>
      <c r="U7" s="5">
        <v>0</v>
      </c>
      <c r="V7" s="5">
        <v>0.988081196019445</v>
      </c>
      <c r="W7" s="5">
        <v>0.988081196019445</v>
      </c>
      <c r="X7" s="5">
        <v>0</v>
      </c>
      <c r="Y7" s="5">
        <v>1</v>
      </c>
      <c r="AL7" t="s">
        <v>102</v>
      </c>
      <c r="AM7" t="s">
        <v>103</v>
      </c>
      <c r="AN7" t="s">
        <v>89</v>
      </c>
      <c r="AO7" s="5">
        <v>0.988081196019445</v>
      </c>
      <c r="AP7" s="5">
        <v>4E+20</v>
      </c>
      <c r="AQ7" s="5">
        <v>0</v>
      </c>
      <c r="AR7" s="5">
        <v>0.988081196019445</v>
      </c>
      <c r="AS7" s="5">
        <v>0.988081196019445</v>
      </c>
    </row>
    <row r="8" spans="1:52" x14ac:dyDescent="0.25">
      <c r="C8" t="s">
        <v>77</v>
      </c>
      <c r="D8" t="s">
        <v>72</v>
      </c>
      <c r="E8" s="5">
        <v>113.024208827461</v>
      </c>
      <c r="F8" s="5">
        <v>1</v>
      </c>
      <c r="G8" s="5">
        <v>2E+20</v>
      </c>
      <c r="H8" s="5">
        <v>0</v>
      </c>
      <c r="I8" s="5">
        <v>113.024208827461</v>
      </c>
      <c r="J8" s="5">
        <v>113.024208827461</v>
      </c>
      <c r="K8" s="5">
        <v>0</v>
      </c>
      <c r="L8" s="5">
        <v>182.425309110326</v>
      </c>
      <c r="M8" s="5">
        <v>100</v>
      </c>
      <c r="Q8" t="s">
        <v>90</v>
      </c>
      <c r="R8" t="s">
        <v>89</v>
      </c>
      <c r="S8" s="5">
        <v>0.988081196019445</v>
      </c>
      <c r="T8" s="5">
        <v>2E+20</v>
      </c>
      <c r="U8" s="5">
        <v>0</v>
      </c>
      <c r="V8" s="5">
        <v>0.988081196019445</v>
      </c>
      <c r="W8" s="5">
        <v>0.988081196019445</v>
      </c>
      <c r="X8" s="5">
        <v>0</v>
      </c>
      <c r="Y8" s="5">
        <v>1</v>
      </c>
    </row>
    <row r="9" spans="1:52" x14ac:dyDescent="0.25">
      <c r="B9" t="s">
        <v>78</v>
      </c>
      <c r="C9" t="s">
        <v>79</v>
      </c>
      <c r="D9" t="s">
        <v>80</v>
      </c>
      <c r="E9" s="5">
        <v>113.024208827461</v>
      </c>
      <c r="F9" s="5">
        <v>1</v>
      </c>
      <c r="G9" s="5">
        <v>2E+20</v>
      </c>
      <c r="H9" s="5">
        <v>0</v>
      </c>
      <c r="I9" s="5">
        <v>113.024208827461</v>
      </c>
      <c r="J9" s="5">
        <v>113.024208827461</v>
      </c>
      <c r="K9" s="5">
        <v>0</v>
      </c>
      <c r="L9" s="5">
        <v>182.425309110326</v>
      </c>
      <c r="M9" s="5">
        <v>100</v>
      </c>
      <c r="Q9" t="s">
        <v>91</v>
      </c>
      <c r="R9" t="s">
        <v>89</v>
      </c>
      <c r="S9" s="5">
        <v>1</v>
      </c>
      <c r="T9" s="5">
        <v>2E+20</v>
      </c>
      <c r="U9" s="5">
        <v>0</v>
      </c>
      <c r="V9" s="5">
        <v>1</v>
      </c>
      <c r="W9" s="5">
        <v>1</v>
      </c>
      <c r="X9" s="5">
        <v>1</v>
      </c>
      <c r="Y9" s="5">
        <v>1</v>
      </c>
    </row>
  </sheetData>
  <dataConsolidate/>
  <conditionalFormatting pivot="1" sqref="G3:G9">
    <cfRule type="expression" dxfId="29" priority="10">
      <formula>G3=200000000000000000000</formula>
    </cfRule>
  </conditionalFormatting>
  <conditionalFormatting pivot="1" sqref="T3:T9">
    <cfRule type="expression" dxfId="28" priority="9">
      <formula>T3=200000000000000000000</formula>
    </cfRule>
  </conditionalFormatting>
  <conditionalFormatting pivot="1" sqref="T3:T9">
    <cfRule type="expression" dxfId="27" priority="8">
      <formula>T3=300000000000000000000</formula>
    </cfRule>
  </conditionalFormatting>
  <conditionalFormatting pivot="1" sqref="G3:G9">
    <cfRule type="expression" dxfId="26" priority="7">
      <formula>G3=300000000000000000000</formula>
    </cfRule>
  </conditionalFormatting>
  <conditionalFormatting pivot="1" sqref="F3:F9">
    <cfRule type="expression" dxfId="25" priority="6">
      <formula>F3=0</formula>
    </cfRule>
  </conditionalFormatting>
  <conditionalFormatting pivot="1" sqref="F3:F9">
    <cfRule type="expression" dxfId="24" priority="5">
      <formula>F3=1</formula>
    </cfRule>
  </conditionalFormatting>
  <conditionalFormatting pivot="1" sqref="T3:T9">
    <cfRule type="expression" dxfId="23" priority="4">
      <formula>T3=400000000000000000000</formula>
    </cfRule>
  </conditionalFormatting>
  <conditionalFormatting pivot="1" sqref="AP3:AP7">
    <cfRule type="expression" dxfId="22" priority="3">
      <formula>AP3=400000000000000000000</formula>
    </cfRule>
  </conditionalFormatting>
  <conditionalFormatting pivot="1" sqref="AF3">
    <cfRule type="expression" dxfId="21" priority="2">
      <formula>AF3=400000000000000000000</formula>
    </cfRule>
  </conditionalFormatting>
  <conditionalFormatting pivot="1" sqref="G3:G9">
    <cfRule type="expression" dxfId="20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8"/>
  <sheetViews>
    <sheetView workbookViewId="0">
      <selection activeCell="K2" sqref="K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3.7109375" bestFit="1" customWidth="1"/>
    <col min="5" max="5" width="13.285156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7.8554687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100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100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100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100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121.56133593224899</v>
      </c>
      <c r="H4">
        <v>2E+20</v>
      </c>
      <c r="I4">
        <v>1.3439466027193101</v>
      </c>
      <c r="J4">
        <v>188.582573166435</v>
      </c>
      <c r="K4">
        <v>100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121.56133593224899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121.56133593224899</v>
      </c>
      <c r="S4" cm="1">
        <f t="array" ref="S4">MAX(IF((DiscreteStatsTable[GroupByKey]=DiscreteStatsTable[[#This Row],[GroupByKey]]),(DiscreteStatsTable[GroupByKey]=DiscreteStatsTable[[#This Row],[GroupByKey]])*DiscreteStatsTable[Average]))</f>
        <v>121.56133593224899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1.3439466027193101</v>
      </c>
      <c r="U4" cm="1">
        <f t="array" ref="U4">MAX(IF((DiscreteStatsTable[GroupByKey]=DiscreteStatsTable[[#This Row],[GroupByKey]]),(DiscreteStatsTable[GroupByKey]=DiscreteStatsTable[[#This Row],[GroupByKey]])*DiscreteStatsTable[Maximum]))</f>
        <v>188.582573166435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100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100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100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8.5371271047873005</v>
      </c>
      <c r="H6">
        <v>2E+20</v>
      </c>
      <c r="I6">
        <v>2.4808099713027301E-2</v>
      </c>
      <c r="J6">
        <v>41.1827233327475</v>
      </c>
      <c r="K6">
        <v>100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8.5371271047873005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8.5371271047873005</v>
      </c>
      <c r="S6" cm="1">
        <f t="array" ref="S6">MAX(IF((DiscreteStatsTable[GroupByKey]=DiscreteStatsTable[[#This Row],[GroupByKey]]),(DiscreteStatsTable[GroupByKey]=DiscreteStatsTable[[#This Row],[GroupByKey]])*DiscreteStatsTable[Average]))</f>
        <v>8.5371271047873005</v>
      </c>
      <c r="T6" cm="1">
        <f t="array" ref="T6">MIN(IF((DiscreteStatsTable[GroupByKey]=DiscreteStatsTable[[#This Row],[GroupByKey]]),(DiscreteStatsTable[GroupByKey]=DiscreteStatsTable[[#This Row],[GroupByKey]])*DiscreteStatsTable[Minimum]))</f>
        <v>2.4808099713027301E-2</v>
      </c>
      <c r="U6" cm="1">
        <f t="array" ref="U6">MAX(IF((DiscreteStatsTable[GroupByKey]=DiscreteStatsTable[[#This Row],[GroupByKey]]),(DiscreteStatsTable[GroupByKey]=DiscreteStatsTable[[#This Row],[GroupByKey]])*DiscreteStatsTable[Maximum]))</f>
        <v>41.1827233327475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100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113.024208827461</v>
      </c>
      <c r="H7">
        <v>2E+20</v>
      </c>
      <c r="I7">
        <v>0</v>
      </c>
      <c r="J7">
        <v>182.425309110326</v>
      </c>
      <c r="K7">
        <v>100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113.024208827461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113.024208827461</v>
      </c>
      <c r="S7" cm="1">
        <f t="array" ref="S7">MAX(IF((DiscreteStatsTable[GroupByKey]=DiscreteStatsTable[[#This Row],[GroupByKey]]),(DiscreteStatsTable[GroupByKey]=DiscreteStatsTable[[#This Row],[GroupByKey]])*DiscreteStatsTable[Average]))</f>
        <v>113.024208827461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182.425309110326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100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69</v>
      </c>
      <c r="C8">
        <v>1</v>
      </c>
      <c r="D8" t="s">
        <v>78</v>
      </c>
      <c r="E8" t="s">
        <v>79</v>
      </c>
      <c r="F8" t="s">
        <v>80</v>
      </c>
      <c r="G8">
        <v>113.024208827461</v>
      </c>
      <c r="H8">
        <v>2E+20</v>
      </c>
      <c r="I8">
        <v>0</v>
      </c>
      <c r="J8">
        <v>182.425309110326</v>
      </c>
      <c r="K8">
        <v>100</v>
      </c>
      <c r="L8" t="str">
        <f>DiscreteStatsTable[[#This Row],[ProjectName]]&amp;DiscreteStatsTable[[#This Row],[Name]]&amp;DiscreteStatsTable[[#This Row],[Type]]&amp;DiscreteStatsTable[[#This Row],[Source]]</f>
        <v>Unnamed ProjectService Counter A.QueueWaiting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113.024208827461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113.024208827461</v>
      </c>
      <c r="S8" cm="1">
        <f t="array" ref="S8">MAX(IF((DiscreteStatsTable[GroupByKey]=DiscreteStatsTable[[#This Row],[GroupByKey]]),(DiscreteStatsTable[GroupByKey]=DiscreteStatsTable[[#This Row],[GroupByKey]])*DiscreteStatsTable[Average]))</f>
        <v>113.024208827461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182.425309110326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100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</sheetData>
  <phoneticPr fontId="2" type="noConversion"/>
  <conditionalFormatting sqref="H2:H8 Q2:Q8">
    <cfRule type="expression" dxfId="19" priority="23">
      <formula>H2=200000000000000000000</formula>
    </cfRule>
  </conditionalFormatting>
  <conditionalFormatting sqref="H2:H8">
    <cfRule type="expression" dxfId="18" priority="21">
      <formula>H2=300000000000000000000</formula>
    </cfRule>
  </conditionalFormatting>
  <conditionalFormatting sqref="L2:Y8">
    <cfRule type="expression" dxfId="17" priority="19">
      <formula>MOD(ROW(),2)=0</formula>
    </cfRule>
  </conditionalFormatting>
  <conditionalFormatting sqref="Y2:Y8">
    <cfRule type="expression" dxfId="16" priority="14">
      <formula>Y2=0</formula>
    </cfRule>
    <cfRule type="expression" dxfId="15" priority="16">
      <formula>Y2=1</formula>
    </cfRule>
  </conditionalFormatting>
  <conditionalFormatting sqref="Y3:Y8">
    <cfRule type="expression" dxfId="14" priority="15">
      <formula>Y3=1</formula>
    </cfRule>
  </conditionalFormatting>
  <conditionalFormatting sqref="W2:W8">
    <cfRule type="expression" dxfId="13" priority="6">
      <formula>W2=300000000000000000000</formula>
    </cfRule>
    <cfRule type="expression" dxfId="12" priority="7">
      <formula>W2=200000000000000000000</formula>
    </cfRule>
  </conditionalFormatting>
  <conditionalFormatting sqref="Q2:Q8 W2:W8">
    <cfRule type="expression" dxfId="11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8"/>
  <sheetViews>
    <sheetView workbookViewId="0">
      <selection activeCell="D2" sqref="D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3.7109375" bestFit="1" customWidth="1"/>
    <col min="5" max="5" width="23.5703125" bestFit="1" customWidth="1"/>
    <col min="6" max="6" width="13.8554687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60.8554687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69</v>
      </c>
      <c r="C2">
        <v>1</v>
      </c>
      <c r="D2" t="s">
        <v>70</v>
      </c>
      <c r="E2" t="s">
        <v>81</v>
      </c>
      <c r="F2" t="s">
        <v>72</v>
      </c>
      <c r="G2">
        <v>14.069425079814399</v>
      </c>
      <c r="H2">
        <v>2E+20</v>
      </c>
      <c r="I2">
        <v>0</v>
      </c>
      <c r="J2">
        <v>24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14.069425079814399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14.069425079814399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14.069425079814399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25">
      <c r="A3" t="s">
        <v>67</v>
      </c>
      <c r="B3" t="s">
        <v>69</v>
      </c>
      <c r="C3">
        <v>1</v>
      </c>
      <c r="D3" t="s">
        <v>82</v>
      </c>
      <c r="E3" t="s">
        <v>83</v>
      </c>
      <c r="F3" t="s">
        <v>84</v>
      </c>
      <c r="G3">
        <v>6</v>
      </c>
      <c r="H3">
        <v>2E+20</v>
      </c>
      <c r="I3">
        <v>6</v>
      </c>
      <c r="J3">
        <v>6</v>
      </c>
      <c r="K3">
        <v>6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ProjectCustomerArrivalMeanVariableUser Specified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6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6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6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25">
      <c r="A4" t="s">
        <v>67</v>
      </c>
      <c r="B4" t="s">
        <v>69</v>
      </c>
      <c r="C4">
        <v>1</v>
      </c>
      <c r="D4" t="s">
        <v>78</v>
      </c>
      <c r="E4" t="s">
        <v>85</v>
      </c>
      <c r="F4" t="s">
        <v>80</v>
      </c>
      <c r="G4">
        <v>13.081343883794901</v>
      </c>
      <c r="H4">
        <v>2E+20</v>
      </c>
      <c r="I4">
        <v>0</v>
      </c>
      <c r="J4">
        <v>23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 A.QueueNumber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13.081343883794901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13.081343883794901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13.081343883794901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25">
      <c r="A5" t="s">
        <v>67</v>
      </c>
      <c r="B5" t="s">
        <v>69</v>
      </c>
      <c r="C5">
        <v>1</v>
      </c>
      <c r="D5" t="s">
        <v>86</v>
      </c>
      <c r="E5" t="s">
        <v>83</v>
      </c>
      <c r="F5" t="s">
        <v>84</v>
      </c>
      <c r="G5">
        <v>8</v>
      </c>
      <c r="H5">
        <v>2E+20</v>
      </c>
      <c r="I5">
        <v>8</v>
      </c>
      <c r="J5">
        <v>8</v>
      </c>
      <c r="K5">
        <v>8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ProjectServiceTimeMeanVariableUser Specified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8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8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8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25">
      <c r="A6" t="s">
        <v>67</v>
      </c>
      <c r="B6" t="s">
        <v>69</v>
      </c>
      <c r="C6">
        <v>1</v>
      </c>
      <c r="D6" t="s">
        <v>87</v>
      </c>
      <c r="E6" t="s">
        <v>88</v>
      </c>
      <c r="F6" t="s">
        <v>89</v>
      </c>
      <c r="G6">
        <v>0.988081196019445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Projectcounter AInstantaneous UtilizationResource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0.988081196019445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0.988081196019445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0.988081196019445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25">
      <c r="A7" t="s">
        <v>67</v>
      </c>
      <c r="B7" t="s">
        <v>69</v>
      </c>
      <c r="C7">
        <v>1</v>
      </c>
      <c r="D7" t="s">
        <v>87</v>
      </c>
      <c r="E7" t="s">
        <v>90</v>
      </c>
      <c r="F7" t="s">
        <v>89</v>
      </c>
      <c r="G7">
        <v>0.988081196019445</v>
      </c>
      <c r="H7">
        <v>2E+20</v>
      </c>
      <c r="I7">
        <v>0</v>
      </c>
      <c r="J7">
        <v>1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Projectcounter ANumber BusyResource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0.988081196019445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0.988081196019445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0.988081196019445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25">
      <c r="A8" t="s">
        <v>67</v>
      </c>
      <c r="B8" t="s">
        <v>69</v>
      </c>
      <c r="C8">
        <v>1</v>
      </c>
      <c r="D8" t="s">
        <v>87</v>
      </c>
      <c r="E8" t="s">
        <v>91</v>
      </c>
      <c r="F8" t="s">
        <v>89</v>
      </c>
      <c r="G8">
        <v>1</v>
      </c>
      <c r="H8">
        <v>2E+20</v>
      </c>
      <c r="I8">
        <v>1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Projectcounter ANumber ScheduledResource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</v>
      </c>
      <c r="U8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8">
    <cfRule type="expression" dxfId="10" priority="9">
      <formula>H2=200000000000000000000</formula>
    </cfRule>
  </conditionalFormatting>
  <conditionalFormatting sqref="H2:H8">
    <cfRule type="expression" dxfId="9" priority="7">
      <formula>H2=300000000000000000000</formula>
    </cfRule>
  </conditionalFormatting>
  <conditionalFormatting sqref="M2:U8">
    <cfRule type="expression" dxfId="8" priority="5">
      <formula>MOD(ROW(),2)=0</formula>
    </cfRule>
  </conditionalFormatting>
  <conditionalFormatting sqref="U2:U8">
    <cfRule type="expression" dxfId="7" priority="3">
      <formula>U2=200000000000000000000</formula>
    </cfRule>
    <cfRule type="expression" dxfId="6" priority="4">
      <formula>U2=300000000000000000000</formula>
    </cfRule>
  </conditionalFormatting>
  <conditionalFormatting sqref="R2:R8 U2:U8">
    <cfRule type="expression" dxfId="5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2"/>
  <sheetViews>
    <sheetView workbookViewId="0">
      <selection activeCell="G2" sqref="G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6" bestFit="1" customWidth="1"/>
    <col min="5" max="5" width="7.5703125" bestFit="1" customWidth="1"/>
    <col min="6" max="6" width="13.85546875" bestFit="1" customWidth="1"/>
    <col min="7" max="7" width="17" bestFit="1" customWidth="1"/>
    <col min="8" max="8" width="60.425781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25">
      <c r="A2" t="s">
        <v>67</v>
      </c>
      <c r="B2" t="s">
        <v>69</v>
      </c>
      <c r="C2">
        <v>1</v>
      </c>
      <c r="D2" t="s">
        <v>92</v>
      </c>
      <c r="E2" t="s">
        <v>93</v>
      </c>
      <c r="F2" t="s">
        <v>84</v>
      </c>
      <c r="G2">
        <v>94</v>
      </c>
      <c r="H2" t="str">
        <f>CountersTable[[#This Row],[ProjectName]]&amp;CountersTable[[#This Row],[Name]]&amp;CountersTable[[#This Row],[Type]]&amp;CountersTable[[#This Row],[Source]]</f>
        <v>Unnamed ProjectWait time more than 6 minsCountUser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1</v>
      </c>
      <c r="J2" cm="1">
        <f t="array" ref="J2">IFERROR(AVERAGE(IF((CountersTable[GroupByKey]=CountersTable[[#This Row],[GroupByKey]]),(CountersTable[GroupByKey]=CountersTable[[#This Row],[GroupByKey]])*CountersTable[RecordedValue])),0)</f>
        <v>94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0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2" cm="1">
        <f t="array" ref="N2">MIN(IF((CountersTable[GroupByKey]=CountersTable[[#This Row],[GroupByKey]]),(CountersTable[GroupByKey]=CountersTable[[#This Row],[GroupByKey]])*CountersTable[RecordedValue]))</f>
        <v>94</v>
      </c>
      <c r="O2" cm="1">
        <f t="array" ref="O2">MAX(IF((CountersTable[GroupByKey]=CountersTable[[#This Row],[GroupByKey]]),(CountersTable[GroupByKey]=CountersTable[[#This Row],[GroupByKey]])*CountersTable[RecordedValue]))</f>
        <v>94</v>
      </c>
    </row>
  </sheetData>
  <phoneticPr fontId="2" type="noConversion"/>
  <conditionalFormatting sqref="H2:O2">
    <cfRule type="expression" dxfId="4" priority="2">
      <formula>MOD(ROW(),2)=0</formula>
    </cfRule>
  </conditionalFormatting>
  <conditionalFormatting sqref="M2">
    <cfRule type="expression" dxfId="3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6"/>
  <sheetViews>
    <sheetView workbookViewId="0">
      <selection activeCell="H2" sqref="H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9.1406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3" bestFit="1" customWidth="1"/>
    <col min="10" max="10" width="17.28515625" bestFit="1" customWidth="1"/>
    <col min="11" max="11" width="12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69</v>
      </c>
      <c r="C2">
        <v>1</v>
      </c>
      <c r="D2" t="s">
        <v>94</v>
      </c>
      <c r="E2" t="s">
        <v>95</v>
      </c>
      <c r="F2" t="s">
        <v>72</v>
      </c>
      <c r="G2">
        <v>100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100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100</v>
      </c>
      <c r="P2" cm="1">
        <f t="array" ref="P2">MAX(IF((OutputTable[GroupByKey]=OutputTable[[#This Row],[GroupByKey]]),(OutputTable[GroupByKey]=OutputTable[[#This Row],[GroupByKey]])*OutputTable[RecordedValue]))</f>
        <v>100</v>
      </c>
    </row>
    <row r="3" spans="1:16" x14ac:dyDescent="0.25">
      <c r="A3" t="s">
        <v>67</v>
      </c>
      <c r="B3" t="s">
        <v>69</v>
      </c>
      <c r="C3">
        <v>1</v>
      </c>
      <c r="D3" t="s">
        <v>96</v>
      </c>
      <c r="E3" t="s">
        <v>97</v>
      </c>
      <c r="F3" t="s">
        <v>72</v>
      </c>
      <c r="G3">
        <v>100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100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100</v>
      </c>
      <c r="P3" cm="1">
        <f t="array" ref="P3">MAX(IF((OutputTable[GroupByKey]=OutputTable[[#This Row],[GroupByKey]]),(OutputTable[GroupByKey]=OutputTable[[#This Row],[GroupByKey]])*OutputTable[RecordedValue]))</f>
        <v>100</v>
      </c>
    </row>
    <row r="4" spans="1:16" x14ac:dyDescent="0.25">
      <c r="A4" t="s">
        <v>67</v>
      </c>
      <c r="B4" t="s">
        <v>69</v>
      </c>
      <c r="C4">
        <v>1</v>
      </c>
      <c r="D4" t="s">
        <v>98</v>
      </c>
      <c r="E4" t="s">
        <v>97</v>
      </c>
      <c r="F4" t="s">
        <v>99</v>
      </c>
      <c r="G4">
        <v>100</v>
      </c>
      <c r="H4">
        <v>0</v>
      </c>
      <c r="I4" t="str">
        <f>OutputTable[[#This Row],[ProjectName]]&amp;OutputTable[[#This Row],[Name]]&amp;OutputTable[[#This Row],[Type]]&amp;OutputTable[[#This Row],[Source]]</f>
        <v>Unnamed ProjectSystem.NumberOutNumber OutSystem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100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100</v>
      </c>
      <c r="P4" cm="1">
        <f t="array" ref="P4">MAX(IF((OutputTable[GroupByKey]=OutputTable[[#This Row],[GroupByKey]]),(OutputTable[GroupByKey]=OutputTable[[#This Row],[GroupByKey]])*OutputTable[RecordedValue]))</f>
        <v>100</v>
      </c>
    </row>
    <row r="5" spans="1:16" x14ac:dyDescent="0.25">
      <c r="A5" t="s">
        <v>67</v>
      </c>
      <c r="B5" t="s">
        <v>69</v>
      </c>
      <c r="C5">
        <v>1</v>
      </c>
      <c r="D5" t="s">
        <v>100</v>
      </c>
      <c r="E5" t="s">
        <v>101</v>
      </c>
      <c r="F5" t="s">
        <v>89</v>
      </c>
      <c r="G5">
        <v>100</v>
      </c>
      <c r="H5">
        <v>0</v>
      </c>
      <c r="I5" t="str">
        <f>OutputTable[[#This Row],[ProjectName]]&amp;OutputTable[[#This Row],[Name]]&amp;OutputTable[[#This Row],[Type]]&amp;OutputTable[[#This Row],[Source]]</f>
        <v>Unnamed Projectcounter A.NumberSeizedTotal Number SeizedResource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100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100</v>
      </c>
      <c r="P5" cm="1">
        <f t="array" ref="P5">MAX(IF((OutputTable[GroupByKey]=OutputTable[[#This Row],[GroupByKey]]),(OutputTable[GroupByKey]=OutputTable[[#This Row],[GroupByKey]])*OutputTable[RecordedValue]))</f>
        <v>100</v>
      </c>
    </row>
    <row r="6" spans="1:16" x14ac:dyDescent="0.25">
      <c r="A6" t="s">
        <v>67</v>
      </c>
      <c r="B6" t="s">
        <v>69</v>
      </c>
      <c r="C6">
        <v>1</v>
      </c>
      <c r="D6" t="s">
        <v>102</v>
      </c>
      <c r="E6" t="s">
        <v>103</v>
      </c>
      <c r="F6" t="s">
        <v>89</v>
      </c>
      <c r="G6">
        <v>0.988081196019445</v>
      </c>
      <c r="H6">
        <v>0</v>
      </c>
      <c r="I6" t="str">
        <f>OutputTable[[#This Row],[ProjectName]]&amp;OutputTable[[#This Row],[Name]]&amp;OutputTable[[#This Row],[Type]]&amp;OutputTable[[#This Row],[Source]]</f>
        <v>Unnamed Projectcounter A.ScheduledUtilizationScheduled UtilizationResource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0.988081196019445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0.988081196019445</v>
      </c>
      <c r="P6" cm="1">
        <f t="array" ref="P6">MAX(IF((OutputTable[GroupByKey]=OutputTable[[#This Row],[GroupByKey]]),(OutputTable[GroupByKey]=OutputTable[[#This Row],[GroupByKey]])*OutputTable[RecordedValue]))</f>
        <v>0.988081196019445</v>
      </c>
    </row>
  </sheetData>
  <phoneticPr fontId="2" type="noConversion"/>
  <conditionalFormatting sqref="I2:P6">
    <cfRule type="expression" dxfId="2" priority="2">
      <formula>MOD(ROW(),2)=0</formula>
    </cfRule>
  </conditionalFormatting>
  <conditionalFormatting sqref="N2:N6">
    <cfRule type="expression" dxfId="1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4.28515625" bestFit="1" customWidth="1"/>
    <col min="12" max="12" width="30" bestFit="1" customWidth="1"/>
    <col min="13" max="13" width="31.140625" bestFit="1" customWidth="1"/>
    <col min="14" max="14" width="17.28515625" bestFit="1" customWidth="1"/>
    <col min="15" max="15" width="29" bestFit="1" customWidth="1"/>
    <col min="16" max="16" width="30.140625" bestFit="1" customWidth="1"/>
    <col min="17" max="17" width="29.28515625" bestFit="1" customWidth="1"/>
    <col min="18" max="18" width="28.28515625" bestFit="1" customWidth="1"/>
    <col min="19" max="19" width="26.28515625" bestFit="1" customWidth="1"/>
    <col min="20" max="20" width="29.85546875" bestFit="1" customWidth="1"/>
    <col min="21" max="21" width="31.85546875" bestFit="1" customWidth="1"/>
    <col min="22" max="22" width="32.140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Du Zhiyuan</cp:lastModifiedBy>
  <cp:lastPrinted>2022-03-22T10:33:10Z</cp:lastPrinted>
  <dcterms:created xsi:type="dcterms:W3CDTF">2020-06-29T21:30:31Z</dcterms:created>
  <dcterms:modified xsi:type="dcterms:W3CDTF">2025-02-17T00:48:07Z</dcterms:modified>
</cp:coreProperties>
</file>