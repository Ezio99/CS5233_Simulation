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oondunine\Documents\simu\Assignment_1\"/>
    </mc:Choice>
  </mc:AlternateContent>
  <xr:revisionPtr revIDLastSave="0" documentId="13_ncr:1_{16CD0F20-4893-478A-8A3F-49361CCC7527}" xr6:coauthVersionLast="47" xr6:coauthVersionMax="47" xr10:uidLastSave="{00000000-0000-0000-0000-000000000000}"/>
  <bookViews>
    <workbookView xWindow="2895" yWindow="2895" windowWidth="28800" windowHeight="1588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ContinuousTimeStatsByRep!$A$1:$L$24</definedName>
    <definedName name="ExternalData_1" localSheetId="4" hidden="1">CounterStatsByRep!$A$1:$G$2</definedName>
    <definedName name="ExternalData_1" localSheetId="2" hidden="1">DiscreteTimeStatsByRep!$A$1:$K$11</definedName>
    <definedName name="ExternalData_1" localSheetId="6" hidden="1">FrequencyStatsByRep!$A$1:$J$2</definedName>
    <definedName name="ExternalData_1" localSheetId="5" hidden="1">OutputStatsByRep!$A$1:$H$14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O5" i="20" s="1" a="1"/>
  <c r="O5" i="20" s="1"/>
  <c r="I10" i="20"/>
  <c r="K10" i="20" s="1" a="1"/>
  <c r="K10" i="20" s="1"/>
  <c r="I11" i="20"/>
  <c r="I12" i="20"/>
  <c r="I13" i="20"/>
  <c r="I14" i="20"/>
  <c r="J2" i="20" a="1"/>
  <c r="J2" i="20"/>
  <c r="J3" i="20" a="1"/>
  <c r="J3" i="20" s="1"/>
  <c r="J4" i="20" a="1"/>
  <c r="J4" i="20" s="1"/>
  <c r="J5" i="20" a="1"/>
  <c r="J5" i="20" s="1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/>
  <c r="J14" i="20" a="1"/>
  <c r="J14" i="20" s="1"/>
  <c r="L5" i="20" a="1"/>
  <c r="L5" i="20" s="1"/>
  <c r="M2" i="20" a="1"/>
  <c r="M2" i="20" s="1"/>
  <c r="M3" i="20" a="1"/>
  <c r="M3" i="20" s="1"/>
  <c r="M4" i="20" a="1"/>
  <c r="M4" i="20" s="1"/>
  <c r="M5" i="20" a="1"/>
  <c r="M5" i="20" s="1"/>
  <c r="M6" i="20" a="1"/>
  <c r="M6" i="20"/>
  <c r="M7" i="20" a="1"/>
  <c r="M7" i="20" s="1"/>
  <c r="M8" i="20" a="1"/>
  <c r="M8" i="20" s="1"/>
  <c r="M9" i="20" a="1"/>
  <c r="M9" i="20" s="1"/>
  <c r="M10" i="20" a="1"/>
  <c r="M10" i="20"/>
  <c r="M11" i="20" a="1"/>
  <c r="M11" i="20"/>
  <c r="M12" i="20" a="1"/>
  <c r="M12" i="20" s="1"/>
  <c r="M13" i="20" a="1"/>
  <c r="M13" i="20" s="1"/>
  <c r="M14" i="20" a="1"/>
  <c r="M14" i="20" s="1"/>
  <c r="P12" i="20" a="1"/>
  <c r="P12" i="20" s="1"/>
  <c r="H2" i="19"/>
  <c r="N2" i="19" s="1" a="1"/>
  <c r="N2" i="19" s="1"/>
  <c r="I2" i="19" a="1"/>
  <c r="I2" i="19" s="1"/>
  <c r="L2" i="19" a="1"/>
  <c r="L2" i="19" s="1"/>
  <c r="M2" i="18"/>
  <c r="M3" i="18"/>
  <c r="M4" i="18"/>
  <c r="M5" i="18"/>
  <c r="M6" i="18"/>
  <c r="M7" i="18"/>
  <c r="M8" i="18"/>
  <c r="T7" i="18" s="1" a="1"/>
  <c r="T7" i="18" s="1"/>
  <c r="M9" i="18"/>
  <c r="M10" i="18"/>
  <c r="M11" i="18"/>
  <c r="M12" i="18"/>
  <c r="M13" i="18"/>
  <c r="M14" i="18"/>
  <c r="M15" i="18"/>
  <c r="M16" i="18"/>
  <c r="T16" i="18" s="1" a="1"/>
  <c r="T16" i="18" s="1"/>
  <c r="M17" i="18"/>
  <c r="M18" i="18"/>
  <c r="M19" i="18"/>
  <c r="M20" i="18"/>
  <c r="P20" i="18" s="1" a="1"/>
  <c r="P20" i="18" s="1"/>
  <c r="M21" i="18"/>
  <c r="M22" i="18"/>
  <c r="M23" i="18"/>
  <c r="M24" i="18"/>
  <c r="O24" i="18" s="1" a="1"/>
  <c r="O24" i="18" s="1"/>
  <c r="N2" i="18" a="1"/>
  <c r="N2" i="18" s="1"/>
  <c r="N3" i="18" a="1"/>
  <c r="N3" i="18" s="1"/>
  <c r="U3" i="18" s="1"/>
  <c r="N4" i="18" a="1"/>
  <c r="N4" i="18" s="1"/>
  <c r="N5" i="18" a="1"/>
  <c r="N5" i="18" s="1"/>
  <c r="N6" i="18" a="1"/>
  <c r="N6" i="18" s="1"/>
  <c r="N7" i="18" a="1"/>
  <c r="N7" i="18" s="1"/>
  <c r="U7" i="18" s="1"/>
  <c r="N8" i="18" a="1"/>
  <c r="N8" i="18" s="1"/>
  <c r="N9" i="18" a="1"/>
  <c r="N9" i="18"/>
  <c r="U9" i="18" s="1"/>
  <c r="N10" i="18" a="1"/>
  <c r="N10" i="18" s="1"/>
  <c r="N11" i="18" a="1"/>
  <c r="N11" i="18"/>
  <c r="N12" i="18" a="1"/>
  <c r="N12" i="18" s="1"/>
  <c r="N13" i="18" a="1"/>
  <c r="N13" i="18" s="1"/>
  <c r="N14" i="18" a="1"/>
  <c r="N14" i="18" s="1"/>
  <c r="N15" i="18" a="1"/>
  <c r="N15" i="18" s="1"/>
  <c r="U15" i="18" s="1"/>
  <c r="N16" i="18" a="1"/>
  <c r="N16" i="18" s="1"/>
  <c r="N17" i="18" a="1"/>
  <c r="N17" i="18"/>
  <c r="U17" i="18" s="1"/>
  <c r="N18" i="18" a="1"/>
  <c r="N18" i="18" s="1"/>
  <c r="N19" i="18" a="1"/>
  <c r="N19" i="18" s="1"/>
  <c r="U19" i="18" s="1"/>
  <c r="N20" i="18" a="1"/>
  <c r="N20" i="18" s="1"/>
  <c r="N21" i="18" a="1"/>
  <c r="N21" i="18" s="1"/>
  <c r="U21" i="18" s="1"/>
  <c r="N22" i="18" a="1"/>
  <c r="N22" i="18" s="1"/>
  <c r="N23" i="18" a="1"/>
  <c r="N23" i="18" s="1"/>
  <c r="U23" i="18" s="1"/>
  <c r="N24" i="18" a="1"/>
  <c r="N24" i="18" s="1"/>
  <c r="O23" i="18" a="1"/>
  <c r="O23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/>
  <c r="Q9" i="18" a="1"/>
  <c r="Q9" i="18" s="1"/>
  <c r="Q10" i="18" a="1"/>
  <c r="Q10" i="18" s="1"/>
  <c r="Q11" i="18" a="1"/>
  <c r="Q11" i="18" s="1"/>
  <c r="Q12" i="18" a="1"/>
  <c r="Q12" i="18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/>
  <c r="T11" i="18" a="1"/>
  <c r="T11" i="18" s="1"/>
  <c r="T19" i="18" a="1"/>
  <c r="T19" i="18" s="1"/>
  <c r="U11" i="18"/>
  <c r="L2" i="17"/>
  <c r="L3" i="17"/>
  <c r="L4" i="17"/>
  <c r="L5" i="17"/>
  <c r="L6" i="17"/>
  <c r="L7" i="17"/>
  <c r="L8" i="17"/>
  <c r="L9" i="17"/>
  <c r="O9" i="17" s="1" a="1"/>
  <c r="O9" i="17" s="1"/>
  <c r="L10" i="17"/>
  <c r="L11" i="17"/>
  <c r="M2" i="17" a="1"/>
  <c r="M2" i="17" s="1"/>
  <c r="M3" i="17" a="1"/>
  <c r="M3" i="17" s="1"/>
  <c r="W3" i="17" s="1"/>
  <c r="M4" i="17" a="1"/>
  <c r="M4" i="17" s="1"/>
  <c r="M5" i="17" a="1"/>
  <c r="M5" i="17" s="1"/>
  <c r="W5" i="17" s="1"/>
  <c r="M6" i="17" a="1"/>
  <c r="M6" i="17" s="1"/>
  <c r="M7" i="17" a="1"/>
  <c r="M7" i="17" s="1"/>
  <c r="W7" i="17" s="1"/>
  <c r="M8" i="17" a="1"/>
  <c r="M8" i="17" s="1"/>
  <c r="M9" i="17" a="1"/>
  <c r="M9" i="17" s="1"/>
  <c r="W9" i="17" s="1"/>
  <c r="M10" i="17" a="1"/>
  <c r="M10" i="17" s="1"/>
  <c r="M11" i="17" a="1"/>
  <c r="M11" i="17" s="1"/>
  <c r="W11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G2" i="16"/>
  <c r="L13" i="20" l="1" a="1"/>
  <c r="L13" i="20" s="1"/>
  <c r="P2" i="20" a="1"/>
  <c r="P2" i="20" s="1"/>
  <c r="L9" i="20" a="1"/>
  <c r="L9" i="20" s="1"/>
  <c r="L14" i="20" a="1"/>
  <c r="L14" i="20" s="1"/>
  <c r="N14" i="20" s="1"/>
  <c r="L6" i="20" a="1"/>
  <c r="L6" i="20" s="1"/>
  <c r="N6" i="20" s="1"/>
  <c r="K14" i="20" a="1"/>
  <c r="K14" i="20" s="1"/>
  <c r="P8" i="20" a="1"/>
  <c r="P8" i="20" s="1"/>
  <c r="N5" i="20"/>
  <c r="K6" i="20" a="1"/>
  <c r="K6" i="20" s="1"/>
  <c r="L10" i="20" a="1"/>
  <c r="L10" i="20" s="1"/>
  <c r="K3" i="20" a="1"/>
  <c r="K3" i="20" s="1"/>
  <c r="N9" i="20"/>
  <c r="N10" i="20"/>
  <c r="N13" i="20"/>
  <c r="K2" i="20" a="1"/>
  <c r="K2" i="20" s="1"/>
  <c r="P11" i="20" a="1"/>
  <c r="P11" i="20" s="1"/>
  <c r="O12" i="20" a="1"/>
  <c r="O12" i="20" s="1"/>
  <c r="O4" i="20" a="1"/>
  <c r="O4" i="20" s="1"/>
  <c r="L12" i="20" a="1"/>
  <c r="L12" i="20" s="1"/>
  <c r="N12" i="20" s="1"/>
  <c r="L8" i="20" a="1"/>
  <c r="L8" i="20" s="1"/>
  <c r="N8" i="20" s="1"/>
  <c r="L4" i="20" a="1"/>
  <c r="L4" i="20" s="1"/>
  <c r="N4" i="20" s="1"/>
  <c r="K13" i="20" a="1"/>
  <c r="K13" i="20" s="1"/>
  <c r="K9" i="20" a="1"/>
  <c r="K9" i="20" s="1"/>
  <c r="K5" i="20" a="1"/>
  <c r="K5" i="20" s="1"/>
  <c r="P3" i="20" a="1"/>
  <c r="P3" i="20" s="1"/>
  <c r="P14" i="20" a="1"/>
  <c r="P14" i="20" s="1"/>
  <c r="P6" i="20" a="1"/>
  <c r="P6" i="20" s="1"/>
  <c r="O11" i="20" a="1"/>
  <c r="O11" i="20" s="1"/>
  <c r="O3" i="20" a="1"/>
  <c r="O3" i="20" s="1"/>
  <c r="L7" i="20" a="1"/>
  <c r="L7" i="20" s="1"/>
  <c r="N7" i="20" s="1"/>
  <c r="L3" i="20" a="1"/>
  <c r="L3" i="20" s="1"/>
  <c r="N3" i="20" s="1"/>
  <c r="K12" i="20" a="1"/>
  <c r="K12" i="20" s="1"/>
  <c r="K8" i="20" a="1"/>
  <c r="K8" i="20" s="1"/>
  <c r="K4" i="20" a="1"/>
  <c r="K4" i="20" s="1"/>
  <c r="P7" i="20" a="1"/>
  <c r="P7" i="20" s="1"/>
  <c r="O8" i="20" a="1"/>
  <c r="O8" i="20" s="1"/>
  <c r="P10" i="20" a="1"/>
  <c r="P10" i="20" s="1"/>
  <c r="O7" i="20" a="1"/>
  <c r="O7" i="20" s="1"/>
  <c r="L11" i="20" a="1"/>
  <c r="L11" i="20" s="1"/>
  <c r="N11" i="20" s="1"/>
  <c r="P13" i="20" a="1"/>
  <c r="P13" i="20" s="1"/>
  <c r="P9" i="20" a="1"/>
  <c r="P9" i="20" s="1"/>
  <c r="P5" i="20" a="1"/>
  <c r="P5" i="20" s="1"/>
  <c r="O14" i="20" a="1"/>
  <c r="O14" i="20" s="1"/>
  <c r="O10" i="20" a="1"/>
  <c r="O10" i="20" s="1"/>
  <c r="O6" i="20" a="1"/>
  <c r="O6" i="20" s="1"/>
  <c r="O2" i="20" a="1"/>
  <c r="O2" i="20" s="1"/>
  <c r="L2" i="20" a="1"/>
  <c r="L2" i="20" s="1"/>
  <c r="N2" i="20" s="1"/>
  <c r="K11" i="20" a="1"/>
  <c r="K11" i="20" s="1"/>
  <c r="K7" i="20" a="1"/>
  <c r="K7" i="20" s="1"/>
  <c r="P4" i="20" a="1"/>
  <c r="P4" i="20" s="1"/>
  <c r="O13" i="20" a="1"/>
  <c r="O13" i="20" s="1"/>
  <c r="O9" i="20" a="1"/>
  <c r="O9" i="20" s="1"/>
  <c r="K2" i="19" a="1"/>
  <c r="K2" i="19" s="1"/>
  <c r="M2" i="19" s="1"/>
  <c r="O2" i="19" a="1"/>
  <c r="O2" i="19" s="1"/>
  <c r="J2" i="19" a="1"/>
  <c r="J2" i="19" s="1"/>
  <c r="P4" i="18" a="1"/>
  <c r="P4" i="18" s="1"/>
  <c r="P17" i="18" a="1"/>
  <c r="P17" i="18" s="1"/>
  <c r="T24" i="18" a="1"/>
  <c r="T24" i="18" s="1"/>
  <c r="O19" i="18" a="1"/>
  <c r="O19" i="18" s="1"/>
  <c r="S15" i="18" a="1"/>
  <c r="S15" i="18" s="1"/>
  <c r="S3" i="18" a="1"/>
  <c r="S3" i="18" s="1"/>
  <c r="T23" i="18" a="1"/>
  <c r="T23" i="18" s="1"/>
  <c r="P24" i="18" a="1"/>
  <c r="P24" i="18" s="1"/>
  <c r="O15" i="18" a="1"/>
  <c r="O15" i="18" s="1"/>
  <c r="S23" i="18" a="1"/>
  <c r="S23" i="18" s="1"/>
  <c r="O11" i="18" a="1"/>
  <c r="O11" i="18" s="1"/>
  <c r="O20" i="18" a="1"/>
  <c r="O20" i="18" s="1"/>
  <c r="O12" i="18" a="1"/>
  <c r="O12" i="18" s="1"/>
  <c r="O4" i="18" a="1"/>
  <c r="O4" i="18" s="1"/>
  <c r="T3" i="18" a="1"/>
  <c r="T3" i="18" s="1"/>
  <c r="P16" i="18" a="1"/>
  <c r="P16" i="18" s="1"/>
  <c r="P12" i="18" a="1"/>
  <c r="P12" i="18" s="1"/>
  <c r="O3" i="18" a="1"/>
  <c r="O3" i="18" s="1"/>
  <c r="O7" i="18" a="1"/>
  <c r="O7" i="18" s="1"/>
  <c r="T15" i="18" a="1"/>
  <c r="T15" i="18" s="1"/>
  <c r="P8" i="18" a="1"/>
  <c r="P8" i="18" s="1"/>
  <c r="R12" i="18"/>
  <c r="U12" i="18"/>
  <c r="U18" i="18"/>
  <c r="U2" i="18"/>
  <c r="U22" i="18"/>
  <c r="U10" i="18"/>
  <c r="U6" i="18"/>
  <c r="U16" i="18"/>
  <c r="R16" i="18"/>
  <c r="R20" i="18"/>
  <c r="U20" i="18"/>
  <c r="R4" i="18"/>
  <c r="U4" i="18"/>
  <c r="U14" i="18"/>
  <c r="R17" i="18"/>
  <c r="U24" i="18"/>
  <c r="R24" i="18"/>
  <c r="U8" i="18"/>
  <c r="R8" i="18"/>
  <c r="S18" i="18" a="1"/>
  <c r="S18" i="18" s="1"/>
  <c r="S2" i="18" a="1"/>
  <c r="S2" i="18" s="1"/>
  <c r="U13" i="18"/>
  <c r="P19" i="18" a="1"/>
  <c r="P19" i="18" s="1"/>
  <c r="R19" i="18" s="1"/>
  <c r="P15" i="18" a="1"/>
  <c r="P15" i="18" s="1"/>
  <c r="R15" i="18" s="1"/>
  <c r="P3" i="18" a="1"/>
  <c r="P3" i="18" s="1"/>
  <c r="R3" i="18" s="1"/>
  <c r="O18" i="18" a="1"/>
  <c r="O18" i="18" s="1"/>
  <c r="O10" i="18" a="1"/>
  <c r="O10" i="18" s="1"/>
  <c r="O2" i="18" a="1"/>
  <c r="O2" i="18" s="1"/>
  <c r="T22" i="18" a="1"/>
  <c r="T22" i="18" s="1"/>
  <c r="T18" i="18" a="1"/>
  <c r="T18" i="18" s="1"/>
  <c r="T14" i="18" a="1"/>
  <c r="T14" i="18" s="1"/>
  <c r="T10" i="18" a="1"/>
  <c r="T10" i="18" s="1"/>
  <c r="T6" i="18" a="1"/>
  <c r="T6" i="18" s="1"/>
  <c r="T2" i="18" a="1"/>
  <c r="T2" i="18" s="1"/>
  <c r="S21" i="18" a="1"/>
  <c r="S21" i="18" s="1"/>
  <c r="S17" i="18" a="1"/>
  <c r="S17" i="18" s="1"/>
  <c r="S13" i="18" a="1"/>
  <c r="S13" i="18" s="1"/>
  <c r="S9" i="18" a="1"/>
  <c r="S9" i="18" s="1"/>
  <c r="S5" i="18" a="1"/>
  <c r="S5" i="18" s="1"/>
  <c r="S14" i="18" a="1"/>
  <c r="S14" i="18" s="1"/>
  <c r="S6" i="18" a="1"/>
  <c r="S6" i="18" s="1"/>
  <c r="U5" i="18"/>
  <c r="P23" i="18" a="1"/>
  <c r="P23" i="18" s="1"/>
  <c r="R23" i="18" s="1"/>
  <c r="P11" i="18" a="1"/>
  <c r="P11" i="18" s="1"/>
  <c r="R11" i="18" s="1"/>
  <c r="P7" i="18" a="1"/>
  <c r="P7" i="18" s="1"/>
  <c r="R7" i="18" s="1"/>
  <c r="O22" i="18" a="1"/>
  <c r="O22" i="18" s="1"/>
  <c r="O14" i="18" a="1"/>
  <c r="O14" i="18" s="1"/>
  <c r="O6" i="18" a="1"/>
  <c r="O6" i="18" s="1"/>
  <c r="P22" i="18" a="1"/>
  <c r="P22" i="18" s="1"/>
  <c r="R22" i="18" s="1"/>
  <c r="P18" i="18" a="1"/>
  <c r="P18" i="18" s="1"/>
  <c r="R18" i="18" s="1"/>
  <c r="P14" i="18" a="1"/>
  <c r="P14" i="18" s="1"/>
  <c r="R14" i="18" s="1"/>
  <c r="P10" i="18" a="1"/>
  <c r="P10" i="18" s="1"/>
  <c r="R10" i="18" s="1"/>
  <c r="P6" i="18" a="1"/>
  <c r="P6" i="18" s="1"/>
  <c r="R6" i="18" s="1"/>
  <c r="P2" i="18" a="1"/>
  <c r="P2" i="18" s="1"/>
  <c r="R2" i="18" s="1"/>
  <c r="O21" i="18" a="1"/>
  <c r="O21" i="18" s="1"/>
  <c r="O17" i="18" a="1"/>
  <c r="O17" i="18" s="1"/>
  <c r="O13" i="18" a="1"/>
  <c r="O13" i="18" s="1"/>
  <c r="O9" i="18" a="1"/>
  <c r="O9" i="18" s="1"/>
  <c r="O5" i="18" a="1"/>
  <c r="O5" i="18" s="1"/>
  <c r="T13" i="18" a="1"/>
  <c r="T13" i="18" s="1"/>
  <c r="T9" i="18" a="1"/>
  <c r="T9" i="18" s="1"/>
  <c r="T5" i="18" a="1"/>
  <c r="T5" i="18" s="1"/>
  <c r="S24" i="18" a="1"/>
  <c r="S24" i="18" s="1"/>
  <c r="S20" i="18" a="1"/>
  <c r="S20" i="18" s="1"/>
  <c r="S16" i="18" a="1"/>
  <c r="S16" i="18" s="1"/>
  <c r="S12" i="18" a="1"/>
  <c r="S12" i="18" s="1"/>
  <c r="S8" i="18" a="1"/>
  <c r="S8" i="18" s="1"/>
  <c r="S4" i="18" a="1"/>
  <c r="S4" i="18" s="1"/>
  <c r="S22" i="18" a="1"/>
  <c r="S22" i="18" s="1"/>
  <c r="S10" i="18" a="1"/>
  <c r="S10" i="18" s="1"/>
  <c r="T21" i="18" a="1"/>
  <c r="T21" i="18" s="1"/>
  <c r="T17" i="18" a="1"/>
  <c r="T17" i="18" s="1"/>
  <c r="P21" i="18" a="1"/>
  <c r="P21" i="18" s="1"/>
  <c r="R21" i="18" s="1"/>
  <c r="P13" i="18" a="1"/>
  <c r="P13" i="18" s="1"/>
  <c r="R13" i="18" s="1"/>
  <c r="P9" i="18" a="1"/>
  <c r="P9" i="18" s="1"/>
  <c r="R9" i="18" s="1"/>
  <c r="P5" i="18" a="1"/>
  <c r="P5" i="18" s="1"/>
  <c r="R5" i="18" s="1"/>
  <c r="O16" i="18" a="1"/>
  <c r="O16" i="18" s="1"/>
  <c r="O8" i="18" a="1"/>
  <c r="O8" i="18" s="1"/>
  <c r="T20" i="18" a="1"/>
  <c r="T20" i="18" s="1"/>
  <c r="T12" i="18" a="1"/>
  <c r="T12" i="18" s="1"/>
  <c r="T8" i="18" a="1"/>
  <c r="T8" i="18" s="1"/>
  <c r="T4" i="18" a="1"/>
  <c r="T4" i="18" s="1"/>
  <c r="S19" i="18" a="1"/>
  <c r="S19" i="18" s="1"/>
  <c r="S11" i="18" a="1"/>
  <c r="S11" i="18" s="1"/>
  <c r="S7" i="18" a="1"/>
  <c r="S7" i="18" s="1"/>
  <c r="R8" i="17" a="1"/>
  <c r="R8" i="17" s="1"/>
  <c r="N7" i="17" a="1"/>
  <c r="N7" i="17" s="1"/>
  <c r="R4" i="17" a="1"/>
  <c r="R4" i="17" s="1"/>
  <c r="N11" i="17" a="1"/>
  <c r="N11" i="17" s="1"/>
  <c r="N3" i="17" a="1"/>
  <c r="N3" i="17" s="1"/>
  <c r="W2" i="17"/>
  <c r="W6" i="17"/>
  <c r="W10" i="17"/>
  <c r="X8" i="17" a="1"/>
  <c r="X8" i="17" s="1"/>
  <c r="Y8" i="17" s="1"/>
  <c r="V11" i="17" a="1"/>
  <c r="V11" i="17" s="1"/>
  <c r="V3" i="17" a="1"/>
  <c r="V3" i="17" s="1"/>
  <c r="U9" i="17" a="1"/>
  <c r="U9" i="17" s="1"/>
  <c r="T11" i="17" a="1"/>
  <c r="T11" i="17" s="1"/>
  <c r="T3" i="17" a="1"/>
  <c r="T3" i="17" s="1"/>
  <c r="S9" i="17" a="1"/>
  <c r="S9" i="17" s="1"/>
  <c r="R11" i="17" a="1"/>
  <c r="R11" i="17" s="1"/>
  <c r="R7" i="17" a="1"/>
  <c r="R7" i="17" s="1"/>
  <c r="O8" i="17" a="1"/>
  <c r="O8" i="17" s="1"/>
  <c r="N10" i="17" a="1"/>
  <c r="N10" i="17" s="1"/>
  <c r="N6" i="17" a="1"/>
  <c r="N6" i="17" s="1"/>
  <c r="X11" i="17" a="1"/>
  <c r="X11" i="17" s="1"/>
  <c r="Y11" i="17" s="1"/>
  <c r="X7" i="17" a="1"/>
  <c r="X7" i="17" s="1"/>
  <c r="Y7" i="17" s="1"/>
  <c r="V10" i="17" a="1"/>
  <c r="V10" i="17" s="1"/>
  <c r="V2" i="17" a="1"/>
  <c r="V2" i="17" s="1"/>
  <c r="U8" i="17" a="1"/>
  <c r="U8" i="17" s="1"/>
  <c r="U4" i="17" a="1"/>
  <c r="U4" i="17" s="1"/>
  <c r="T6" i="17" a="1"/>
  <c r="T6" i="17" s="1"/>
  <c r="R10" i="17" a="1"/>
  <c r="R10" i="17" s="1"/>
  <c r="R2" i="17" a="1"/>
  <c r="R2" i="17" s="1"/>
  <c r="O11" i="17" a="1"/>
  <c r="O11" i="17" s="1"/>
  <c r="O7" i="17" a="1"/>
  <c r="O7" i="17" s="1"/>
  <c r="O3" i="17" a="1"/>
  <c r="O3" i="17" s="1"/>
  <c r="N9" i="17" a="1"/>
  <c r="N9" i="17" s="1"/>
  <c r="X4" i="17" a="1"/>
  <c r="X4" i="17" s="1"/>
  <c r="Y4" i="17" s="1"/>
  <c r="W8" i="17"/>
  <c r="V7" i="17" a="1"/>
  <c r="V7" i="17" s="1"/>
  <c r="U5" i="17" a="1"/>
  <c r="U5" i="17" s="1"/>
  <c r="T7" i="17" a="1"/>
  <c r="T7" i="17" s="1"/>
  <c r="S5" i="17" a="1"/>
  <c r="S5" i="17" s="1"/>
  <c r="R3" i="17" a="1"/>
  <c r="R3" i="17" s="1"/>
  <c r="O4" i="17" a="1"/>
  <c r="O4" i="17" s="1"/>
  <c r="N2" i="17" a="1"/>
  <c r="N2" i="17" s="1"/>
  <c r="X3" i="17" a="1"/>
  <c r="X3" i="17" s="1"/>
  <c r="Y3" i="17" s="1"/>
  <c r="V6" i="17" a="1"/>
  <c r="V6" i="17" s="1"/>
  <c r="T10" i="17" a="1"/>
  <c r="T10" i="17" s="1"/>
  <c r="T2" i="17" a="1"/>
  <c r="T2" i="17" s="1"/>
  <c r="S8" i="17" a="1"/>
  <c r="S8" i="17" s="1"/>
  <c r="S4" i="17" a="1"/>
  <c r="S4" i="17" s="1"/>
  <c r="R6" i="17" a="1"/>
  <c r="R6" i="17" s="1"/>
  <c r="N5" i="17" a="1"/>
  <c r="N5" i="17" s="1"/>
  <c r="X10" i="17" a="1"/>
  <c r="X10" i="17" s="1"/>
  <c r="Y10" i="17" s="1"/>
  <c r="X2" i="17" a="1"/>
  <c r="X2" i="17" s="1"/>
  <c r="Y2" i="17" s="1"/>
  <c r="W4" i="17"/>
  <c r="V9" i="17" a="1"/>
  <c r="V9" i="17" s="1"/>
  <c r="U11" i="17" a="1"/>
  <c r="U11" i="17" s="1"/>
  <c r="U3" i="17" a="1"/>
  <c r="U3" i="17" s="1"/>
  <c r="T9" i="17" a="1"/>
  <c r="T9" i="17" s="1"/>
  <c r="S11" i="17" a="1"/>
  <c r="S11" i="17" s="1"/>
  <c r="S3" i="17" a="1"/>
  <c r="S3" i="17" s="1"/>
  <c r="R9" i="17" a="1"/>
  <c r="R9" i="17" s="1"/>
  <c r="R5" i="17" a="1"/>
  <c r="R5" i="17" s="1"/>
  <c r="O10" i="17" a="1"/>
  <c r="O10" i="17" s="1"/>
  <c r="O6" i="17" a="1"/>
  <c r="O6" i="17" s="1"/>
  <c r="O2" i="17" a="1"/>
  <c r="O2" i="17" s="1"/>
  <c r="N8" i="17" a="1"/>
  <c r="N8" i="17" s="1"/>
  <c r="N4" i="17" a="1"/>
  <c r="N4" i="17" s="1"/>
  <c r="X6" i="17" a="1"/>
  <c r="X6" i="17" s="1"/>
  <c r="Y6" i="17" s="1"/>
  <c r="V5" i="17" a="1"/>
  <c r="V5" i="17" s="1"/>
  <c r="U7" i="17" a="1"/>
  <c r="U7" i="17" s="1"/>
  <c r="T5" i="17" a="1"/>
  <c r="T5" i="17" s="1"/>
  <c r="S7" i="17" a="1"/>
  <c r="S7" i="17" s="1"/>
  <c r="X9" i="17" a="1"/>
  <c r="X9" i="17" s="1"/>
  <c r="Y9" i="17" s="1"/>
  <c r="Q9" i="17" s="1"/>
  <c r="X5" i="17" a="1"/>
  <c r="X5" i="17" s="1"/>
  <c r="Y5" i="17" s="1"/>
  <c r="V8" i="17" a="1"/>
  <c r="V8" i="17" s="1"/>
  <c r="V4" i="17" a="1"/>
  <c r="V4" i="17" s="1"/>
  <c r="U10" i="17" a="1"/>
  <c r="U10" i="17" s="1"/>
  <c r="U6" i="17" a="1"/>
  <c r="U6" i="17" s="1"/>
  <c r="U2" i="17" a="1"/>
  <c r="U2" i="17" s="1"/>
  <c r="T8" i="17" a="1"/>
  <c r="T8" i="17" s="1"/>
  <c r="T4" i="17" a="1"/>
  <c r="T4" i="17" s="1"/>
  <c r="S10" i="17" a="1"/>
  <c r="S10" i="17" s="1"/>
  <c r="S6" i="17" a="1"/>
  <c r="S6" i="17" s="1"/>
  <c r="S2" i="17" a="1"/>
  <c r="S2" i="17" s="1"/>
  <c r="O5" i="17" a="1"/>
  <c r="O5" i="17" s="1"/>
  <c r="Q4" i="17" l="1"/>
  <c r="Q7" i="17"/>
  <c r="Q2" i="17"/>
  <c r="Q6" i="17"/>
  <c r="Q10" i="17"/>
  <c r="Q3" i="17"/>
  <c r="Q8" i="17"/>
  <c r="Q11" i="17"/>
  <c r="Q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oondunine\documents\simu\assignment_1\delivery_q1_part3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oondunine\documents\simu\assignment_1\delivery_q1_part3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oondunine\documents\simu\assignment_1\delivery_q1_part3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oondunine\documents\simu\assignment_1\delivery_q1_part3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oondunine\documents\simu\assignment_1\delivery_q1_part3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oondunine\documents\simu\assignment_1\delivery_q1_part3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<sst xmlns="http://schemas.openxmlformats.org/spreadsheetml/2006/main" count="525" uniqueCount="120">
  <si>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</si>
  <si>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</si>
  <si>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</si>
  <si>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</si>
  <si>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</si>
  <si>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</si>
  <si>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</si>
  <si>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</si>
  <si>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</si>
  <si>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</si>
  <si>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</si>
  <si>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</si>
  <si>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</si>
  <si>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</si>
  <si>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</si>
  <si>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</si>
  <si>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</si>
  <si>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</si>
  <si>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</si>
  <si>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</si>
  <si>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</si>
  <si>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</si>
  <si>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</si>
  <si>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</si>
  <si>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</si>
  <si>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</si>
  <si>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</si>
  <si>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</si>
  <si>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</si>
  <si>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</si>
  <si>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</si>
  <si>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</si>
  <si>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</si>
  <si>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</si>
  <si>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</si>
  <si>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</si>
  <si>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</si>
  <si>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</si>
  <si>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</si>
  <si>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</si>
  <si>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</si>
  <si>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</si>
  <si>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</si>
  <si>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</si>
  <si>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</si>
  <si>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</si>
  <si>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</si>
  <si>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</si>
  <si>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</si>
  <si>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</si>
  <si>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</si>
  <si>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</si>
  <si>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</si>
  <si>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</si>
  <si>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</si>
  <si>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</si>
  <si>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</si>
  <si>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</si>
  <si>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</si>
  <si>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</si>
  <si>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</si>
  <si>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</si>
  <si>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</si>
  <si>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</si>
  <si>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</si>
  <si>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</si>
  <si>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</si>
  <si>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</si>
  <si>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C:\Users\goondunine\Documents\simu\Assignment_1\Delivery_Q1_part3.p</t>
  </si>
  <si>
    <t>Counter Service A.Queue</t>
  </si>
  <si>
    <t>Waiting Time</t>
  </si>
  <si>
    <t>Queue</t>
  </si>
  <si>
    <t>Counter Service B.Queue</t>
  </si>
  <si>
    <t>Counter Service C.Queue</t>
  </si>
  <si>
    <t>Counter Service D.Queue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</si>
  <si>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</si>
  <si>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</si>
  <si>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</si>
  <si>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</si>
  <si>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</si>
  <si>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</si>
  <si>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</si>
  <si>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</si>
  <si>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</si>
  <si>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Counter Service E.Queue</t>
  </si>
  <si>
    <t>WIP</t>
  </si>
  <si>
    <t>CustomerArrivalMean</t>
  </si>
  <si>
    <t>Variable</t>
  </si>
  <si>
    <t>User Specified</t>
  </si>
  <si>
    <t>Resource A</t>
  </si>
  <si>
    <t>Instantaneous Utilization</t>
  </si>
  <si>
    <t>Resource</t>
  </si>
  <si>
    <t>Number Busy</t>
  </si>
  <si>
    <t>Number Scheduled</t>
  </si>
  <si>
    <t>Resource B</t>
  </si>
  <si>
    <t>Resource C</t>
  </si>
  <si>
    <t>Resource D</t>
  </si>
  <si>
    <t>Resource E</t>
  </si>
  <si>
    <t>ServiceTimeMean</t>
  </si>
  <si>
    <t>Wait Time more than 6 mins</t>
  </si>
  <si>
    <t>Count</t>
  </si>
  <si>
    <t>Customer.NumberIn</t>
  </si>
  <si>
    <t>Number In</t>
  </si>
  <si>
    <t>Customer.NumberOut</t>
  </si>
  <si>
    <t>Number Out</t>
  </si>
  <si>
    <t>Resource A.NumberSeized</t>
  </si>
  <si>
    <t>Total Number Seized</t>
  </si>
  <si>
    <t>Resource A.ScheduledUtilization</t>
  </si>
  <si>
    <t>Scheduled Utilization</t>
  </si>
  <si>
    <t>Resource B.NumberSeized</t>
  </si>
  <si>
    <t>Resource B.ScheduledUtilization</t>
  </si>
  <si>
    <t>Resource C.NumberSeized</t>
  </si>
  <si>
    <t>Resource C.ScheduledUtilization</t>
  </si>
  <si>
    <t>Resource D.NumberSeized</t>
  </si>
  <si>
    <t>Resource D.ScheduledUtilization</t>
  </si>
  <si>
    <t>Resource E.NumberSeized</t>
  </si>
  <si>
    <t>Resource E.ScheduledUtilization</t>
  </si>
  <si>
    <t>System.NumberOut</t>
  </si>
  <si>
    <t>System</t>
  </si>
  <si>
    <t>2025-02-17 08:56:08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</si>
</sst>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5" formatCode="[=300000000000000000000]&quot;Correlated&quot;;;"/>
    </dxf>
    <dxf>
      <numFmt numFmtId="166" formatCode="[=200000000000000000000]&quot;Insufficient&quot;;;"/>
    </dxf>
    <dxf>
      <fill>
        <patternFill>
          <bgColor theme="6"/>
        </patternFill>
      </fill>
    </dxf>
    <dxf>
      <numFmt numFmtId="165" formatCode="[=300000000000000000000]&quot;Correlated&quot;;;"/>
    </dxf>
    <dxf>
      <numFmt numFmtId="166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6" formatCode="[=200000000000000000000]&quot;Insufficient&quot;;;"/>
    </dxf>
    <dxf>
      <numFmt numFmtId="165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5" formatCode="[=300000000000000000000]&quot;Correlated&quot;;;"/>
    </dxf>
    <dxf>
      <numFmt numFmtId="166" formatCode="[=200000000000000000000]&quot;Insufficient&quot;;;"/>
    </dxf>
    <dxf>
      <numFmt numFmtId="14" formatCode="0.00%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=300000000000000000000]&quot;Correlated&quot;;;"/>
    </dxf>
    <dxf>
      <numFmt numFmtId="165" formatCode="[=300000000000000000000]&quot;Correlated&quot;;;"/>
    </dxf>
    <dxf>
      <numFmt numFmtId="166" formatCode="[=200000000000000000000]&quot;Insufficient&quot;;;"/>
    </dxf>
    <dxf>
      <numFmt numFmtId="166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7283217592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5">
        <s v="Wait Time more than 6 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1" maxValue="1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" maxValue="1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" maxValue="1"/>
    </cacheField>
    <cacheField name="Maximum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72832407411" createdVersion="7" refreshedVersion="8" minRefreshableVersion="3" recordCount="23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Counter Service A.Queue"/>
        <s v="Counter Service B.Queue"/>
        <s v="Counter Service C.Queue"/>
        <s v="Counter Service D.Queue"/>
        <s v="Counter Service E.Queue"/>
        <s v="Customer"/>
        <s v="CustomerArrivalMean"/>
        <s v="Resource A"/>
        <s v="Resource B"/>
        <s v="Resource C"/>
        <s v="Resource D"/>
        <s v="Resource E"/>
        <s v="ServiceTimeMean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8">
        <s v="Number Waiting"/>
        <s v="WIP"/>
        <s v="Variable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User Specified"/>
        <s v="Resource"/>
        <m u="1"/>
      </sharedItems>
    </cacheField>
    <cacheField name="Average" numFmtId="0">
      <sharedItems containsSemiMixedTypes="0" containsString="0" containsNumber="1" minValue="0" maxValue="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8"/>
    </cacheField>
    <cacheField name="Maximum" numFmtId="0">
      <sharedItems containsSemiMixedTypes="0" containsString="0" containsNumber="1" containsInteger="1" minValue="0" maxValue="8"/>
    </cacheField>
    <cacheField name="LastRecordedValue" numFmtId="0">
      <sharedItems containsSemiMixedTypes="0" containsString="0" containsNumber="1" containsInteger="1" minValue="0" maxValue="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8"/>
    </cacheField>
    <cacheField name="MaximumAverage" numFmtId="0">
      <sharedItems containsSemiMixedTypes="0" containsString="0" containsNumber="1" minValue="0" maxValue="8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72832638888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72832870373" createdVersion="7" refreshedVersion="8" minRefreshableVersion="3" recordCount="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4">
        <s v="Counter Service A.Queue"/>
        <s v="Counter Service B.Queue"/>
        <s v="Counter Service C.Queue"/>
        <s v="Counter Service D.Queue"/>
        <s v="Customer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9.196950888196100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.7935758933210798E-2"/>
    </cacheField>
    <cacheField name="Maximum" numFmtId="0">
      <sharedItems containsSemiMixedTypes="0" containsString="0" containsNumber="1" minValue="0" maxValue="41.1827233327475"/>
    </cacheField>
    <cacheField name="NumberObservations" numFmtId="0">
      <sharedItems containsSemiMixedTypes="0" containsString="0" containsNumber="1" containsInteger="1" minValue="10" maxValue="10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9.196950888196100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9.1969508881961008"/>
    </cacheField>
    <cacheField name="MaximumAverage" numFmtId="0">
      <sharedItems containsSemiMixedTypes="0" containsString="0" containsNumber="1" minValue="0" maxValue="9.1969508881961008"/>
    </cacheField>
    <cacheField name="OverallMinimum" numFmtId="0">
      <sharedItems containsSemiMixedTypes="0" containsString="0" containsNumber="1" minValue="0" maxValue="2.7935758933210798E-2"/>
    </cacheField>
    <cacheField name="OverallMaximum" numFmtId="0">
      <sharedItems containsSemiMixedTypes="0" containsString="0" containsNumber="1" minValue="0" maxValue="41.1827233327475"/>
    </cacheField>
    <cacheField name="AverageNumberObservations" numFmtId="0">
      <sharedItems containsSemiMixedTypes="0" containsString="0" containsNumber="1" containsInteger="1" minValue="10" maxValue="100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72833333335" createdVersion="7" refreshedVersion="8" minRefreshableVersion="3" recordCount="1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1">
        <s v="Customer.NumberIn"/>
        <s v="Customer.NumberOut"/>
        <s v="Resource A.NumberSeized"/>
        <s v="Resource A.ScheduledUtilization"/>
        <s v="Resource B.NumberSeized"/>
        <s v="Resource B.ScheduledUtilization"/>
        <s v="Resource C.NumberSeized"/>
        <s v="Resource C.ScheduledUtilization"/>
        <s v="Resource D.NumberSeized"/>
        <s v="Resource D.ScheduledUtilization"/>
        <s v="Resource E.NumberSeized"/>
        <s v="Resource 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" maxValue="1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1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100"/>
    </cacheField>
    <cacheField name="Maximum" numFmtId="0">
      <sharedItems containsSemiMixedTypes="0" containsString="0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2025-02-17 08:56:08"/>
    <n v="1"/>
    <x v="0"/>
    <x v="0"/>
    <x v="0"/>
    <n v="1"/>
    <s v="Unnamed ProjectWait Time more than 6 minsCountUser Specified"/>
    <n v="1"/>
    <n v="1"/>
    <n v="0"/>
    <n v="0.95"/>
    <n v="4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s v="2025-02-17 08:56:08"/>
    <n v="1"/>
    <x v="0"/>
    <x v="0"/>
    <x v="0"/>
    <n v="2.4649538177868101E-2"/>
    <n v="2E+20"/>
    <n v="0"/>
    <n v="1"/>
    <n v="0"/>
    <n v="0"/>
    <s v="Unnamed ProjectCounter Service A.QueueNumber WaitingQueue"/>
    <n v="1"/>
    <n v="2.4649538177868101E-2"/>
    <n v="0"/>
    <n v="0.95"/>
    <n v="4E+20"/>
    <n v="2.4649538177868101E-2"/>
    <n v="2.4649538177868101E-2"/>
    <n v="2E+20"/>
  </r>
  <r>
    <x v="0"/>
    <s v="2025-02-17 08:56:08"/>
    <n v="1"/>
    <x v="1"/>
    <x v="0"/>
    <x v="0"/>
    <n v="0"/>
    <n v="2E+20"/>
    <n v="0"/>
    <n v="0"/>
    <n v="0"/>
    <n v="0"/>
    <s v="Unnamed ProjectCounter Service B.QueueNumber WaitingQueue"/>
    <n v="1"/>
    <n v="0"/>
    <n v="0"/>
    <n v="0.95"/>
    <n v="4E+20"/>
    <n v="0"/>
    <n v="0"/>
    <n v="2E+20"/>
  </r>
  <r>
    <x v="0"/>
    <s v="2025-02-17 08:56:08"/>
    <n v="1"/>
    <x v="2"/>
    <x v="0"/>
    <x v="0"/>
    <n v="0"/>
    <n v="2E+20"/>
    <n v="0"/>
    <n v="0"/>
    <n v="0"/>
    <n v="0"/>
    <s v="Unnamed ProjectCounter Service C.QueueNumber WaitingQueue"/>
    <n v="1"/>
    <n v="0"/>
    <n v="0"/>
    <n v="0.95"/>
    <n v="4E+20"/>
    <n v="0"/>
    <n v="0"/>
    <n v="2E+20"/>
  </r>
  <r>
    <x v="0"/>
    <s v="2025-02-17 08:56:08"/>
    <n v="1"/>
    <x v="3"/>
    <x v="0"/>
    <x v="0"/>
    <n v="0"/>
    <n v="2E+20"/>
    <n v="0"/>
    <n v="0"/>
    <n v="0"/>
    <n v="0"/>
    <s v="Unnamed ProjectCounter Service D.QueueNumber WaitingQueue"/>
    <n v="1"/>
    <n v="0"/>
    <n v="0"/>
    <n v="0.95"/>
    <n v="4E+20"/>
    <n v="0"/>
    <n v="0"/>
    <n v="2E+20"/>
  </r>
  <r>
    <x v="0"/>
    <s v="2025-02-17 08:56:08"/>
    <n v="1"/>
    <x v="4"/>
    <x v="0"/>
    <x v="0"/>
    <n v="0"/>
    <n v="2E+20"/>
    <n v="0"/>
    <n v="0"/>
    <n v="0"/>
    <n v="0"/>
    <s v="Unnamed ProjectCounter Service E.QueueNumber WaitingQueue"/>
    <n v="1"/>
    <n v="0"/>
    <n v="0"/>
    <n v="0.95"/>
    <n v="4E+20"/>
    <n v="0"/>
    <n v="0"/>
    <n v="2E+20"/>
  </r>
  <r>
    <x v="0"/>
    <s v="2025-02-17 08:56:08"/>
    <n v="1"/>
    <x v="5"/>
    <x v="1"/>
    <x v="1"/>
    <n v="1.30145680000408"/>
    <n v="2E+20"/>
    <n v="0"/>
    <n v="5"/>
    <n v="0"/>
    <n v="0"/>
    <s v="Unnamed ProjectCustomerWIPEntity"/>
    <n v="1"/>
    <n v="1.30145680000408"/>
    <n v="0"/>
    <n v="0.95"/>
    <n v="4E+20"/>
    <n v="1.30145680000408"/>
    <n v="1.30145680000408"/>
    <n v="2E+20"/>
  </r>
  <r>
    <x v="0"/>
    <s v="2025-02-17 08:56:08"/>
    <n v="1"/>
    <x v="6"/>
    <x v="2"/>
    <x v="2"/>
    <n v="6"/>
    <n v="2E+20"/>
    <n v="6"/>
    <n v="6"/>
    <n v="6"/>
    <n v="0"/>
    <s v="Unnamed ProjectCustomerArrivalMeanVariableUser Specified"/>
    <n v="1"/>
    <n v="6"/>
    <n v="0"/>
    <n v="0.95"/>
    <n v="4E+20"/>
    <n v="6"/>
    <n v="6"/>
    <n v="2E+20"/>
  </r>
  <r>
    <x v="0"/>
    <s v="2025-02-17 08:56:08"/>
    <n v="1"/>
    <x v="7"/>
    <x v="3"/>
    <x v="3"/>
    <n v="0.52664725490720199"/>
    <n v="2E+20"/>
    <n v="0"/>
    <n v="1"/>
    <n v="0"/>
    <n v="0"/>
    <s v="Unnamed ProjectResource AInstantaneous UtilizationResource"/>
    <n v="1"/>
    <n v="0.52664725490720199"/>
    <n v="0"/>
    <n v="0.95"/>
    <n v="4E+20"/>
    <n v="0.52664725490720199"/>
    <n v="0.52664725490720199"/>
    <n v="2E+20"/>
  </r>
  <r>
    <x v="0"/>
    <s v="2025-02-17 08:56:08"/>
    <n v="1"/>
    <x v="7"/>
    <x v="4"/>
    <x v="3"/>
    <n v="0.52664725490720199"/>
    <n v="2E+20"/>
    <n v="0"/>
    <n v="1"/>
    <n v="0"/>
    <n v="0"/>
    <s v="Unnamed ProjectResource ANumber BusyResource"/>
    <n v="1"/>
    <n v="0.52664725490720199"/>
    <n v="0"/>
    <n v="0.95"/>
    <n v="4E+20"/>
    <n v="0.52664725490720199"/>
    <n v="0.52664725490720199"/>
    <n v="2E+20"/>
  </r>
  <r>
    <x v="0"/>
    <s v="2025-02-17 08:56:08"/>
    <n v="1"/>
    <x v="7"/>
    <x v="5"/>
    <x v="3"/>
    <n v="1"/>
    <n v="2E+20"/>
    <n v="1"/>
    <n v="1"/>
    <n v="1"/>
    <n v="0"/>
    <s v="Unnamed ProjectResource ANumber ScheduledResource"/>
    <n v="1"/>
    <n v="1"/>
    <n v="0"/>
    <n v="0.95"/>
    <n v="4E+20"/>
    <n v="1"/>
    <n v="1"/>
    <n v="2E+20"/>
  </r>
  <r>
    <x v="0"/>
    <s v="2025-02-17 08:56:08"/>
    <n v="1"/>
    <x v="8"/>
    <x v="3"/>
    <x v="3"/>
    <n v="0.39615895483981001"/>
    <n v="2E+20"/>
    <n v="0"/>
    <n v="1"/>
    <n v="0"/>
    <n v="0"/>
    <s v="Unnamed ProjectResource BInstantaneous UtilizationResource"/>
    <n v="1"/>
    <n v="0.39615895483981001"/>
    <n v="0"/>
    <n v="0.95"/>
    <n v="4E+20"/>
    <n v="0.39615895483981001"/>
    <n v="0.39615895483981001"/>
    <n v="2E+20"/>
  </r>
  <r>
    <x v="0"/>
    <s v="2025-02-17 08:56:08"/>
    <n v="1"/>
    <x v="8"/>
    <x v="4"/>
    <x v="3"/>
    <n v="0.39615895483981001"/>
    <n v="2E+20"/>
    <n v="0"/>
    <n v="1"/>
    <n v="0"/>
    <n v="0"/>
    <s v="Unnamed ProjectResource BNumber BusyResource"/>
    <n v="1"/>
    <n v="0.39615895483981001"/>
    <n v="0"/>
    <n v="0.95"/>
    <n v="4E+20"/>
    <n v="0.39615895483981001"/>
    <n v="0.39615895483981001"/>
    <n v="2E+20"/>
  </r>
  <r>
    <x v="0"/>
    <s v="2025-02-17 08:56:08"/>
    <n v="1"/>
    <x v="8"/>
    <x v="5"/>
    <x v="3"/>
    <n v="1"/>
    <n v="2E+20"/>
    <n v="1"/>
    <n v="1"/>
    <n v="1"/>
    <n v="0"/>
    <s v="Unnamed ProjectResource BNumber ScheduledResource"/>
    <n v="1"/>
    <n v="1"/>
    <n v="0"/>
    <n v="0.95"/>
    <n v="4E+20"/>
    <n v="1"/>
    <n v="1"/>
    <n v="2E+20"/>
  </r>
  <r>
    <x v="0"/>
    <s v="2025-02-17 08:56:08"/>
    <n v="1"/>
    <x v="9"/>
    <x v="3"/>
    <x v="3"/>
    <n v="0.27504094969639598"/>
    <n v="2E+20"/>
    <n v="0"/>
    <n v="1"/>
    <n v="0"/>
    <n v="0"/>
    <s v="Unnamed ProjectResource CInstantaneous UtilizationResource"/>
    <n v="1"/>
    <n v="0.27504094969639598"/>
    <n v="0"/>
    <n v="0.95"/>
    <n v="4E+20"/>
    <n v="0.27504094969639598"/>
    <n v="0.27504094969639598"/>
    <n v="2E+20"/>
  </r>
  <r>
    <x v="0"/>
    <s v="2025-02-17 08:56:08"/>
    <n v="1"/>
    <x v="9"/>
    <x v="4"/>
    <x v="3"/>
    <n v="0.27504094969639598"/>
    <n v="2E+20"/>
    <n v="0"/>
    <n v="1"/>
    <n v="0"/>
    <n v="0"/>
    <s v="Unnamed ProjectResource CNumber BusyResource"/>
    <n v="1"/>
    <n v="0.27504094969639598"/>
    <n v="0"/>
    <n v="0.95"/>
    <n v="4E+20"/>
    <n v="0.27504094969639598"/>
    <n v="0.27504094969639598"/>
    <n v="2E+20"/>
  </r>
  <r>
    <x v="0"/>
    <s v="2025-02-17 08:56:08"/>
    <n v="1"/>
    <x v="9"/>
    <x v="5"/>
    <x v="3"/>
    <n v="1"/>
    <n v="2E+20"/>
    <n v="1"/>
    <n v="1"/>
    <n v="1"/>
    <n v="0"/>
    <s v="Unnamed ProjectResource CNumber ScheduledResource"/>
    <n v="1"/>
    <n v="1"/>
    <n v="0"/>
    <n v="0.95"/>
    <n v="4E+20"/>
    <n v="1"/>
    <n v="1"/>
    <n v="2E+20"/>
  </r>
  <r>
    <x v="0"/>
    <s v="2025-02-17 08:56:08"/>
    <n v="1"/>
    <x v="10"/>
    <x v="3"/>
    <x v="3"/>
    <n v="7.8960102382800199E-2"/>
    <n v="2E+20"/>
    <n v="0"/>
    <n v="1"/>
    <n v="0"/>
    <n v="0"/>
    <s v="Unnamed ProjectResource DInstantaneous UtilizationResource"/>
    <n v="1"/>
    <n v="7.8960102382800199E-2"/>
    <n v="0"/>
    <n v="0.95"/>
    <n v="4E+20"/>
    <n v="7.8960102382800199E-2"/>
    <n v="7.8960102382800199E-2"/>
    <n v="2E+20"/>
  </r>
  <r>
    <x v="0"/>
    <s v="2025-02-17 08:56:08"/>
    <n v="1"/>
    <x v="10"/>
    <x v="4"/>
    <x v="3"/>
    <n v="7.8960102382800199E-2"/>
    <n v="2E+20"/>
    <n v="0"/>
    <n v="1"/>
    <n v="0"/>
    <n v="0"/>
    <s v="Unnamed ProjectResource DNumber BusyResource"/>
    <n v="1"/>
    <n v="7.8960102382800199E-2"/>
    <n v="0"/>
    <n v="0.95"/>
    <n v="4E+20"/>
    <n v="7.8960102382800199E-2"/>
    <n v="7.8960102382800199E-2"/>
    <n v="2E+20"/>
  </r>
  <r>
    <x v="0"/>
    <s v="2025-02-17 08:56:08"/>
    <n v="1"/>
    <x v="10"/>
    <x v="5"/>
    <x v="3"/>
    <n v="1"/>
    <n v="2E+20"/>
    <n v="1"/>
    <n v="1"/>
    <n v="1"/>
    <n v="0"/>
    <s v="Unnamed ProjectResource DNumber ScheduledResource"/>
    <n v="1"/>
    <n v="1"/>
    <n v="0"/>
    <n v="0.95"/>
    <n v="4E+20"/>
    <n v="1"/>
    <n v="1"/>
    <n v="2E+20"/>
  </r>
  <r>
    <x v="0"/>
    <s v="2025-02-17 08:56:08"/>
    <n v="1"/>
    <x v="11"/>
    <x v="3"/>
    <x v="3"/>
    <n v="0"/>
    <n v="2E+20"/>
    <n v="0"/>
    <n v="0"/>
    <n v="0"/>
    <n v="0"/>
    <s v="Unnamed ProjectResource EInstantaneous UtilizationResource"/>
    <n v="1"/>
    <n v="0"/>
    <n v="0"/>
    <n v="0.95"/>
    <n v="4E+20"/>
    <n v="0"/>
    <n v="0"/>
    <n v="2E+20"/>
  </r>
  <r>
    <x v="0"/>
    <s v="2025-02-17 08:56:08"/>
    <n v="1"/>
    <x v="11"/>
    <x v="4"/>
    <x v="3"/>
    <n v="0"/>
    <n v="2E+20"/>
    <n v="0"/>
    <n v="0"/>
    <n v="0"/>
    <n v="0"/>
    <s v="Unnamed ProjectResource ENumber BusyResource"/>
    <n v="1"/>
    <n v="0"/>
    <n v="0"/>
    <n v="0.95"/>
    <n v="4E+20"/>
    <n v="0"/>
    <n v="0"/>
    <n v="2E+20"/>
  </r>
  <r>
    <x v="0"/>
    <s v="2025-02-17 08:56:08"/>
    <n v="1"/>
    <x v="11"/>
    <x v="5"/>
    <x v="3"/>
    <n v="1"/>
    <n v="2E+20"/>
    <n v="1"/>
    <n v="1"/>
    <n v="1"/>
    <n v="0"/>
    <s v="Unnamed ProjectResource ENumber ScheduledResource"/>
    <n v="1"/>
    <n v="1"/>
    <n v="0"/>
    <n v="0.95"/>
    <n v="4E+20"/>
    <n v="1"/>
    <n v="1"/>
    <n v="2E+20"/>
  </r>
  <r>
    <x v="0"/>
    <s v="2025-02-17 08:56:08"/>
    <n v="1"/>
    <x v="12"/>
    <x v="2"/>
    <x v="2"/>
    <n v="8"/>
    <n v="2E+20"/>
    <n v="8"/>
    <n v="8"/>
    <n v="8"/>
    <n v="0"/>
    <s v="Unnamed ProjectServiceTimeMeanVariableUser Specified"/>
    <n v="1"/>
    <n v="8"/>
    <n v="0"/>
    <n v="0.95"/>
    <n v="4E+20"/>
    <n v="8"/>
    <n v="8"/>
    <n v="2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s v="2025-02-17 08:56:08"/>
    <n v="1"/>
    <x v="0"/>
    <x v="0"/>
    <x v="0"/>
    <n v="0.43547467737280598"/>
    <n v="2E+20"/>
    <n v="0"/>
    <n v="13.3114590719285"/>
    <n v="40"/>
    <s v="Unnamed ProjectCounter Service A.QueueWaiting TimeQueue"/>
    <n v="1"/>
    <n v="0.43547467737280598"/>
    <n v="0"/>
    <n v="0.95"/>
    <n v="4E+20"/>
    <n v="0.43547467737280598"/>
    <n v="0.43547467737280598"/>
    <n v="0"/>
    <n v="13.3114590719285"/>
    <n v="40"/>
    <n v="2E+20"/>
    <n v="1"/>
    <n v="1"/>
  </r>
  <r>
    <x v="0"/>
    <s v="2025-02-17 08:56:08"/>
    <n v="1"/>
    <x v="1"/>
    <x v="0"/>
    <x v="0"/>
    <n v="0"/>
    <n v="2E+20"/>
    <n v="0"/>
    <n v="0"/>
    <n v="28"/>
    <s v="Unnamed ProjectCounter Service B.QueueWaiting TimeQueue"/>
    <n v="1"/>
    <n v="0"/>
    <n v="0"/>
    <n v="0.95"/>
    <n v="4E+20"/>
    <n v="0"/>
    <n v="0"/>
    <n v="0"/>
    <n v="0"/>
    <n v="28"/>
    <n v="2E+20"/>
    <n v="1"/>
    <n v="1"/>
  </r>
  <r>
    <x v="0"/>
    <s v="2025-02-17 08:56:08"/>
    <n v="1"/>
    <x v="2"/>
    <x v="0"/>
    <x v="0"/>
    <n v="0"/>
    <n v="2E+20"/>
    <n v="0"/>
    <n v="0"/>
    <n v="22"/>
    <s v="Unnamed ProjectCounter Service C.QueueWaiting TimeQueue"/>
    <n v="1"/>
    <n v="0"/>
    <n v="0"/>
    <n v="0.95"/>
    <n v="4E+20"/>
    <n v="0"/>
    <n v="0"/>
    <n v="0"/>
    <n v="0"/>
    <n v="22"/>
    <n v="2E+20"/>
    <n v="1"/>
    <n v="1"/>
  </r>
  <r>
    <x v="0"/>
    <s v="2025-02-17 08:56:08"/>
    <n v="1"/>
    <x v="3"/>
    <x v="0"/>
    <x v="0"/>
    <n v="0"/>
    <n v="2E+20"/>
    <n v="0"/>
    <n v="0"/>
    <n v="10"/>
    <s v="Unnamed ProjectCounter Service D.QueueWaiting TimeQueue"/>
    <n v="1"/>
    <n v="0"/>
    <n v="0"/>
    <n v="0.95"/>
    <n v="4E+20"/>
    <n v="0"/>
    <n v="0"/>
    <n v="0"/>
    <n v="0"/>
    <n v="10"/>
    <n v="2E+20"/>
    <n v="1"/>
    <n v="1"/>
  </r>
  <r>
    <x v="0"/>
    <s v="2025-02-17 08:56:08"/>
    <n v="1"/>
    <x v="4"/>
    <x v="1"/>
    <x v="1"/>
    <n v="0"/>
    <n v="2E+20"/>
    <n v="0"/>
    <n v="0"/>
    <n v="100"/>
    <s v="Unnamed ProjectCustomerNVA TimeEntity"/>
    <n v="1"/>
    <n v="0"/>
    <n v="0"/>
    <n v="0.95"/>
    <n v="4E+20"/>
    <n v="0"/>
    <n v="0"/>
    <n v="0"/>
    <n v="0"/>
    <n v="100"/>
    <n v="2E+20"/>
    <n v="1"/>
    <n v="1"/>
  </r>
  <r>
    <x v="0"/>
    <s v="2025-02-17 08:56:08"/>
    <n v="1"/>
    <x v="4"/>
    <x v="2"/>
    <x v="1"/>
    <n v="0"/>
    <n v="2E+20"/>
    <n v="0"/>
    <n v="0"/>
    <n v="100"/>
    <s v="Unnamed ProjectCustomerOther TimeEntity"/>
    <n v="1"/>
    <n v="0"/>
    <n v="0"/>
    <n v="0.95"/>
    <n v="4E+20"/>
    <n v="0"/>
    <n v="0"/>
    <n v="0"/>
    <n v="0"/>
    <n v="100"/>
    <n v="2E+20"/>
    <n v="1"/>
    <n v="1"/>
  </r>
  <r>
    <x v="0"/>
    <s v="2025-02-17 08:56:08"/>
    <n v="1"/>
    <x v="4"/>
    <x v="3"/>
    <x v="1"/>
    <n v="9.1969508881961008"/>
    <n v="2E+20"/>
    <n v="2.7935758933210798E-2"/>
    <n v="41.1827233327475"/>
    <n v="100"/>
    <s v="Unnamed ProjectCustomerTotal TimeEntity"/>
    <n v="1"/>
    <n v="9.1969508881961008"/>
    <n v="0"/>
    <n v="0.95"/>
    <n v="4E+20"/>
    <n v="9.1969508881961008"/>
    <n v="9.1969508881961008"/>
    <n v="2.7935758933210798E-2"/>
    <n v="41.1827233327475"/>
    <n v="100"/>
    <n v="2E+20"/>
    <n v="1"/>
    <n v="1"/>
  </r>
  <r>
    <x v="0"/>
    <s v="2025-02-17 08:56:08"/>
    <n v="1"/>
    <x v="4"/>
    <x v="4"/>
    <x v="1"/>
    <n v="0"/>
    <n v="2E+20"/>
    <n v="0"/>
    <n v="0"/>
    <n v="100"/>
    <s v="Unnamed ProjectCustomerTransfer TimeEntity"/>
    <n v="1"/>
    <n v="0"/>
    <n v="0"/>
    <n v="0.95"/>
    <n v="4E+20"/>
    <n v="0"/>
    <n v="0"/>
    <n v="0"/>
    <n v="0"/>
    <n v="100"/>
    <n v="2E+20"/>
    <n v="1"/>
    <n v="1"/>
  </r>
  <r>
    <x v="0"/>
    <s v="2025-02-17 08:56:08"/>
    <n v="1"/>
    <x v="4"/>
    <x v="5"/>
    <x v="1"/>
    <n v="9.0227610172469692"/>
    <n v="2E+20"/>
    <n v="2.4808099713027301E-2"/>
    <n v="41.1827233327475"/>
    <n v="100"/>
    <s v="Unnamed ProjectCustomerVA TimeEntity"/>
    <n v="1"/>
    <n v="9.0227610172469692"/>
    <n v="0"/>
    <n v="0.95"/>
    <n v="4E+20"/>
    <n v="9.0227610172469692"/>
    <n v="9.0227610172469692"/>
    <n v="2.4808099713027301E-2"/>
    <n v="41.1827233327475"/>
    <n v="100"/>
    <n v="2E+20"/>
    <n v="1"/>
    <n v="1"/>
  </r>
  <r>
    <x v="0"/>
    <s v="2025-02-17 08:56:08"/>
    <n v="1"/>
    <x v="4"/>
    <x v="6"/>
    <x v="1"/>
    <n v="0.174189870949122"/>
    <n v="2E+20"/>
    <n v="0"/>
    <n v="13.3114590719285"/>
    <n v="100"/>
    <s v="Unnamed ProjectCustomerWait TimeEntity"/>
    <n v="1"/>
    <n v="0.174189870949122"/>
    <n v="0"/>
    <n v="0.95"/>
    <n v="4E+20"/>
    <n v="0.174189870949122"/>
    <n v="0.174189870949122"/>
    <n v="0"/>
    <n v="13.3114590719285"/>
    <n v="100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5-02-17 08:56:08"/>
    <n v="1"/>
    <x v="0"/>
    <x v="0"/>
    <x v="0"/>
    <n v="100"/>
    <n v="0"/>
    <s v="Unnamed ProjectCustomer.NumberInNumber InEntity"/>
    <n v="1"/>
    <n v="100"/>
    <n v="0"/>
    <n v="0.95"/>
    <n v="4E+20"/>
    <n v="100"/>
    <n v="100"/>
  </r>
  <r>
    <x v="0"/>
    <s v="2025-02-17 08:56:08"/>
    <n v="1"/>
    <x v="1"/>
    <x v="1"/>
    <x v="0"/>
    <n v="100"/>
    <n v="0"/>
    <s v="Unnamed ProjectCustomer.NumberOutNumber OutEntity"/>
    <n v="1"/>
    <n v="100"/>
    <n v="0"/>
    <n v="0.95"/>
    <n v="4E+20"/>
    <n v="100"/>
    <n v="100"/>
  </r>
  <r>
    <x v="0"/>
    <s v="2025-02-17 08:56:08"/>
    <n v="1"/>
    <x v="2"/>
    <x v="2"/>
    <x v="1"/>
    <n v="40"/>
    <n v="0"/>
    <s v="Unnamed ProjectResource A.NumberSeizedTotal Number SeizedResource"/>
    <n v="1"/>
    <n v="40"/>
    <n v="0"/>
    <n v="0.95"/>
    <n v="4E+20"/>
    <n v="40"/>
    <n v="40"/>
  </r>
  <r>
    <x v="0"/>
    <s v="2025-02-17 08:56:08"/>
    <n v="1"/>
    <x v="3"/>
    <x v="3"/>
    <x v="1"/>
    <n v="0.52664725490720199"/>
    <n v="0"/>
    <s v="Unnamed ProjectResource A.ScheduledUtilizationScheduled UtilizationResource"/>
    <n v="1"/>
    <n v="0.52664725490720199"/>
    <n v="0"/>
    <n v="0.95"/>
    <n v="4E+20"/>
    <n v="0.52664725490720199"/>
    <n v="0.52664725490720199"/>
  </r>
  <r>
    <x v="0"/>
    <s v="2025-02-17 08:56:08"/>
    <n v="1"/>
    <x v="4"/>
    <x v="2"/>
    <x v="1"/>
    <n v="28"/>
    <n v="0"/>
    <s v="Unnamed ProjectResource B.NumberSeizedTotal Number SeizedResource"/>
    <n v="1"/>
    <n v="28"/>
    <n v="0"/>
    <n v="0.95"/>
    <n v="4E+20"/>
    <n v="28"/>
    <n v="28"/>
  </r>
  <r>
    <x v="0"/>
    <s v="2025-02-17 08:56:08"/>
    <n v="1"/>
    <x v="5"/>
    <x v="3"/>
    <x v="1"/>
    <n v="0.39615895483981001"/>
    <n v="0"/>
    <s v="Unnamed ProjectResource B.ScheduledUtilizationScheduled UtilizationResource"/>
    <n v="1"/>
    <n v="0.39615895483981001"/>
    <n v="0"/>
    <n v="0.95"/>
    <n v="4E+20"/>
    <n v="0.39615895483981001"/>
    <n v="0.39615895483981001"/>
  </r>
  <r>
    <x v="0"/>
    <s v="2025-02-17 08:56:08"/>
    <n v="1"/>
    <x v="6"/>
    <x v="2"/>
    <x v="1"/>
    <n v="22"/>
    <n v="0"/>
    <s v="Unnamed ProjectResource C.NumberSeizedTotal Number SeizedResource"/>
    <n v="1"/>
    <n v="22"/>
    <n v="0"/>
    <n v="0.95"/>
    <n v="4E+20"/>
    <n v="22"/>
    <n v="22"/>
  </r>
  <r>
    <x v="0"/>
    <s v="2025-02-17 08:56:08"/>
    <n v="1"/>
    <x v="7"/>
    <x v="3"/>
    <x v="1"/>
    <n v="0.27504094969639598"/>
    <n v="0"/>
    <s v="Unnamed ProjectResource C.ScheduledUtilizationScheduled UtilizationResource"/>
    <n v="1"/>
    <n v="0.27504094969639598"/>
    <n v="0"/>
    <n v="0.95"/>
    <n v="4E+20"/>
    <n v="0.27504094969639598"/>
    <n v="0.27504094969639598"/>
  </r>
  <r>
    <x v="0"/>
    <s v="2025-02-17 08:56:08"/>
    <n v="1"/>
    <x v="8"/>
    <x v="2"/>
    <x v="1"/>
    <n v="10"/>
    <n v="0"/>
    <s v="Unnamed ProjectResource D.NumberSeizedTotal Number SeizedResource"/>
    <n v="1"/>
    <n v="10"/>
    <n v="0"/>
    <n v="0.95"/>
    <n v="4E+20"/>
    <n v="10"/>
    <n v="10"/>
  </r>
  <r>
    <x v="0"/>
    <s v="2025-02-17 08:56:08"/>
    <n v="1"/>
    <x v="9"/>
    <x v="3"/>
    <x v="1"/>
    <n v="7.8960102382800199E-2"/>
    <n v="0"/>
    <s v="Unnamed ProjectResource D.ScheduledUtilizationScheduled UtilizationResource"/>
    <n v="1"/>
    <n v="7.8960102382800199E-2"/>
    <n v="0"/>
    <n v="0.95"/>
    <n v="4E+20"/>
    <n v="7.8960102382800199E-2"/>
    <n v="7.8960102382800199E-2"/>
  </r>
  <r>
    <x v="0"/>
    <s v="2025-02-17 08:56:08"/>
    <n v="1"/>
    <x v="10"/>
    <x v="2"/>
    <x v="1"/>
    <n v="0"/>
    <n v="0"/>
    <s v="Unnamed ProjectResource E.NumberSeizedTotal Number SeizedResource"/>
    <n v="1"/>
    <n v="0"/>
    <n v="0"/>
    <n v="0.95"/>
    <n v="4E+20"/>
    <n v="0"/>
    <n v="0"/>
  </r>
  <r>
    <x v="0"/>
    <s v="2025-02-17 08:56:08"/>
    <n v="1"/>
    <x v="11"/>
    <x v="3"/>
    <x v="1"/>
    <n v="0"/>
    <n v="0"/>
    <s v="Unnamed ProjectResource E.ScheduledUtilizationScheduled UtilizationResource"/>
    <n v="1"/>
    <n v="0"/>
    <n v="0"/>
    <n v="0.95"/>
    <n v="4E+20"/>
    <n v="0"/>
    <n v="0"/>
  </r>
  <r>
    <x v="0"/>
    <s v="2025-02-17 08:56:08"/>
    <n v="1"/>
    <x v="12"/>
    <x v="1"/>
    <x v="2"/>
    <n v="100"/>
    <n v="0"/>
    <s v="Unnamed ProjectSystem.NumberOutNumber OutSystem"/>
    <n v="1"/>
    <n v="100"/>
    <n v="0"/>
    <n v="0.95"/>
    <n v="4E+20"/>
    <n v="10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">
        <item m="1" x="4"/>
        <item m="1" x="3"/>
        <item m="1" x="2"/>
        <item m="1" x="1"/>
        <item x="0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4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5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8">
        <item x="3"/>
        <item x="4"/>
        <item x="5"/>
        <item x="0"/>
        <item x="1"/>
        <item m="1" x="7"/>
        <item m="1" x="6"/>
        <item x="2"/>
      </items>
    </pivotField>
    <pivotField axis="axisRow" compact="0" outline="0" showAll="0" defaultSubtotal="0">
      <items count="5">
        <item x="1"/>
        <item x="0"/>
        <item x="3"/>
        <item x="2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3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4"/>
      <x/>
    </i>
    <i r="1">
      <x v="130"/>
      <x v="7"/>
      <x v="3"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 v="7"/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57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1">
        <item m="1" x="38"/>
        <item m="1" x="14"/>
        <item m="1" x="39"/>
        <item m="1" x="15"/>
        <item m="1" x="40"/>
        <item m="1" x="16"/>
        <item m="1" x="41"/>
        <item m="1" x="17"/>
        <item m="1" x="73"/>
        <item m="1" x="28"/>
        <item x="12"/>
        <item m="1" x="72"/>
        <item m="1" x="59"/>
        <item m="1" x="76"/>
        <item m="1" x="61"/>
        <item m="1" x="77"/>
        <item m="1" x="84"/>
        <item m="1" x="53"/>
        <item m="1" x="21"/>
        <item m="1" x="70"/>
        <item m="1" x="60"/>
        <item m="1" x="58"/>
        <item m="1" x="24"/>
        <item m="1" x="68"/>
        <item m="1" x="33"/>
        <item m="1" x="69"/>
        <item m="1" x="34"/>
        <item m="1" x="67"/>
        <item m="1" x="87"/>
        <item m="1" x="27"/>
        <item m="1" x="90"/>
        <item m="1" x="55"/>
        <item m="1" x="22"/>
        <item m="1" x="85"/>
        <item m="1" x="80"/>
        <item m="1" x="56"/>
        <item m="1" x="23"/>
        <item m="1" x="86"/>
        <item m="1" x="81"/>
        <item m="1" x="18"/>
        <item m="1" x="52"/>
        <item m="1" x="36"/>
        <item m="1" x="26"/>
        <item m="1" x="78"/>
        <item m="1" x="48"/>
        <item m="1" x="79"/>
        <item m="1" x="49"/>
        <item m="1" x="35"/>
        <item m="1" x="30"/>
        <item m="1" x="57"/>
        <item m="1" x="32"/>
        <item m="1" x="89"/>
        <item m="1" x="82"/>
        <item m="1" x="31"/>
        <item m="1" x="29"/>
        <item m="1" x="74"/>
        <item m="1" x="83"/>
        <item m="1" x="19"/>
        <item m="1" x="37"/>
        <item m="1" x="50"/>
        <item m="1" x="71"/>
        <item m="1" x="88"/>
        <item m="1" x="20"/>
        <item m="1" x="47"/>
        <item m="1" x="51"/>
        <item m="1" x="75"/>
        <item m="1" x="54"/>
        <item m="1" x="25"/>
        <item m="1" x="42"/>
        <item m="1" x="62"/>
        <item m="1" x="43"/>
        <item m="1" x="63"/>
        <item m="1" x="44"/>
        <item m="1" x="64"/>
        <item m="1" x="45"/>
        <item m="1" x="65"/>
        <item m="1" x="46"/>
        <item m="1" x="66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1" tableType="queryTable" totalsRowShown="0">
  <autoFilter ref="A1:Y11" xr:uid="{C3D003CA-1AFF-426C-A03D-D3AF5760DF1A}"/>
  <sortState xmlns:xlrd2="http://schemas.microsoft.com/office/spreadsheetml/2017/richdata2" ref="A2:Y11">
    <sortCondition ref="D1:D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7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6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5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4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3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42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1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0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9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8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7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6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5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4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4" tableType="queryTable" totalsRowShown="0">
  <autoFilter ref="A1:U24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7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6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5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24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23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22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21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20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9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16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15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14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12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11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4" tableType="queryTable" totalsRowShown="0">
  <autoFilter ref="A1:P1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8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7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6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2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1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70.28515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119</v>
      </c>
      <c r="D2">
        <v>2</v>
      </c>
      <c r="E2">
        <v>1</v>
      </c>
      <c r="F2">
        <v>706.66585999376196</v>
      </c>
      <c r="G2">
        <f>0.95</f>
        <v>0.95</v>
      </c>
    </row>
  </sheetData>
  <phoneticPr fontId="2" type="noConversion"/>
  <conditionalFormatting sqref="D2">
    <cfRule type="expression" dxfId="71" priority="1">
      <formula>D2=3</formula>
    </cfRule>
    <cfRule type="expression" dxfId="70" priority="2">
      <formula>D2=2</formula>
    </cfRule>
    <cfRule type="expression" dxfId="69" priority="3">
      <formula>D2=1</formula>
    </cfRule>
    <cfRule type="expression" dxfId="6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5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13.8554687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69</v>
      </c>
      <c r="C3" t="s">
        <v>70</v>
      </c>
      <c r="D3" t="s">
        <v>71</v>
      </c>
      <c r="E3" s="5">
        <v>0.43547467737280598</v>
      </c>
      <c r="F3" s="5">
        <v>1</v>
      </c>
      <c r="G3" s="5">
        <v>2E+20</v>
      </c>
      <c r="H3" s="5">
        <v>0</v>
      </c>
      <c r="I3" s="5">
        <v>0.43547467737280598</v>
      </c>
      <c r="J3" s="5">
        <v>0.43547467737280598</v>
      </c>
      <c r="K3" s="5">
        <v>0</v>
      </c>
      <c r="L3" s="5">
        <v>13.3114590719285</v>
      </c>
      <c r="M3" s="5">
        <v>40</v>
      </c>
      <c r="O3" t="s">
        <v>67</v>
      </c>
      <c r="P3" t="s">
        <v>69</v>
      </c>
      <c r="Q3" t="s">
        <v>83</v>
      </c>
      <c r="R3" t="s">
        <v>71</v>
      </c>
      <c r="S3" s="5">
        <v>2.4649538177868101E-2</v>
      </c>
      <c r="T3" s="5">
        <v>2E+20</v>
      </c>
      <c r="U3" s="5">
        <v>0</v>
      </c>
      <c r="V3" s="5">
        <v>2.4649538177868101E-2</v>
      </c>
      <c r="W3" s="5">
        <v>2.4649538177868101E-2</v>
      </c>
      <c r="X3" s="5">
        <v>0</v>
      </c>
      <c r="Y3" s="5">
        <v>1</v>
      </c>
      <c r="AA3" t="s">
        <v>67</v>
      </c>
      <c r="AB3" t="s">
        <v>99</v>
      </c>
      <c r="AC3" t="s">
        <v>100</v>
      </c>
      <c r="AD3" t="s">
        <v>88</v>
      </c>
      <c r="AE3" s="5">
        <v>1</v>
      </c>
      <c r="AF3" s="5">
        <v>4E+20</v>
      </c>
      <c r="AG3" s="5">
        <v>0</v>
      </c>
      <c r="AH3" s="5">
        <v>1</v>
      </c>
      <c r="AI3" s="5">
        <v>1</v>
      </c>
      <c r="AK3" t="s">
        <v>67</v>
      </c>
      <c r="AL3" t="s">
        <v>117</v>
      </c>
      <c r="AM3" t="s">
        <v>104</v>
      </c>
      <c r="AN3" t="s">
        <v>118</v>
      </c>
      <c r="AO3" s="5">
        <v>100</v>
      </c>
      <c r="AP3" s="5">
        <v>4E+20</v>
      </c>
      <c r="AQ3" s="5">
        <v>0</v>
      </c>
      <c r="AR3" s="5">
        <v>100</v>
      </c>
      <c r="AS3" s="5">
        <v>100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72</v>
      </c>
      <c r="C4" t="s">
        <v>70</v>
      </c>
      <c r="D4" t="s">
        <v>71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28</v>
      </c>
      <c r="P4" t="s">
        <v>72</v>
      </c>
      <c r="Q4" t="s">
        <v>83</v>
      </c>
      <c r="R4" t="s">
        <v>71</v>
      </c>
      <c r="S4" s="5">
        <v>0</v>
      </c>
      <c r="T4" s="5">
        <v>2E+20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101</v>
      </c>
      <c r="AM4" t="s">
        <v>102</v>
      </c>
      <c r="AN4" t="s">
        <v>77</v>
      </c>
      <c r="AO4" s="5">
        <v>100</v>
      </c>
      <c r="AP4" s="5">
        <v>4E+20</v>
      </c>
      <c r="AQ4" s="5">
        <v>0</v>
      </c>
      <c r="AR4" s="5">
        <v>100</v>
      </c>
      <c r="AS4" s="5">
        <v>100</v>
      </c>
    </row>
    <row r="5" spans="1:52" x14ac:dyDescent="0.25">
      <c r="B5" t="s">
        <v>73</v>
      </c>
      <c r="C5" t="s">
        <v>70</v>
      </c>
      <c r="D5" t="s">
        <v>71</v>
      </c>
      <c r="E5" s="5">
        <v>0</v>
      </c>
      <c r="F5" s="5">
        <v>1</v>
      </c>
      <c r="G5" s="5">
        <v>2E+20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22</v>
      </c>
      <c r="P5" t="s">
        <v>73</v>
      </c>
      <c r="Q5" t="s">
        <v>83</v>
      </c>
      <c r="R5" t="s">
        <v>71</v>
      </c>
      <c r="S5" s="5">
        <v>0</v>
      </c>
      <c r="T5" s="5">
        <v>2E+20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103</v>
      </c>
      <c r="AM5" t="s">
        <v>104</v>
      </c>
      <c r="AN5" t="s">
        <v>77</v>
      </c>
      <c r="AO5" s="5">
        <v>100</v>
      </c>
      <c r="AP5" s="5">
        <v>4E+20</v>
      </c>
      <c r="AQ5" s="5">
        <v>0</v>
      </c>
      <c r="AR5" s="5">
        <v>100</v>
      </c>
      <c r="AS5" s="5">
        <v>100</v>
      </c>
    </row>
    <row r="6" spans="1:52" x14ac:dyDescent="0.25">
      <c r="B6" t="s">
        <v>74</v>
      </c>
      <c r="C6" t="s">
        <v>70</v>
      </c>
      <c r="D6" t="s">
        <v>71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10</v>
      </c>
      <c r="P6" t="s">
        <v>74</v>
      </c>
      <c r="Q6" t="s">
        <v>83</v>
      </c>
      <c r="R6" t="s">
        <v>71</v>
      </c>
      <c r="S6" s="5">
        <v>0</v>
      </c>
      <c r="T6" s="5">
        <v>2E+20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105</v>
      </c>
      <c r="AM6" t="s">
        <v>106</v>
      </c>
      <c r="AN6" t="s">
        <v>91</v>
      </c>
      <c r="AO6" s="5">
        <v>40</v>
      </c>
      <c r="AP6" s="5">
        <v>4E+20</v>
      </c>
      <c r="AQ6" s="5">
        <v>0</v>
      </c>
      <c r="AR6" s="5">
        <v>40</v>
      </c>
      <c r="AS6" s="5">
        <v>40</v>
      </c>
    </row>
    <row r="7" spans="1:52" x14ac:dyDescent="0.25">
      <c r="B7" t="s">
        <v>75</v>
      </c>
      <c r="C7" t="s">
        <v>76</v>
      </c>
      <c r="D7" t="s">
        <v>77</v>
      </c>
      <c r="E7" s="5">
        <v>0</v>
      </c>
      <c r="F7" s="5">
        <v>1</v>
      </c>
      <c r="G7" s="5">
        <v>2E+20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100</v>
      </c>
      <c r="P7" t="s">
        <v>84</v>
      </c>
      <c r="Q7" t="s">
        <v>83</v>
      </c>
      <c r="R7" t="s">
        <v>71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107</v>
      </c>
      <c r="AM7" t="s">
        <v>108</v>
      </c>
      <c r="AN7" t="s">
        <v>91</v>
      </c>
      <c r="AO7" s="5">
        <v>0.52664725490720199</v>
      </c>
      <c r="AP7" s="5">
        <v>4E+20</v>
      </c>
      <c r="AQ7" s="5">
        <v>0</v>
      </c>
      <c r="AR7" s="5">
        <v>0.52664725490720199</v>
      </c>
      <c r="AS7" s="5">
        <v>0.52664725490720199</v>
      </c>
    </row>
    <row r="8" spans="1:52" x14ac:dyDescent="0.25">
      <c r="C8" t="s">
        <v>78</v>
      </c>
      <c r="D8" t="s">
        <v>77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100</v>
      </c>
      <c r="P8" t="s">
        <v>75</v>
      </c>
      <c r="Q8" t="s">
        <v>85</v>
      </c>
      <c r="R8" t="s">
        <v>77</v>
      </c>
      <c r="S8" s="5">
        <v>1.30145680000408</v>
      </c>
      <c r="T8" s="5">
        <v>2E+20</v>
      </c>
      <c r="U8" s="5">
        <v>0</v>
      </c>
      <c r="V8" s="5">
        <v>1.30145680000408</v>
      </c>
      <c r="W8" s="5">
        <v>1.30145680000408</v>
      </c>
      <c r="X8" s="5">
        <v>0</v>
      </c>
      <c r="Y8" s="5">
        <v>5</v>
      </c>
      <c r="AL8" t="s">
        <v>109</v>
      </c>
      <c r="AM8" t="s">
        <v>106</v>
      </c>
      <c r="AN8" t="s">
        <v>91</v>
      </c>
      <c r="AO8" s="5">
        <v>28</v>
      </c>
      <c r="AP8" s="5">
        <v>4E+20</v>
      </c>
      <c r="AQ8" s="5">
        <v>0</v>
      </c>
      <c r="AR8" s="5">
        <v>28</v>
      </c>
      <c r="AS8" s="5">
        <v>28</v>
      </c>
    </row>
    <row r="9" spans="1:52" x14ac:dyDescent="0.25">
      <c r="C9" t="s">
        <v>79</v>
      </c>
      <c r="D9" t="s">
        <v>77</v>
      </c>
      <c r="E9" s="5">
        <v>9.1969508881961008</v>
      </c>
      <c r="F9" s="5">
        <v>1</v>
      </c>
      <c r="G9" s="5">
        <v>2E+20</v>
      </c>
      <c r="H9" s="5">
        <v>0</v>
      </c>
      <c r="I9" s="5">
        <v>9.1969508881961008</v>
      </c>
      <c r="J9" s="5">
        <v>9.1969508881961008</v>
      </c>
      <c r="K9" s="5">
        <v>2.7935758933210798E-2</v>
      </c>
      <c r="L9" s="5">
        <v>41.1827233327475</v>
      </c>
      <c r="M9" s="5">
        <v>100</v>
      </c>
      <c r="P9" t="s">
        <v>86</v>
      </c>
      <c r="Q9" t="s">
        <v>87</v>
      </c>
      <c r="R9" t="s">
        <v>88</v>
      </c>
      <c r="S9" s="5">
        <v>6</v>
      </c>
      <c r="T9" s="5">
        <v>2E+20</v>
      </c>
      <c r="U9" s="5">
        <v>0</v>
      </c>
      <c r="V9" s="5">
        <v>6</v>
      </c>
      <c r="W9" s="5">
        <v>6</v>
      </c>
      <c r="X9" s="5">
        <v>6</v>
      </c>
      <c r="Y9" s="5">
        <v>6</v>
      </c>
      <c r="AL9" t="s">
        <v>110</v>
      </c>
      <c r="AM9" t="s">
        <v>108</v>
      </c>
      <c r="AN9" t="s">
        <v>91</v>
      </c>
      <c r="AO9" s="5">
        <v>0.39615895483981001</v>
      </c>
      <c r="AP9" s="5">
        <v>4E+20</v>
      </c>
      <c r="AQ9" s="5">
        <v>0</v>
      </c>
      <c r="AR9" s="5">
        <v>0.39615895483981001</v>
      </c>
      <c r="AS9" s="5">
        <v>0.39615895483981001</v>
      </c>
    </row>
    <row r="10" spans="1:52" x14ac:dyDescent="0.25">
      <c r="C10" t="s">
        <v>80</v>
      </c>
      <c r="D10" t="s">
        <v>77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100</v>
      </c>
      <c r="P10" t="s">
        <v>89</v>
      </c>
      <c r="Q10" t="s">
        <v>90</v>
      </c>
      <c r="R10" t="s">
        <v>91</v>
      </c>
      <c r="S10" s="5">
        <v>0.52664725490720199</v>
      </c>
      <c r="T10" s="5">
        <v>2E+20</v>
      </c>
      <c r="U10" s="5">
        <v>0</v>
      </c>
      <c r="V10" s="5">
        <v>0.52664725490720199</v>
      </c>
      <c r="W10" s="5">
        <v>0.52664725490720199</v>
      </c>
      <c r="X10" s="5">
        <v>0</v>
      </c>
      <c r="Y10" s="5">
        <v>1</v>
      </c>
      <c r="AL10" t="s">
        <v>111</v>
      </c>
      <c r="AM10" t="s">
        <v>106</v>
      </c>
      <c r="AN10" t="s">
        <v>91</v>
      </c>
      <c r="AO10" s="5">
        <v>22</v>
      </c>
      <c r="AP10" s="5">
        <v>4E+20</v>
      </c>
      <c r="AQ10" s="5">
        <v>0</v>
      </c>
      <c r="AR10" s="5">
        <v>22</v>
      </c>
      <c r="AS10" s="5">
        <v>22</v>
      </c>
    </row>
    <row r="11" spans="1:52" x14ac:dyDescent="0.25">
      <c r="C11" t="s">
        <v>81</v>
      </c>
      <c r="D11" t="s">
        <v>77</v>
      </c>
      <c r="E11" s="5">
        <v>9.0227610172469692</v>
      </c>
      <c r="F11" s="5">
        <v>1</v>
      </c>
      <c r="G11" s="5">
        <v>2E+20</v>
      </c>
      <c r="H11" s="5">
        <v>0</v>
      </c>
      <c r="I11" s="5">
        <v>9.0227610172469692</v>
      </c>
      <c r="J11" s="5">
        <v>9.0227610172469692</v>
      </c>
      <c r="K11" s="5">
        <v>2.4808099713027301E-2</v>
      </c>
      <c r="L11" s="5">
        <v>41.1827233327475</v>
      </c>
      <c r="M11" s="5">
        <v>100</v>
      </c>
      <c r="Q11" t="s">
        <v>92</v>
      </c>
      <c r="R11" t="s">
        <v>91</v>
      </c>
      <c r="S11" s="5">
        <v>0.52664725490720199</v>
      </c>
      <c r="T11" s="5">
        <v>2E+20</v>
      </c>
      <c r="U11" s="5">
        <v>0</v>
      </c>
      <c r="V11" s="5">
        <v>0.52664725490720199</v>
      </c>
      <c r="W11" s="5">
        <v>0.52664725490720199</v>
      </c>
      <c r="X11" s="5">
        <v>0</v>
      </c>
      <c r="Y11" s="5">
        <v>1</v>
      </c>
      <c r="AL11" t="s">
        <v>112</v>
      </c>
      <c r="AM11" t="s">
        <v>108</v>
      </c>
      <c r="AN11" t="s">
        <v>91</v>
      </c>
      <c r="AO11" s="5">
        <v>0.27504094969639598</v>
      </c>
      <c r="AP11" s="5">
        <v>4E+20</v>
      </c>
      <c r="AQ11" s="5">
        <v>0</v>
      </c>
      <c r="AR11" s="5">
        <v>0.27504094969639598</v>
      </c>
      <c r="AS11" s="5">
        <v>0.27504094969639598</v>
      </c>
    </row>
    <row r="12" spans="1:52" x14ac:dyDescent="0.25">
      <c r="C12" t="s">
        <v>82</v>
      </c>
      <c r="D12" t="s">
        <v>77</v>
      </c>
      <c r="E12" s="5">
        <v>0.174189870949122</v>
      </c>
      <c r="F12" s="5">
        <v>1</v>
      </c>
      <c r="G12" s="5">
        <v>2E+20</v>
      </c>
      <c r="H12" s="5">
        <v>0</v>
      </c>
      <c r="I12" s="5">
        <v>0.174189870949122</v>
      </c>
      <c r="J12" s="5">
        <v>0.174189870949122</v>
      </c>
      <c r="K12" s="5">
        <v>0</v>
      </c>
      <c r="L12" s="5">
        <v>13.3114590719285</v>
      </c>
      <c r="M12" s="5">
        <v>100</v>
      </c>
      <c r="Q12" t="s">
        <v>93</v>
      </c>
      <c r="R12" t="s">
        <v>91</v>
      </c>
      <c r="S12" s="5">
        <v>1</v>
      </c>
      <c r="T12" s="5">
        <v>2E+20</v>
      </c>
      <c r="U12" s="5">
        <v>0</v>
      </c>
      <c r="V12" s="5">
        <v>1</v>
      </c>
      <c r="W12" s="5">
        <v>1</v>
      </c>
      <c r="X12" s="5">
        <v>1</v>
      </c>
      <c r="Y12" s="5">
        <v>1</v>
      </c>
      <c r="AL12" t="s">
        <v>113</v>
      </c>
      <c r="AM12" t="s">
        <v>106</v>
      </c>
      <c r="AN12" t="s">
        <v>91</v>
      </c>
      <c r="AO12" s="5">
        <v>10</v>
      </c>
      <c r="AP12" s="5">
        <v>4E+20</v>
      </c>
      <c r="AQ12" s="5">
        <v>0</v>
      </c>
      <c r="AR12" s="5">
        <v>10</v>
      </c>
      <c r="AS12" s="5">
        <v>10</v>
      </c>
    </row>
    <row r="13" spans="1:52" x14ac:dyDescent="0.25">
      <c r="P13" t="s">
        <v>94</v>
      </c>
      <c r="Q13" t="s">
        <v>90</v>
      </c>
      <c r="R13" t="s">
        <v>91</v>
      </c>
      <c r="S13" s="5">
        <v>0.39615895483981001</v>
      </c>
      <c r="T13" s="5">
        <v>2E+20</v>
      </c>
      <c r="U13" s="5">
        <v>0</v>
      </c>
      <c r="V13" s="5">
        <v>0.39615895483981001</v>
      </c>
      <c r="W13" s="5">
        <v>0.39615895483981001</v>
      </c>
      <c r="X13" s="5">
        <v>0</v>
      </c>
      <c r="Y13" s="5">
        <v>1</v>
      </c>
      <c r="AL13" t="s">
        <v>114</v>
      </c>
      <c r="AM13" t="s">
        <v>108</v>
      </c>
      <c r="AN13" t="s">
        <v>91</v>
      </c>
      <c r="AO13" s="5">
        <v>7.8960102382800199E-2</v>
      </c>
      <c r="AP13" s="5">
        <v>4E+20</v>
      </c>
      <c r="AQ13" s="5">
        <v>0</v>
      </c>
      <c r="AR13" s="5">
        <v>7.8960102382800199E-2</v>
      </c>
      <c r="AS13" s="5">
        <v>7.8960102382800199E-2</v>
      </c>
    </row>
    <row r="14" spans="1:52" x14ac:dyDescent="0.25">
      <c r="Q14" t="s">
        <v>92</v>
      </c>
      <c r="R14" t="s">
        <v>91</v>
      </c>
      <c r="S14" s="5">
        <v>0.39615895483981001</v>
      </c>
      <c r="T14" s="5">
        <v>2E+20</v>
      </c>
      <c r="U14" s="5">
        <v>0</v>
      </c>
      <c r="V14" s="5">
        <v>0.39615895483981001</v>
      </c>
      <c r="W14" s="5">
        <v>0.39615895483981001</v>
      </c>
      <c r="X14" s="5">
        <v>0</v>
      </c>
      <c r="Y14" s="5">
        <v>1</v>
      </c>
      <c r="AL14" t="s">
        <v>115</v>
      </c>
      <c r="AM14" t="s">
        <v>106</v>
      </c>
      <c r="AN14" t="s">
        <v>91</v>
      </c>
      <c r="AO14" s="5">
        <v>0</v>
      </c>
      <c r="AP14" s="5">
        <v>4E+20</v>
      </c>
      <c r="AQ14" s="5">
        <v>0</v>
      </c>
      <c r="AR14" s="5">
        <v>0</v>
      </c>
      <c r="AS14" s="5">
        <v>0</v>
      </c>
    </row>
    <row r="15" spans="1:52" x14ac:dyDescent="0.25">
      <c r="Q15" t="s">
        <v>93</v>
      </c>
      <c r="R15" t="s">
        <v>91</v>
      </c>
      <c r="S15" s="5">
        <v>1</v>
      </c>
      <c r="T15" s="5">
        <v>2E+20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  <c r="AL15" t="s">
        <v>116</v>
      </c>
      <c r="AM15" t="s">
        <v>108</v>
      </c>
      <c r="AN15" t="s">
        <v>91</v>
      </c>
      <c r="AO15" s="5">
        <v>0</v>
      </c>
      <c r="AP15" s="5">
        <v>4E+20</v>
      </c>
      <c r="AQ15" s="5">
        <v>0</v>
      </c>
      <c r="AR15" s="5">
        <v>0</v>
      </c>
      <c r="AS15" s="5">
        <v>0</v>
      </c>
    </row>
    <row r="16" spans="1:52" x14ac:dyDescent="0.25">
      <c r="P16" t="s">
        <v>95</v>
      </c>
      <c r="Q16" t="s">
        <v>90</v>
      </c>
      <c r="R16" t="s">
        <v>91</v>
      </c>
      <c r="S16" s="5">
        <v>0.27504094969639598</v>
      </c>
      <c r="T16" s="5">
        <v>2E+20</v>
      </c>
      <c r="U16" s="5">
        <v>0</v>
      </c>
      <c r="V16" s="5">
        <v>0.27504094969639598</v>
      </c>
      <c r="W16" s="5">
        <v>0.27504094969639598</v>
      </c>
      <c r="X16" s="5">
        <v>0</v>
      </c>
      <c r="Y16" s="5">
        <v>1</v>
      </c>
    </row>
    <row r="17" spans="16:25" x14ac:dyDescent="0.25">
      <c r="Q17" t="s">
        <v>92</v>
      </c>
      <c r="R17" t="s">
        <v>91</v>
      </c>
      <c r="S17" s="5">
        <v>0.27504094969639598</v>
      </c>
      <c r="T17" s="5">
        <v>2E+20</v>
      </c>
      <c r="U17" s="5">
        <v>0</v>
      </c>
      <c r="V17" s="5">
        <v>0.27504094969639598</v>
      </c>
      <c r="W17" s="5">
        <v>0.27504094969639598</v>
      </c>
      <c r="X17" s="5">
        <v>0</v>
      </c>
      <c r="Y17" s="5">
        <v>1</v>
      </c>
    </row>
    <row r="18" spans="16:25" x14ac:dyDescent="0.25">
      <c r="Q18" t="s">
        <v>93</v>
      </c>
      <c r="R18" t="s">
        <v>91</v>
      </c>
      <c r="S18" s="5">
        <v>1</v>
      </c>
      <c r="T18" s="5">
        <v>2E+20</v>
      </c>
      <c r="U18" s="5">
        <v>0</v>
      </c>
      <c r="V18" s="5">
        <v>1</v>
      </c>
      <c r="W18" s="5">
        <v>1</v>
      </c>
      <c r="X18" s="5">
        <v>1</v>
      </c>
      <c r="Y18" s="5">
        <v>1</v>
      </c>
    </row>
    <row r="19" spans="16:25" x14ac:dyDescent="0.25">
      <c r="P19" t="s">
        <v>96</v>
      </c>
      <c r="Q19" t="s">
        <v>90</v>
      </c>
      <c r="R19" t="s">
        <v>91</v>
      </c>
      <c r="S19" s="5">
        <v>7.8960102382800199E-2</v>
      </c>
      <c r="T19" s="5">
        <v>2E+20</v>
      </c>
      <c r="U19" s="5">
        <v>0</v>
      </c>
      <c r="V19" s="5">
        <v>7.8960102382800199E-2</v>
      </c>
      <c r="W19" s="5">
        <v>7.8960102382800199E-2</v>
      </c>
      <c r="X19" s="5">
        <v>0</v>
      </c>
      <c r="Y19" s="5">
        <v>1</v>
      </c>
    </row>
    <row r="20" spans="16:25" x14ac:dyDescent="0.25">
      <c r="Q20" t="s">
        <v>92</v>
      </c>
      <c r="R20" t="s">
        <v>91</v>
      </c>
      <c r="S20" s="5">
        <v>7.8960102382800199E-2</v>
      </c>
      <c r="T20" s="5">
        <v>2E+20</v>
      </c>
      <c r="U20" s="5">
        <v>0</v>
      </c>
      <c r="V20" s="5">
        <v>7.8960102382800199E-2</v>
      </c>
      <c r="W20" s="5">
        <v>7.8960102382800199E-2</v>
      </c>
      <c r="X20" s="5">
        <v>0</v>
      </c>
      <c r="Y20" s="5">
        <v>1</v>
      </c>
    </row>
    <row r="21" spans="16:25" x14ac:dyDescent="0.25">
      <c r="Q21" t="s">
        <v>93</v>
      </c>
      <c r="R21" t="s">
        <v>91</v>
      </c>
      <c r="S21" s="5">
        <v>1</v>
      </c>
      <c r="T21" s="5">
        <v>2E+20</v>
      </c>
      <c r="U21" s="5">
        <v>0</v>
      </c>
      <c r="V21" s="5">
        <v>1</v>
      </c>
      <c r="W21" s="5">
        <v>1</v>
      </c>
      <c r="X21" s="5">
        <v>1</v>
      </c>
      <c r="Y21" s="5">
        <v>1</v>
      </c>
    </row>
    <row r="22" spans="16:25" x14ac:dyDescent="0.25">
      <c r="P22" t="s">
        <v>97</v>
      </c>
      <c r="Q22" t="s">
        <v>90</v>
      </c>
      <c r="R22" t="s">
        <v>91</v>
      </c>
      <c r="S22" s="5">
        <v>0</v>
      </c>
      <c r="T22" s="5">
        <v>2E+20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</row>
    <row r="23" spans="16:25" x14ac:dyDescent="0.25">
      <c r="Q23" t="s">
        <v>92</v>
      </c>
      <c r="R23" t="s">
        <v>91</v>
      </c>
      <c r="S23" s="5">
        <v>0</v>
      </c>
      <c r="T23" s="5">
        <v>2E+20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</row>
    <row r="24" spans="16:25" x14ac:dyDescent="0.25">
      <c r="Q24" t="s">
        <v>93</v>
      </c>
      <c r="R24" t="s">
        <v>91</v>
      </c>
      <c r="S24" s="5">
        <v>1</v>
      </c>
      <c r="T24" s="5">
        <v>2E+20</v>
      </c>
      <c r="U24" s="5">
        <v>0</v>
      </c>
      <c r="V24" s="5">
        <v>1</v>
      </c>
      <c r="W24" s="5">
        <v>1</v>
      </c>
      <c r="X24" s="5">
        <v>1</v>
      </c>
      <c r="Y24" s="5">
        <v>1</v>
      </c>
    </row>
    <row r="25" spans="16:25" x14ac:dyDescent="0.25">
      <c r="P25" t="s">
        <v>98</v>
      </c>
      <c r="Q25" t="s">
        <v>87</v>
      </c>
      <c r="R25" t="s">
        <v>88</v>
      </c>
      <c r="S25" s="5">
        <v>8</v>
      </c>
      <c r="T25" s="5">
        <v>2E+20</v>
      </c>
      <c r="U25" s="5">
        <v>0</v>
      </c>
      <c r="V25" s="5">
        <v>8</v>
      </c>
      <c r="W25" s="5">
        <v>8</v>
      </c>
      <c r="X25" s="5">
        <v>8</v>
      </c>
      <c r="Y25" s="5">
        <v>8</v>
      </c>
    </row>
  </sheetData>
  <dataConsolidate/>
  <conditionalFormatting pivot="1" sqref="G3:G12">
    <cfRule type="expression" dxfId="67" priority="10">
      <formula>G3=200000000000000000000</formula>
    </cfRule>
  </conditionalFormatting>
  <conditionalFormatting pivot="1" sqref="T3:T25">
    <cfRule type="expression" dxfId="66" priority="9">
      <formula>T3=200000000000000000000</formula>
    </cfRule>
  </conditionalFormatting>
  <conditionalFormatting pivot="1" sqref="T3:T25">
    <cfRule type="expression" dxfId="65" priority="8">
      <formula>T3=300000000000000000000</formula>
    </cfRule>
  </conditionalFormatting>
  <conditionalFormatting pivot="1" sqref="G3:G12">
    <cfRule type="expression" dxfId="64" priority="7">
      <formula>G3=300000000000000000000</formula>
    </cfRule>
  </conditionalFormatting>
  <conditionalFormatting pivot="1" sqref="F3:F12">
    <cfRule type="expression" dxfId="63" priority="6">
      <formula>F3=0</formula>
    </cfRule>
  </conditionalFormatting>
  <conditionalFormatting pivot="1" sqref="F3:F12">
    <cfRule type="expression" dxfId="62" priority="5">
      <formula>F3=1</formula>
    </cfRule>
  </conditionalFormatting>
  <conditionalFormatting pivot="1" sqref="T3:T25">
    <cfRule type="expression" dxfId="61" priority="4">
      <formula>T3=400000000000000000000</formula>
    </cfRule>
  </conditionalFormatting>
  <conditionalFormatting pivot="1" sqref="AP3:AP15">
    <cfRule type="expression" dxfId="60" priority="3">
      <formula>AP3=400000000000000000000</formula>
    </cfRule>
  </conditionalFormatting>
  <conditionalFormatting pivot="1" sqref="AF3">
    <cfRule type="expression" dxfId="59" priority="2">
      <formula>AF3=400000000000000000000</formula>
    </cfRule>
  </conditionalFormatting>
  <conditionalFormatting pivot="1" sqref="G3:G12">
    <cfRule type="expression" dxfId="5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1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3.710937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7.855468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119</v>
      </c>
      <c r="C2">
        <v>1</v>
      </c>
      <c r="D2" t="s">
        <v>69</v>
      </c>
      <c r="E2" t="s">
        <v>70</v>
      </c>
      <c r="F2" t="s">
        <v>71</v>
      </c>
      <c r="G2">
        <v>0.43547467737280598</v>
      </c>
      <c r="H2">
        <v>2E+20</v>
      </c>
      <c r="I2">
        <v>0</v>
      </c>
      <c r="J2">
        <v>13.3114590719285</v>
      </c>
      <c r="K2">
        <v>40</v>
      </c>
      <c r="L2" t="str">
        <f>DiscreteStatsTable[[#This Row],[ProjectName]]&amp;DiscreteStatsTable[[#This Row],[Name]]&amp;DiscreteStatsTable[[#This Row],[Type]]&amp;DiscreteStatsTable[[#This Row],[Source]]</f>
        <v>Unnamed ProjectCounter Service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0.43547467737280598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0.43547467737280598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0.43547467737280598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13.3114590719285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40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119</v>
      </c>
      <c r="C3">
        <v>1</v>
      </c>
      <c r="D3" t="s">
        <v>72</v>
      </c>
      <c r="E3" t="s">
        <v>70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28</v>
      </c>
      <c r="L3" t="str">
        <f>DiscreteStatsTable[[#This Row],[ProjectName]]&amp;DiscreteStatsTable[[#This Row],[Name]]&amp;DiscreteStatsTable[[#This Row],[Type]]&amp;DiscreteStatsTable[[#This Row],[Source]]</f>
        <v>Unnamed ProjectCounter Service B.QueueWaiting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28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119</v>
      </c>
      <c r="C4">
        <v>1</v>
      </c>
      <c r="D4" t="s">
        <v>73</v>
      </c>
      <c r="E4" t="s">
        <v>70</v>
      </c>
      <c r="F4" t="s">
        <v>71</v>
      </c>
      <c r="G4">
        <v>0</v>
      </c>
      <c r="H4">
        <v>2E+20</v>
      </c>
      <c r="I4">
        <v>0</v>
      </c>
      <c r="J4">
        <v>0</v>
      </c>
      <c r="K4">
        <v>22</v>
      </c>
      <c r="L4" t="str">
        <f>DiscreteStatsTable[[#This Row],[ProjectName]]&amp;DiscreteStatsTable[[#This Row],[Name]]&amp;DiscreteStatsTable[[#This Row],[Type]]&amp;DiscreteStatsTable[[#This Row],[Source]]</f>
        <v>Unnamed ProjectCounter Service C.QueueWaiting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22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119</v>
      </c>
      <c r="C5">
        <v>1</v>
      </c>
      <c r="D5" t="s">
        <v>74</v>
      </c>
      <c r="E5" t="s">
        <v>70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10</v>
      </c>
      <c r="L5" t="str">
        <f>DiscreteStatsTable[[#This Row],[ProjectName]]&amp;DiscreteStatsTable[[#This Row],[Name]]&amp;DiscreteStatsTable[[#This Row],[Type]]&amp;DiscreteStatsTable[[#This Row],[Source]]</f>
        <v>Unnamed ProjectCounter Service D.QueueWaiting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10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119</v>
      </c>
      <c r="C6">
        <v>1</v>
      </c>
      <c r="D6" t="s">
        <v>75</v>
      </c>
      <c r="E6" t="s">
        <v>76</v>
      </c>
      <c r="F6" t="s">
        <v>77</v>
      </c>
      <c r="G6">
        <v>0</v>
      </c>
      <c r="H6">
        <v>2E+20</v>
      </c>
      <c r="I6">
        <v>0</v>
      </c>
      <c r="J6">
        <v>0</v>
      </c>
      <c r="K6">
        <v>100</v>
      </c>
      <c r="L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100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119</v>
      </c>
      <c r="C7">
        <v>1</v>
      </c>
      <c r="D7" t="s">
        <v>75</v>
      </c>
      <c r="E7" t="s">
        <v>78</v>
      </c>
      <c r="F7" t="s">
        <v>77</v>
      </c>
      <c r="G7">
        <v>0</v>
      </c>
      <c r="H7">
        <v>2E+20</v>
      </c>
      <c r="I7">
        <v>0</v>
      </c>
      <c r="J7">
        <v>0</v>
      </c>
      <c r="K7">
        <v>100</v>
      </c>
      <c r="L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100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119</v>
      </c>
      <c r="C8">
        <v>1</v>
      </c>
      <c r="D8" t="s">
        <v>75</v>
      </c>
      <c r="E8" t="s">
        <v>79</v>
      </c>
      <c r="F8" t="s">
        <v>77</v>
      </c>
      <c r="G8">
        <v>9.1969508881961008</v>
      </c>
      <c r="H8">
        <v>2E+20</v>
      </c>
      <c r="I8">
        <v>2.7935758933210798E-2</v>
      </c>
      <c r="J8">
        <v>41.1827233327475</v>
      </c>
      <c r="K8">
        <v>100</v>
      </c>
      <c r="L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9.1969508881961008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9.1969508881961008</v>
      </c>
      <c r="S8" cm="1">
        <f t="array" ref="S8">MAX(IF((DiscreteStatsTable[GroupByKey]=DiscreteStatsTable[[#This Row],[GroupByKey]]),(DiscreteStatsTable[GroupByKey]=DiscreteStatsTable[[#This Row],[GroupByKey]])*DiscreteStatsTable[Average]))</f>
        <v>9.1969508881961008</v>
      </c>
      <c r="T8" cm="1">
        <f t="array" ref="T8">MIN(IF((DiscreteStatsTable[GroupByKey]=DiscreteStatsTable[[#This Row],[GroupByKey]]),(DiscreteStatsTable[GroupByKey]=DiscreteStatsTable[[#This Row],[GroupByKey]])*DiscreteStatsTable[Minimum]))</f>
        <v>2.7935758933210798E-2</v>
      </c>
      <c r="U8" cm="1">
        <f t="array" ref="U8">MAX(IF((DiscreteStatsTable[GroupByKey]=DiscreteStatsTable[[#This Row],[GroupByKey]]),(DiscreteStatsTable[GroupByKey]=DiscreteStatsTable[[#This Row],[GroupByKey]])*DiscreteStatsTable[Maximum]))</f>
        <v>41.1827233327475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100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119</v>
      </c>
      <c r="C9">
        <v>1</v>
      </c>
      <c r="D9" t="s">
        <v>75</v>
      </c>
      <c r="E9" t="s">
        <v>80</v>
      </c>
      <c r="F9" t="s">
        <v>77</v>
      </c>
      <c r="G9">
        <v>0</v>
      </c>
      <c r="H9">
        <v>2E+20</v>
      </c>
      <c r="I9">
        <v>0</v>
      </c>
      <c r="J9">
        <v>0</v>
      </c>
      <c r="K9">
        <v>100</v>
      </c>
      <c r="L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100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119</v>
      </c>
      <c r="C10">
        <v>1</v>
      </c>
      <c r="D10" t="s">
        <v>75</v>
      </c>
      <c r="E10" t="s">
        <v>81</v>
      </c>
      <c r="F10" t="s">
        <v>77</v>
      </c>
      <c r="G10">
        <v>9.0227610172469692</v>
      </c>
      <c r="H10">
        <v>2E+20</v>
      </c>
      <c r="I10">
        <v>2.4808099713027301E-2</v>
      </c>
      <c r="J10">
        <v>41.1827233327475</v>
      </c>
      <c r="K10">
        <v>100</v>
      </c>
      <c r="L1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9.0227610172469692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9.0227610172469692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9.0227610172469692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2.4808099713027301E-2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41.1827233327475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100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119</v>
      </c>
      <c r="C11">
        <v>1</v>
      </c>
      <c r="D11" t="s">
        <v>75</v>
      </c>
      <c r="E11" t="s">
        <v>82</v>
      </c>
      <c r="F11" t="s">
        <v>77</v>
      </c>
      <c r="G11">
        <v>0.174189870949122</v>
      </c>
      <c r="H11">
        <v>2E+20</v>
      </c>
      <c r="I11">
        <v>0</v>
      </c>
      <c r="J11">
        <v>13.3114590719285</v>
      </c>
      <c r="K11">
        <v>100</v>
      </c>
      <c r="L1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0.174189870949122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0.174189870949122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0.174189870949122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13.3114590719285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100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</sheetData>
  <phoneticPr fontId="2" type="noConversion"/>
  <conditionalFormatting sqref="H2:H11 Q2:Q11">
    <cfRule type="expression" dxfId="56" priority="23">
      <formula>H2=200000000000000000000</formula>
    </cfRule>
  </conditionalFormatting>
  <conditionalFormatting sqref="H2:H11">
    <cfRule type="expression" dxfId="55" priority="21">
      <formula>H2=300000000000000000000</formula>
    </cfRule>
  </conditionalFormatting>
  <conditionalFormatting sqref="L2:Y11">
    <cfRule type="expression" dxfId="54" priority="19">
      <formula>MOD(ROW(),2)=0</formula>
    </cfRule>
  </conditionalFormatting>
  <conditionalFormatting sqref="Y2:Y11">
    <cfRule type="expression" dxfId="53" priority="14">
      <formula>Y2=0</formula>
    </cfRule>
    <cfRule type="expression" dxfId="52" priority="16">
      <formula>Y2=1</formula>
    </cfRule>
  </conditionalFormatting>
  <conditionalFormatting sqref="Y3:Y11">
    <cfRule type="expression" dxfId="51" priority="15">
      <formula>Y3=1</formula>
    </cfRule>
  </conditionalFormatting>
  <conditionalFormatting sqref="W2:W11">
    <cfRule type="expression" dxfId="50" priority="6">
      <formula>W2=300000000000000000000</formula>
    </cfRule>
    <cfRule type="expression" dxfId="49" priority="7">
      <formula>W2=200000000000000000000</formula>
    </cfRule>
  </conditionalFormatting>
  <conditionalFormatting sqref="Q2:Q11 W2:W11">
    <cfRule type="expression" dxfId="48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4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3.7109375" bestFit="1" customWidth="1"/>
    <col min="5" max="5" width="23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0.855468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119</v>
      </c>
      <c r="C2">
        <v>1</v>
      </c>
      <c r="D2" t="s">
        <v>69</v>
      </c>
      <c r="E2" t="s">
        <v>83</v>
      </c>
      <c r="F2" t="s">
        <v>71</v>
      </c>
      <c r="G2">
        <v>2.4649538177868101E-2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ProjectCounter Service 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2.4649538177868101E-2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2.4649538177868101E-2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2.4649538177868101E-2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119</v>
      </c>
      <c r="C3">
        <v>1</v>
      </c>
      <c r="D3" t="s">
        <v>72</v>
      </c>
      <c r="E3" t="s">
        <v>83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ProjectCounter Service B.QueueNumber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119</v>
      </c>
      <c r="C4">
        <v>1</v>
      </c>
      <c r="D4" t="s">
        <v>73</v>
      </c>
      <c r="E4" t="s">
        <v>83</v>
      </c>
      <c r="F4" t="s">
        <v>71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ProjectCounter Service C.QueueNumber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119</v>
      </c>
      <c r="C5">
        <v>1</v>
      </c>
      <c r="D5" t="s">
        <v>74</v>
      </c>
      <c r="E5" t="s">
        <v>83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ProjectCounter Service 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119</v>
      </c>
      <c r="C6">
        <v>1</v>
      </c>
      <c r="D6" t="s">
        <v>84</v>
      </c>
      <c r="E6" t="s">
        <v>83</v>
      </c>
      <c r="F6" t="s">
        <v>71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ProjectCounter Service E.QueueNumber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119</v>
      </c>
      <c r="C7">
        <v>1</v>
      </c>
      <c r="D7" t="s">
        <v>75</v>
      </c>
      <c r="E7" t="s">
        <v>85</v>
      </c>
      <c r="F7" t="s">
        <v>77</v>
      </c>
      <c r="G7">
        <v>1.30145680000408</v>
      </c>
      <c r="H7">
        <v>2E+20</v>
      </c>
      <c r="I7">
        <v>0</v>
      </c>
      <c r="J7">
        <v>5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1.30145680000408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1.30145680000408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1.30145680000408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119</v>
      </c>
      <c r="C8">
        <v>1</v>
      </c>
      <c r="D8" t="s">
        <v>86</v>
      </c>
      <c r="E8" t="s">
        <v>87</v>
      </c>
      <c r="F8" t="s">
        <v>88</v>
      </c>
      <c r="G8">
        <v>6</v>
      </c>
      <c r="H8">
        <v>2E+20</v>
      </c>
      <c r="I8">
        <v>6</v>
      </c>
      <c r="J8">
        <v>6</v>
      </c>
      <c r="K8">
        <v>6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ProjectCustomerArrivalMeanVariableUser Specified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6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6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6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25">
      <c r="A9" t="s">
        <v>67</v>
      </c>
      <c r="B9" t="s">
        <v>119</v>
      </c>
      <c r="C9">
        <v>1</v>
      </c>
      <c r="D9" t="s">
        <v>89</v>
      </c>
      <c r="E9" t="s">
        <v>90</v>
      </c>
      <c r="F9" t="s">
        <v>91</v>
      </c>
      <c r="G9">
        <v>0.52664725490720199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ProjectResource AInstantaneous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0.52664725490720199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0.52664725490720199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0.52664725490720199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25">
      <c r="A10" t="s">
        <v>67</v>
      </c>
      <c r="B10" t="s">
        <v>119</v>
      </c>
      <c r="C10">
        <v>1</v>
      </c>
      <c r="D10" t="s">
        <v>89</v>
      </c>
      <c r="E10" t="s">
        <v>92</v>
      </c>
      <c r="F10" t="s">
        <v>91</v>
      </c>
      <c r="G10">
        <v>0.52664725490720199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ProjectResource ANumber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0.52664725490720199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0.52664725490720199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0.52664725490720199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25">
      <c r="A11" t="s">
        <v>67</v>
      </c>
      <c r="B11" t="s">
        <v>119</v>
      </c>
      <c r="C11">
        <v>1</v>
      </c>
      <c r="D11" t="s">
        <v>89</v>
      </c>
      <c r="E11" t="s">
        <v>93</v>
      </c>
      <c r="F11" t="s">
        <v>91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ProjectResource ANumber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25">
      <c r="A12" t="s">
        <v>67</v>
      </c>
      <c r="B12" t="s">
        <v>119</v>
      </c>
      <c r="C12">
        <v>1</v>
      </c>
      <c r="D12" t="s">
        <v>94</v>
      </c>
      <c r="E12" t="s">
        <v>90</v>
      </c>
      <c r="F12" t="s">
        <v>91</v>
      </c>
      <c r="G12">
        <v>0.39615895483981001</v>
      </c>
      <c r="H12">
        <v>2E+20</v>
      </c>
      <c r="I12">
        <v>0</v>
      </c>
      <c r="J12">
        <v>1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ProjectResource BInstantaneous UtilizationResource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0.39615895483981001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0.39615895483981001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0.39615895483981001</v>
      </c>
      <c r="U12">
        <f>IF((ContinuousStatsTable[[#This Row],[RepsRequested]]&gt;1),ContinuousStatsTable[[#This Row],[HalfWidth]],ContinuousStatsTable[[#This Row],[BatchMeansHalfWidth]])</f>
        <v>2E+20</v>
      </c>
    </row>
    <row r="13" spans="1:21" x14ac:dyDescent="0.25">
      <c r="A13" t="s">
        <v>67</v>
      </c>
      <c r="B13" t="s">
        <v>119</v>
      </c>
      <c r="C13">
        <v>1</v>
      </c>
      <c r="D13" t="s">
        <v>94</v>
      </c>
      <c r="E13" t="s">
        <v>92</v>
      </c>
      <c r="F13" t="s">
        <v>91</v>
      </c>
      <c r="G13">
        <v>0.39615895483981001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ProjectResource BNumber BusyResource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0.39615895483981001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0.39615895483981001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0.39615895483981001</v>
      </c>
      <c r="U13">
        <f>IF((ContinuousStatsTable[[#This Row],[RepsRequested]]&gt;1),ContinuousStatsTable[[#This Row],[HalfWidth]],ContinuousStatsTable[[#This Row],[BatchMeansHalfWidth]])</f>
        <v>2E+20</v>
      </c>
    </row>
    <row r="14" spans="1:21" x14ac:dyDescent="0.25">
      <c r="A14" t="s">
        <v>67</v>
      </c>
      <c r="B14" t="s">
        <v>119</v>
      </c>
      <c r="C14">
        <v>1</v>
      </c>
      <c r="D14" t="s">
        <v>94</v>
      </c>
      <c r="E14" t="s">
        <v>93</v>
      </c>
      <c r="F14" t="s">
        <v>91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ProjectResource BNumber ScheduledResource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>
        <f>IF((ContinuousStatsTable[[#This Row],[RepsRequested]]&gt;1),ContinuousStatsTable[[#This Row],[HalfWidth]],ContinuousStatsTable[[#This Row],[BatchMeansHalfWidth]])</f>
        <v>2E+20</v>
      </c>
    </row>
    <row r="15" spans="1:21" x14ac:dyDescent="0.25">
      <c r="A15" t="s">
        <v>67</v>
      </c>
      <c r="B15" t="s">
        <v>119</v>
      </c>
      <c r="C15">
        <v>1</v>
      </c>
      <c r="D15" t="s">
        <v>95</v>
      </c>
      <c r="E15" t="s">
        <v>90</v>
      </c>
      <c r="F15" t="s">
        <v>91</v>
      </c>
      <c r="G15">
        <v>0.27504094969639598</v>
      </c>
      <c r="H15">
        <v>2E+20</v>
      </c>
      <c r="I15">
        <v>0</v>
      </c>
      <c r="J15">
        <v>1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ProjectResource CInstantaneous UtilizationResource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0.27504094969639598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0.27504094969639598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0.27504094969639598</v>
      </c>
      <c r="U15">
        <f>IF((ContinuousStatsTable[[#This Row],[RepsRequested]]&gt;1),ContinuousStatsTable[[#This Row],[HalfWidth]],ContinuousStatsTable[[#This Row],[BatchMeansHalfWidth]])</f>
        <v>2E+20</v>
      </c>
    </row>
    <row r="16" spans="1:21" x14ac:dyDescent="0.25">
      <c r="A16" t="s">
        <v>67</v>
      </c>
      <c r="B16" t="s">
        <v>119</v>
      </c>
      <c r="C16">
        <v>1</v>
      </c>
      <c r="D16" t="s">
        <v>95</v>
      </c>
      <c r="E16" t="s">
        <v>92</v>
      </c>
      <c r="F16" t="s">
        <v>91</v>
      </c>
      <c r="G16">
        <v>0.27504094969639598</v>
      </c>
      <c r="H16">
        <v>2E+20</v>
      </c>
      <c r="I16">
        <v>0</v>
      </c>
      <c r="J16">
        <v>1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ProjectResource CNumber BusyResource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0.27504094969639598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0.27504094969639598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0.27504094969639598</v>
      </c>
      <c r="U16">
        <f>IF((ContinuousStatsTable[[#This Row],[RepsRequested]]&gt;1),ContinuousStatsTable[[#This Row],[HalfWidth]],ContinuousStatsTable[[#This Row],[BatchMeansHalfWidth]])</f>
        <v>2E+20</v>
      </c>
    </row>
    <row r="17" spans="1:21" x14ac:dyDescent="0.25">
      <c r="A17" t="s">
        <v>67</v>
      </c>
      <c r="B17" t="s">
        <v>119</v>
      </c>
      <c r="C17">
        <v>1</v>
      </c>
      <c r="D17" t="s">
        <v>95</v>
      </c>
      <c r="E17" t="s">
        <v>93</v>
      </c>
      <c r="F17" t="s">
        <v>91</v>
      </c>
      <c r="G17">
        <v>1</v>
      </c>
      <c r="H17">
        <v>2E+20</v>
      </c>
      <c r="I17">
        <v>1</v>
      </c>
      <c r="J17">
        <v>1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ProjectResource CNumber ScheduledResource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1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</v>
      </c>
      <c r="U17">
        <f>IF((ContinuousStatsTable[[#This Row],[RepsRequested]]&gt;1),ContinuousStatsTable[[#This Row],[HalfWidth]],ContinuousStatsTable[[#This Row],[BatchMeansHalfWidth]])</f>
        <v>2E+20</v>
      </c>
    </row>
    <row r="18" spans="1:21" x14ac:dyDescent="0.25">
      <c r="A18" t="s">
        <v>67</v>
      </c>
      <c r="B18" t="s">
        <v>119</v>
      </c>
      <c r="C18">
        <v>1</v>
      </c>
      <c r="D18" t="s">
        <v>96</v>
      </c>
      <c r="E18" t="s">
        <v>90</v>
      </c>
      <c r="F18" t="s">
        <v>91</v>
      </c>
      <c r="G18">
        <v>7.8960102382800199E-2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ProjectResource DInstantaneous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7.8960102382800199E-2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7.8960102382800199E-2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7.8960102382800199E-2</v>
      </c>
      <c r="U18">
        <f>IF((ContinuousStatsTable[[#This Row],[RepsRequested]]&gt;1),ContinuousStatsTable[[#This Row],[HalfWidth]],ContinuousStatsTable[[#This Row],[BatchMeansHalfWidth]])</f>
        <v>2E+20</v>
      </c>
    </row>
    <row r="19" spans="1:21" x14ac:dyDescent="0.25">
      <c r="A19" t="s">
        <v>67</v>
      </c>
      <c r="B19" t="s">
        <v>119</v>
      </c>
      <c r="C19">
        <v>1</v>
      </c>
      <c r="D19" t="s">
        <v>96</v>
      </c>
      <c r="E19" t="s">
        <v>92</v>
      </c>
      <c r="F19" t="s">
        <v>91</v>
      </c>
      <c r="G19">
        <v>7.8960102382800199E-2</v>
      </c>
      <c r="H19">
        <v>2E+20</v>
      </c>
      <c r="I19">
        <v>0</v>
      </c>
      <c r="J19">
        <v>1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ProjectResource DNumber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7.8960102382800199E-2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7.8960102382800199E-2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7.8960102382800199E-2</v>
      </c>
      <c r="U19">
        <f>IF((ContinuousStatsTable[[#This Row],[RepsRequested]]&gt;1),ContinuousStatsTable[[#This Row],[HalfWidth]],ContinuousStatsTable[[#This Row],[BatchMeansHalfWidth]])</f>
        <v>2E+20</v>
      </c>
    </row>
    <row r="20" spans="1:21" x14ac:dyDescent="0.25">
      <c r="A20" t="s">
        <v>67</v>
      </c>
      <c r="B20" t="s">
        <v>119</v>
      </c>
      <c r="C20">
        <v>1</v>
      </c>
      <c r="D20" t="s">
        <v>96</v>
      </c>
      <c r="E20" t="s">
        <v>93</v>
      </c>
      <c r="F20" t="s">
        <v>91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ProjectResource DNumber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>
        <f>IF((ContinuousStatsTable[[#This Row],[RepsRequested]]&gt;1),ContinuousStatsTable[[#This Row],[HalfWidth]],ContinuousStatsTable[[#This Row],[BatchMeansHalfWidth]])</f>
        <v>2E+20</v>
      </c>
    </row>
    <row r="21" spans="1:21" x14ac:dyDescent="0.25">
      <c r="A21" t="s">
        <v>67</v>
      </c>
      <c r="B21" t="s">
        <v>119</v>
      </c>
      <c r="C21">
        <v>1</v>
      </c>
      <c r="D21" t="s">
        <v>97</v>
      </c>
      <c r="E21" t="s">
        <v>90</v>
      </c>
      <c r="F21" t="s">
        <v>91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ProjectResource EInstantaneous UtilizationResource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>
        <f>IF((ContinuousStatsTable[[#This Row],[RepsRequested]]&gt;1),ContinuousStatsTable[[#This Row],[HalfWidth]],ContinuousStatsTable[[#This Row],[BatchMeansHalfWidth]])</f>
        <v>2E+20</v>
      </c>
    </row>
    <row r="22" spans="1:21" x14ac:dyDescent="0.25">
      <c r="A22" t="s">
        <v>67</v>
      </c>
      <c r="B22" t="s">
        <v>119</v>
      </c>
      <c r="C22">
        <v>1</v>
      </c>
      <c r="D22" t="s">
        <v>97</v>
      </c>
      <c r="E22" t="s">
        <v>92</v>
      </c>
      <c r="F22" t="s">
        <v>91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ProjectResource ENumber BusyResource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>
        <f>IF((ContinuousStatsTable[[#This Row],[RepsRequested]]&gt;1),ContinuousStatsTable[[#This Row],[HalfWidth]],ContinuousStatsTable[[#This Row],[BatchMeansHalfWidth]])</f>
        <v>2E+20</v>
      </c>
    </row>
    <row r="23" spans="1:21" x14ac:dyDescent="0.25">
      <c r="A23" t="s">
        <v>67</v>
      </c>
      <c r="B23" t="s">
        <v>119</v>
      </c>
      <c r="C23">
        <v>1</v>
      </c>
      <c r="D23" t="s">
        <v>97</v>
      </c>
      <c r="E23" t="s">
        <v>93</v>
      </c>
      <c r="F23" t="s">
        <v>91</v>
      </c>
      <c r="G23">
        <v>1</v>
      </c>
      <c r="H23">
        <v>2E+20</v>
      </c>
      <c r="I23">
        <v>1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ProjectResource ENumber ScheduledResource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>
        <f>IF((ContinuousStatsTable[[#This Row],[RepsRequested]]&gt;1),ContinuousStatsTable[[#This Row],[HalfWidth]],ContinuousStatsTable[[#This Row],[BatchMeansHalfWidth]])</f>
        <v>2E+20</v>
      </c>
    </row>
    <row r="24" spans="1:21" x14ac:dyDescent="0.25">
      <c r="A24" t="s">
        <v>67</v>
      </c>
      <c r="B24" t="s">
        <v>119</v>
      </c>
      <c r="C24">
        <v>1</v>
      </c>
      <c r="D24" t="s">
        <v>98</v>
      </c>
      <c r="E24" t="s">
        <v>87</v>
      </c>
      <c r="F24" t="s">
        <v>88</v>
      </c>
      <c r="G24">
        <v>8</v>
      </c>
      <c r="H24">
        <v>2E+20</v>
      </c>
      <c r="I24">
        <v>8</v>
      </c>
      <c r="J24">
        <v>8</v>
      </c>
      <c r="K24">
        <v>8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ProjectServiceTimeMeanVariableUser Specified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8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8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8</v>
      </c>
      <c r="U24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4">
    <cfRule type="expression" dxfId="33" priority="9">
      <formula>H2=200000000000000000000</formula>
    </cfRule>
  </conditionalFormatting>
  <conditionalFormatting sqref="H2:H24">
    <cfRule type="expression" dxfId="32" priority="7">
      <formula>H2=300000000000000000000</formula>
    </cfRule>
  </conditionalFormatting>
  <conditionalFormatting sqref="M2:U24">
    <cfRule type="expression" dxfId="31" priority="5">
      <formula>MOD(ROW(),2)=0</formula>
    </cfRule>
  </conditionalFormatting>
  <conditionalFormatting sqref="U2:U24">
    <cfRule type="expression" dxfId="30" priority="3">
      <formula>U2=200000000000000000000</formula>
    </cfRule>
    <cfRule type="expression" dxfId="29" priority="4">
      <formula>U2=300000000000000000000</formula>
    </cfRule>
  </conditionalFormatting>
  <conditionalFormatting sqref="R2:R24 U2:U24">
    <cfRule type="expression" dxfId="28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6.28515625" bestFit="1" customWidth="1"/>
    <col min="5" max="5" width="7.5703125" bestFit="1" customWidth="1"/>
    <col min="6" max="6" width="13.85546875" bestFit="1" customWidth="1"/>
    <col min="7" max="7" width="17" bestFit="1" customWidth="1"/>
    <col min="8" max="8" width="60.710937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119</v>
      </c>
      <c r="C2">
        <v>1</v>
      </c>
      <c r="D2" t="s">
        <v>99</v>
      </c>
      <c r="E2" t="s">
        <v>100</v>
      </c>
      <c r="F2" t="s">
        <v>88</v>
      </c>
      <c r="G2">
        <v>1</v>
      </c>
      <c r="H2" t="str">
        <f>CountersTable[[#This Row],[ProjectName]]&amp;CountersTable[[#This Row],[Name]]&amp;CountersTable[[#This Row],[Type]]&amp;CountersTable[[#This Row],[Source]]</f>
        <v>Unnamed ProjectWait Time more than 6 minsCountUser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1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1</v>
      </c>
      <c r="O2" cm="1">
        <f t="array" ref="O2">MAX(IF((CountersTable[GroupByKey]=CountersTable[[#This Row],[GroupByKey]]),(CountersTable[GroupByKey]=CountersTable[[#This Row],[GroupByKey]])*CountersTable[RecordedValue]))</f>
        <v>1</v>
      </c>
    </row>
  </sheetData>
  <phoneticPr fontId="2" type="noConversion"/>
  <conditionalFormatting sqref="H2:O2">
    <cfRule type="expression" dxfId="18" priority="2">
      <formula>MOD(ROW(),2)=0</formula>
    </cfRule>
  </conditionalFormatting>
  <conditionalFormatting sqref="M2">
    <cfRule type="expression" dxfId="17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4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0.5703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4.28515625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119</v>
      </c>
      <c r="C2">
        <v>1</v>
      </c>
      <c r="D2" t="s">
        <v>101</v>
      </c>
      <c r="E2" t="s">
        <v>102</v>
      </c>
      <c r="F2" t="s">
        <v>77</v>
      </c>
      <c r="G2">
        <v>100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100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100</v>
      </c>
      <c r="P2" cm="1">
        <f t="array" ref="P2">MAX(IF((OutputTable[GroupByKey]=OutputTable[[#This Row],[GroupByKey]]),(OutputTable[GroupByKey]=OutputTable[[#This Row],[GroupByKey]])*OutputTable[RecordedValue]))</f>
        <v>100</v>
      </c>
    </row>
    <row r="3" spans="1:16" x14ac:dyDescent="0.25">
      <c r="A3" t="s">
        <v>67</v>
      </c>
      <c r="B3" t="s">
        <v>119</v>
      </c>
      <c r="C3">
        <v>1</v>
      </c>
      <c r="D3" t="s">
        <v>103</v>
      </c>
      <c r="E3" t="s">
        <v>104</v>
      </c>
      <c r="F3" t="s">
        <v>77</v>
      </c>
      <c r="G3">
        <v>100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100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100</v>
      </c>
      <c r="P3" cm="1">
        <f t="array" ref="P3">MAX(IF((OutputTable[GroupByKey]=OutputTable[[#This Row],[GroupByKey]]),(OutputTable[GroupByKey]=OutputTable[[#This Row],[GroupByKey]])*OutputTable[RecordedValue]))</f>
        <v>100</v>
      </c>
    </row>
    <row r="4" spans="1:16" x14ac:dyDescent="0.25">
      <c r="A4" t="s">
        <v>67</v>
      </c>
      <c r="B4" t="s">
        <v>119</v>
      </c>
      <c r="C4">
        <v>1</v>
      </c>
      <c r="D4" t="s">
        <v>105</v>
      </c>
      <c r="E4" t="s">
        <v>106</v>
      </c>
      <c r="F4" t="s">
        <v>91</v>
      </c>
      <c r="G4">
        <v>40</v>
      </c>
      <c r="H4">
        <v>0</v>
      </c>
      <c r="I4" t="str">
        <f>OutputTable[[#This Row],[ProjectName]]&amp;OutputTable[[#This Row],[Name]]&amp;OutputTable[[#This Row],[Type]]&amp;OutputTable[[#This Row],[Source]]</f>
        <v>Unnamed ProjectResource A.NumberSeizedTotal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40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40</v>
      </c>
      <c r="P4" cm="1">
        <f t="array" ref="P4">MAX(IF((OutputTable[GroupByKey]=OutputTable[[#This Row],[GroupByKey]]),(OutputTable[GroupByKey]=OutputTable[[#This Row],[GroupByKey]])*OutputTable[RecordedValue]))</f>
        <v>40</v>
      </c>
    </row>
    <row r="5" spans="1:16" x14ac:dyDescent="0.25">
      <c r="A5" t="s">
        <v>67</v>
      </c>
      <c r="B5" t="s">
        <v>119</v>
      </c>
      <c r="C5">
        <v>1</v>
      </c>
      <c r="D5" t="s">
        <v>107</v>
      </c>
      <c r="E5" t="s">
        <v>108</v>
      </c>
      <c r="F5" t="s">
        <v>91</v>
      </c>
      <c r="G5">
        <v>0.52664725490720199</v>
      </c>
      <c r="H5">
        <v>0</v>
      </c>
      <c r="I5" t="str">
        <f>OutputTable[[#This Row],[ProjectName]]&amp;OutputTable[[#This Row],[Name]]&amp;OutputTable[[#This Row],[Type]]&amp;OutputTable[[#This Row],[Source]]</f>
        <v>Unnamed ProjectResource A.ScheduledUtilizationScheduled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0.52664725490720199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0.52664725490720199</v>
      </c>
      <c r="P5" cm="1">
        <f t="array" ref="P5">MAX(IF((OutputTable[GroupByKey]=OutputTable[[#This Row],[GroupByKey]]),(OutputTable[GroupByKey]=OutputTable[[#This Row],[GroupByKey]])*OutputTable[RecordedValue]))</f>
        <v>0.52664725490720199</v>
      </c>
    </row>
    <row r="6" spans="1:16" x14ac:dyDescent="0.25">
      <c r="A6" t="s">
        <v>67</v>
      </c>
      <c r="B6" t="s">
        <v>119</v>
      </c>
      <c r="C6">
        <v>1</v>
      </c>
      <c r="D6" t="s">
        <v>109</v>
      </c>
      <c r="E6" t="s">
        <v>106</v>
      </c>
      <c r="F6" t="s">
        <v>91</v>
      </c>
      <c r="G6">
        <v>28</v>
      </c>
      <c r="H6">
        <v>0</v>
      </c>
      <c r="I6" t="str">
        <f>OutputTable[[#This Row],[ProjectName]]&amp;OutputTable[[#This Row],[Name]]&amp;OutputTable[[#This Row],[Type]]&amp;OutputTable[[#This Row],[Source]]</f>
        <v>Unnamed ProjectResource B.NumberSeizedTotal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28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28</v>
      </c>
      <c r="P6" cm="1">
        <f t="array" ref="P6">MAX(IF((OutputTable[GroupByKey]=OutputTable[[#This Row],[GroupByKey]]),(OutputTable[GroupByKey]=OutputTable[[#This Row],[GroupByKey]])*OutputTable[RecordedValue]))</f>
        <v>28</v>
      </c>
    </row>
    <row r="7" spans="1:16" x14ac:dyDescent="0.25">
      <c r="A7" t="s">
        <v>67</v>
      </c>
      <c r="B7" t="s">
        <v>119</v>
      </c>
      <c r="C7">
        <v>1</v>
      </c>
      <c r="D7" t="s">
        <v>110</v>
      </c>
      <c r="E7" t="s">
        <v>108</v>
      </c>
      <c r="F7" t="s">
        <v>91</v>
      </c>
      <c r="G7">
        <v>0.39615895483981001</v>
      </c>
      <c r="H7">
        <v>0</v>
      </c>
      <c r="I7" t="str">
        <f>OutputTable[[#This Row],[ProjectName]]&amp;OutputTable[[#This Row],[Name]]&amp;OutputTable[[#This Row],[Type]]&amp;OutputTable[[#This Row],[Source]]</f>
        <v>Unnamed ProjectResource B.ScheduledUtilizationScheduled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0.39615895483981001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0.39615895483981001</v>
      </c>
      <c r="P7" cm="1">
        <f t="array" ref="P7">MAX(IF((OutputTable[GroupByKey]=OutputTable[[#This Row],[GroupByKey]]),(OutputTable[GroupByKey]=OutputTable[[#This Row],[GroupByKey]])*OutputTable[RecordedValue]))</f>
        <v>0.39615895483981001</v>
      </c>
    </row>
    <row r="8" spans="1:16" x14ac:dyDescent="0.25">
      <c r="A8" t="s">
        <v>67</v>
      </c>
      <c r="B8" t="s">
        <v>119</v>
      </c>
      <c r="C8">
        <v>1</v>
      </c>
      <c r="D8" t="s">
        <v>111</v>
      </c>
      <c r="E8" t="s">
        <v>106</v>
      </c>
      <c r="F8" t="s">
        <v>91</v>
      </c>
      <c r="G8">
        <v>22</v>
      </c>
      <c r="H8">
        <v>0</v>
      </c>
      <c r="I8" t="str">
        <f>OutputTable[[#This Row],[ProjectName]]&amp;OutputTable[[#This Row],[Name]]&amp;OutputTable[[#This Row],[Type]]&amp;OutputTable[[#This Row],[Source]]</f>
        <v>Unnamed ProjectResource C.NumberSeizedTotal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22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22</v>
      </c>
      <c r="P8" cm="1">
        <f t="array" ref="P8">MAX(IF((OutputTable[GroupByKey]=OutputTable[[#This Row],[GroupByKey]]),(OutputTable[GroupByKey]=OutputTable[[#This Row],[GroupByKey]])*OutputTable[RecordedValue]))</f>
        <v>22</v>
      </c>
    </row>
    <row r="9" spans="1:16" x14ac:dyDescent="0.25">
      <c r="A9" t="s">
        <v>67</v>
      </c>
      <c r="B9" t="s">
        <v>119</v>
      </c>
      <c r="C9">
        <v>1</v>
      </c>
      <c r="D9" t="s">
        <v>112</v>
      </c>
      <c r="E9" t="s">
        <v>108</v>
      </c>
      <c r="F9" t="s">
        <v>91</v>
      </c>
      <c r="G9">
        <v>0.27504094969639598</v>
      </c>
      <c r="H9">
        <v>0</v>
      </c>
      <c r="I9" t="str">
        <f>OutputTable[[#This Row],[ProjectName]]&amp;OutputTable[[#This Row],[Name]]&amp;OutputTable[[#This Row],[Type]]&amp;OutputTable[[#This Row],[Source]]</f>
        <v>Unnamed ProjectResource C.ScheduledUtilizationScheduled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0.27504094969639598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0.27504094969639598</v>
      </c>
      <c r="P9" cm="1">
        <f t="array" ref="P9">MAX(IF((OutputTable[GroupByKey]=OutputTable[[#This Row],[GroupByKey]]),(OutputTable[GroupByKey]=OutputTable[[#This Row],[GroupByKey]])*OutputTable[RecordedValue]))</f>
        <v>0.27504094969639598</v>
      </c>
    </row>
    <row r="10" spans="1:16" x14ac:dyDescent="0.25">
      <c r="A10" t="s">
        <v>67</v>
      </c>
      <c r="B10" t="s">
        <v>119</v>
      </c>
      <c r="C10">
        <v>1</v>
      </c>
      <c r="D10" t="s">
        <v>113</v>
      </c>
      <c r="E10" t="s">
        <v>106</v>
      </c>
      <c r="F10" t="s">
        <v>91</v>
      </c>
      <c r="G10">
        <v>10</v>
      </c>
      <c r="H10">
        <v>0</v>
      </c>
      <c r="I10" t="str">
        <f>OutputTable[[#This Row],[ProjectName]]&amp;OutputTable[[#This Row],[Name]]&amp;OutputTable[[#This Row],[Type]]&amp;OutputTable[[#This Row],[Source]]</f>
        <v>Unnamed ProjectResource D.NumberSeizedTotal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10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10</v>
      </c>
      <c r="P10" cm="1">
        <f t="array" ref="P10">MAX(IF((OutputTable[GroupByKey]=OutputTable[[#This Row],[GroupByKey]]),(OutputTable[GroupByKey]=OutputTable[[#This Row],[GroupByKey]])*OutputTable[RecordedValue]))</f>
        <v>10</v>
      </c>
    </row>
    <row r="11" spans="1:16" x14ac:dyDescent="0.25">
      <c r="A11" t="s">
        <v>67</v>
      </c>
      <c r="B11" t="s">
        <v>119</v>
      </c>
      <c r="C11">
        <v>1</v>
      </c>
      <c r="D11" t="s">
        <v>114</v>
      </c>
      <c r="E11" t="s">
        <v>108</v>
      </c>
      <c r="F11" t="s">
        <v>91</v>
      </c>
      <c r="G11">
        <v>7.8960102382800199E-2</v>
      </c>
      <c r="H11">
        <v>0</v>
      </c>
      <c r="I11" t="str">
        <f>OutputTable[[#This Row],[ProjectName]]&amp;OutputTable[[#This Row],[Name]]&amp;OutputTable[[#This Row],[Type]]&amp;OutputTable[[#This Row],[Source]]</f>
        <v>Unnamed ProjectResource D.ScheduledUtilizationScheduled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7.8960102382800199E-2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7.8960102382800199E-2</v>
      </c>
      <c r="P11" cm="1">
        <f t="array" ref="P11">MAX(IF((OutputTable[GroupByKey]=OutputTable[[#This Row],[GroupByKey]]),(OutputTable[GroupByKey]=OutputTable[[#This Row],[GroupByKey]])*OutputTable[RecordedValue]))</f>
        <v>7.8960102382800199E-2</v>
      </c>
    </row>
    <row r="12" spans="1:16" x14ac:dyDescent="0.25">
      <c r="A12" t="s">
        <v>67</v>
      </c>
      <c r="B12" t="s">
        <v>119</v>
      </c>
      <c r="C12">
        <v>1</v>
      </c>
      <c r="D12" t="s">
        <v>115</v>
      </c>
      <c r="E12" t="s">
        <v>106</v>
      </c>
      <c r="F12" t="s">
        <v>91</v>
      </c>
      <c r="G12">
        <v>0</v>
      </c>
      <c r="H12">
        <v>0</v>
      </c>
      <c r="I12" t="str">
        <f>OutputTable[[#This Row],[ProjectName]]&amp;OutputTable[[#This Row],[Name]]&amp;OutputTable[[#This Row],[Type]]&amp;OutputTable[[#This Row],[Source]]</f>
        <v>Unnamed ProjectResource E.NumberSeizedTotal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</v>
      </c>
      <c r="P12" cm="1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25">
      <c r="A13" t="s">
        <v>67</v>
      </c>
      <c r="B13" t="s">
        <v>119</v>
      </c>
      <c r="C13">
        <v>1</v>
      </c>
      <c r="D13" t="s">
        <v>116</v>
      </c>
      <c r="E13" t="s">
        <v>108</v>
      </c>
      <c r="F13" t="s">
        <v>91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Unnamed ProjectResource E.ScheduledUtilizationScheduled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67</v>
      </c>
      <c r="B14" t="s">
        <v>119</v>
      </c>
      <c r="C14">
        <v>1</v>
      </c>
      <c r="D14" t="s">
        <v>117</v>
      </c>
      <c r="E14" t="s">
        <v>104</v>
      </c>
      <c r="F14" t="s">
        <v>118</v>
      </c>
      <c r="G14">
        <v>100</v>
      </c>
      <c r="H14">
        <v>0</v>
      </c>
      <c r="I14" t="str">
        <f>OutputTable[[#This Row],[ProjectName]]&amp;OutputTable[[#This Row],[Name]]&amp;OutputTable[[#This Row],[Type]]&amp;OutputTable[[#This Row],[Source]]</f>
        <v>Unnamed ProjectSystem.NumberOutNumber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100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100</v>
      </c>
      <c r="P14" cm="1">
        <f t="array" ref="P14">MAX(IF((OutputTable[GroupByKey]=OutputTable[[#This Row],[GroupByKey]]),(OutputTable[GroupByKey]=OutputTable[[#This Row],[GroupByKey]])*OutputTable[RecordedValue]))</f>
        <v>100</v>
      </c>
    </row>
  </sheetData>
  <phoneticPr fontId="2" type="noConversion"/>
  <conditionalFormatting sqref="I2:P14">
    <cfRule type="expression" dxfId="10" priority="2">
      <formula>MOD(ROW(),2)=0</formula>
    </cfRule>
  </conditionalFormatting>
  <conditionalFormatting sqref="N2:N14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Du Zhiyuan</cp:lastModifiedBy>
  <cp:lastPrinted>2022-03-22T10:33:10Z</cp:lastPrinted>
  <dcterms:created xsi:type="dcterms:W3CDTF">2020-06-29T21:30:31Z</dcterms:created>
  <dcterms:modified xsi:type="dcterms:W3CDTF">2025-02-17T00:56:52Z</dcterms:modified>
</cp:coreProperties>
</file>