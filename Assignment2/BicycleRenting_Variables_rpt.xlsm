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zhiyuan\Documents\masters\new_cs5233\CS5233_Simulation\Assignment2\"/>
    </mc:Choice>
  </mc:AlternateContent>
  <xr:revisionPtr revIDLastSave="0" documentId="13_ncr:1_{1215CF83-6939-4016-9AD8-CDF339CBF468}" xr6:coauthVersionLast="47" xr6:coauthVersionMax="47" xr10:uidLastSave="{00000000-0000-0000-0000-000000000000}"/>
  <bookViews>
    <workbookView xWindow="2606" yWindow="2606" windowWidth="20571" windowHeight="1202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ContinuousTimeStatsByRep!$A$1:$L$19</definedName>
    <definedName name="ExternalData_1" localSheetId="4" hidden="1">CounterStatsByRep!$A$1:$G$2</definedName>
    <definedName name="ExternalData_1" localSheetId="2" hidden="1">DiscreteTimeStatsByRep!$A$1:$K$29</definedName>
    <definedName name="ExternalData_1" localSheetId="6" hidden="1">FrequencyStatsByRep!$A$1:$J$2</definedName>
    <definedName name="ExternalData_1" localSheetId="5" hidden="1">OutputStatsByRep!$A$1:$H$7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L6" i="20" s="1" a="1"/>
  <c r="L6" i="20" s="1"/>
  <c r="I7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/>
  <c r="N16" i="18" a="1"/>
  <c r="N16" i="18" s="1"/>
  <c r="N17" i="18" a="1"/>
  <c r="N17" i="18" s="1"/>
  <c r="N18" i="18" a="1"/>
  <c r="N18" i="18" s="1"/>
  <c r="N19" i="18" a="1"/>
  <c r="N19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/>
  <c r="Q18" i="18" a="1"/>
  <c r="Q18" i="18" s="1"/>
  <c r="Q19" i="18" a="1"/>
  <c r="Q19" i="18" s="1"/>
  <c r="L2" i="17"/>
  <c r="L4" i="17"/>
  <c r="L6" i="17"/>
  <c r="L8" i="17"/>
  <c r="L10" i="17"/>
  <c r="L12" i="17"/>
  <c r="L14" i="17"/>
  <c r="L16" i="17"/>
  <c r="L18" i="17"/>
  <c r="L19" i="17"/>
  <c r="L20" i="17"/>
  <c r="L21" i="17"/>
  <c r="L22" i="17"/>
  <c r="L23" i="17"/>
  <c r="S23" i="17" s="1" a="1"/>
  <c r="S23" i="17" s="1"/>
  <c r="L3" i="17"/>
  <c r="L5" i="17"/>
  <c r="L7" i="17"/>
  <c r="L9" i="17"/>
  <c r="L11" i="17"/>
  <c r="L13" i="17"/>
  <c r="L15" i="17"/>
  <c r="L17" i="17"/>
  <c r="L24" i="17"/>
  <c r="L25" i="17"/>
  <c r="V25" i="17" s="1" a="1"/>
  <c r="V25" i="17" s="1"/>
  <c r="L26" i="17"/>
  <c r="T26" i="17" s="1" a="1"/>
  <c r="T26" i="17" s="1"/>
  <c r="L27" i="17"/>
  <c r="T27" i="17" s="1" a="1"/>
  <c r="T27" i="17" s="1"/>
  <c r="L28" i="17"/>
  <c r="L29" i="17"/>
  <c r="O29" i="17" s="1" a="1"/>
  <c r="O29" i="17" s="1"/>
  <c r="M2" i="17" a="1"/>
  <c r="M2" i="17" s="1"/>
  <c r="M4" i="17" a="1"/>
  <c r="M4" i="17"/>
  <c r="M6" i="17" a="1"/>
  <c r="M6" i="17" s="1"/>
  <c r="M8" i="17" a="1"/>
  <c r="M8" i="17" s="1"/>
  <c r="M10" i="17" a="1"/>
  <c r="M10" i="17" s="1"/>
  <c r="M12" i="17" a="1"/>
  <c r="M12" i="17" s="1"/>
  <c r="M14" i="17" a="1"/>
  <c r="M14" i="17" s="1"/>
  <c r="M16" i="17" a="1"/>
  <c r="M16" i="17" s="1"/>
  <c r="M18" i="17" a="1"/>
  <c r="M18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3" i="17" a="1"/>
  <c r="M3" i="17" s="1"/>
  <c r="M5" i="17" a="1"/>
  <c r="M5" i="17" s="1"/>
  <c r="M7" i="17" a="1"/>
  <c r="M7" i="17" s="1"/>
  <c r="M9" i="17" a="1"/>
  <c r="M9" i="17" s="1"/>
  <c r="M11" i="17" a="1"/>
  <c r="M11" i="17"/>
  <c r="M13" i="17" a="1"/>
  <c r="M13" i="17" s="1"/>
  <c r="M15" i="17" a="1"/>
  <c r="M15" i="17" s="1"/>
  <c r="M17" i="17" a="1"/>
  <c r="M17" i="17" s="1"/>
  <c r="M24" i="17" a="1"/>
  <c r="M24" i="17" s="1"/>
  <c r="M25" i="17" a="1"/>
  <c r="M25" i="17" s="1"/>
  <c r="M26" i="17" a="1"/>
  <c r="M26" i="17"/>
  <c r="M27" i="17" a="1"/>
  <c r="M27" i="17" s="1"/>
  <c r="M28" i="17" a="1"/>
  <c r="M28" i="17" s="1"/>
  <c r="M29" i="17" a="1"/>
  <c r="M29" i="17" s="1"/>
  <c r="O6" i="17" a="1"/>
  <c r="O6" i="17" s="1"/>
  <c r="O17" i="17" a="1"/>
  <c r="O17" i="17" s="1"/>
  <c r="P2" i="17" a="1"/>
  <c r="P2" i="17" s="1"/>
  <c r="P4" i="17" a="1"/>
  <c r="P4" i="17" s="1"/>
  <c r="P6" i="17" a="1"/>
  <c r="P6" i="17" s="1"/>
  <c r="P8" i="17" a="1"/>
  <c r="P8" i="17" s="1"/>
  <c r="P10" i="17" a="1"/>
  <c r="P10" i="17" s="1"/>
  <c r="P12" i="17" a="1"/>
  <c r="P12" i="17" s="1"/>
  <c r="P14" i="17" a="1"/>
  <c r="P14" i="17" s="1"/>
  <c r="P16" i="17" a="1"/>
  <c r="P16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3" i="17" a="1"/>
  <c r="P3" i="17" s="1"/>
  <c r="P5" i="17" a="1"/>
  <c r="P5" i="17" s="1"/>
  <c r="P7" i="17" a="1"/>
  <c r="P7" i="17" s="1"/>
  <c r="P9" i="17" a="1"/>
  <c r="P9" i="17" s="1"/>
  <c r="P11" i="17" a="1"/>
  <c r="P11" i="17" s="1"/>
  <c r="P13" i="17" a="1"/>
  <c r="P13" i="17" s="1"/>
  <c r="P15" i="17" a="1"/>
  <c r="P15" i="17" s="1"/>
  <c r="P17" i="17" a="1"/>
  <c r="P17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R23" i="17" a="1"/>
  <c r="R23" i="17" s="1"/>
  <c r="S4" i="17" a="1"/>
  <c r="S4" i="17" s="1"/>
  <c r="S10" i="17" a="1"/>
  <c r="S10" i="17" s="1"/>
  <c r="S12" i="17" a="1"/>
  <c r="S12" i="17" s="1"/>
  <c r="T4" i="17" a="1"/>
  <c r="T4" i="17" s="1"/>
  <c r="T18" i="17" a="1"/>
  <c r="T18" i="17" s="1"/>
  <c r="T19" i="17" a="1"/>
  <c r="T19" i="17" s="1"/>
  <c r="T7" i="17" a="1"/>
  <c r="T7" i="17" s="1"/>
  <c r="T9" i="17" a="1"/>
  <c r="T9" i="17" s="1"/>
  <c r="T11" i="17" a="1"/>
  <c r="T11" i="17" s="1"/>
  <c r="T13" i="17" a="1"/>
  <c r="T13" i="17" s="1"/>
  <c r="U19" i="17" a="1"/>
  <c r="U19" i="17" s="1"/>
  <c r="U22" i="17" a="1"/>
  <c r="U22" i="17" s="1"/>
  <c r="U23" i="17" a="1"/>
  <c r="U23" i="17" s="1"/>
  <c r="U3" i="17" a="1"/>
  <c r="U3" i="17" s="1"/>
  <c r="U13" i="17" a="1"/>
  <c r="U13" i="17" s="1"/>
  <c r="U15" i="17" a="1"/>
  <c r="U15" i="17" s="1"/>
  <c r="U17" i="17" a="1"/>
  <c r="U17" i="17" s="1"/>
  <c r="U24" i="17" a="1"/>
  <c r="U24" i="17" s="1"/>
  <c r="U25" i="17" a="1"/>
  <c r="U25" i="17" s="1"/>
  <c r="V19" i="17" a="1"/>
  <c r="V19" i="17" s="1"/>
  <c r="V20" i="17" a="1"/>
  <c r="V20" i="17" s="1"/>
  <c r="V21" i="17" a="1"/>
  <c r="V21" i="17" s="1"/>
  <c r="V22" i="17" a="1"/>
  <c r="V22" i="17" s="1"/>
  <c r="V23" i="17" a="1"/>
  <c r="V23" i="17" s="1"/>
  <c r="V3" i="17" a="1"/>
  <c r="V3" i="17" s="1"/>
  <c r="V7" i="17" a="1"/>
  <c r="V7" i="17" s="1"/>
  <c r="V9" i="17" a="1"/>
  <c r="V9" i="17" s="1"/>
  <c r="V11" i="17" a="1"/>
  <c r="V11" i="17" s="1"/>
  <c r="V28" i="17" a="1"/>
  <c r="V28" i="17" s="1"/>
  <c r="V29" i="17" a="1"/>
  <c r="V29" i="17" s="1"/>
  <c r="X2" i="17" a="1"/>
  <c r="X2" i="17" s="1"/>
  <c r="X4" i="17" a="1"/>
  <c r="X4" i="17" s="1"/>
  <c r="X6" i="17" a="1"/>
  <c r="X6" i="17" s="1"/>
  <c r="X10" i="17" a="1"/>
  <c r="X10" i="17" s="1"/>
  <c r="X12" i="17" a="1"/>
  <c r="X12" i="17" s="1"/>
  <c r="X14" i="17" a="1"/>
  <c r="X14" i="17" s="1"/>
  <c r="X18" i="17" a="1"/>
  <c r="X18" i="17" s="1"/>
  <c r="X19" i="17" a="1"/>
  <c r="X19" i="17" s="1"/>
  <c r="X20" i="17" a="1"/>
  <c r="X20" i="17" s="1"/>
  <c r="X21" i="17" a="1"/>
  <c r="X21" i="17" s="1"/>
  <c r="X22" i="17" a="1"/>
  <c r="X22" i="17" s="1"/>
  <c r="X5" i="17" a="1"/>
  <c r="X5" i="17" s="1"/>
  <c r="X7" i="17" a="1"/>
  <c r="X7" i="17" s="1"/>
  <c r="X9" i="17" a="1"/>
  <c r="X9" i="17" s="1"/>
  <c r="X11" i="17" a="1"/>
  <c r="X11" i="17" s="1"/>
  <c r="Y11" i="17" s="1"/>
  <c r="X15" i="17" a="1"/>
  <c r="X15" i="17" s="1"/>
  <c r="X17" i="17" a="1"/>
  <c r="X17" i="17" s="1"/>
  <c r="X24" i="17" a="1"/>
  <c r="X24" i="17" s="1"/>
  <c r="X26" i="17" a="1"/>
  <c r="X26" i="17" s="1"/>
  <c r="X27" i="17" a="1"/>
  <c r="X27" i="17" s="1"/>
  <c r="X28" i="17" a="1"/>
  <c r="X28" i="17" s="1"/>
  <c r="X29" i="17" a="1"/>
  <c r="X29" i="17" s="1"/>
  <c r="G2" i="16"/>
  <c r="N6" i="20" l="1"/>
  <c r="O4" i="20" a="1"/>
  <c r="O4" i="20" s="1"/>
  <c r="L3" i="20" a="1"/>
  <c r="L3" i="20" s="1"/>
  <c r="N3" i="20"/>
  <c r="L2" i="20" a="1"/>
  <c r="L2" i="20" s="1"/>
  <c r="N2" i="20" s="1"/>
  <c r="O6" i="20" a="1"/>
  <c r="O6" i="20" s="1"/>
  <c r="P5" i="20" a="1"/>
  <c r="P5" i="20" s="1"/>
  <c r="P4" i="20" a="1"/>
  <c r="P4" i="20" s="1"/>
  <c r="K6" i="20" a="1"/>
  <c r="K6" i="20" s="1"/>
  <c r="P3" i="20" a="1"/>
  <c r="P3" i="20" s="1"/>
  <c r="O2" i="20" a="1"/>
  <c r="O2" i="20" s="1"/>
  <c r="O3" i="20" a="1"/>
  <c r="O3" i="20" s="1"/>
  <c r="L7" i="20" a="1"/>
  <c r="L7" i="20" s="1"/>
  <c r="N7" i="20" s="1"/>
  <c r="K5" i="20" a="1"/>
  <c r="K5" i="20" s="1"/>
  <c r="P2" i="20" a="1"/>
  <c r="P2" i="20" s="1"/>
  <c r="K7" i="20" a="1"/>
  <c r="K7" i="20" s="1"/>
  <c r="O7" i="20" a="1"/>
  <c r="O7" i="20" s="1"/>
  <c r="K4" i="20" a="1"/>
  <c r="K4" i="20" s="1"/>
  <c r="K3" i="20" a="1"/>
  <c r="K3" i="20" s="1"/>
  <c r="P7" i="20" a="1"/>
  <c r="P7" i="20" s="1"/>
  <c r="L4" i="20" a="1"/>
  <c r="L4" i="20" s="1"/>
  <c r="N4" i="20" s="1"/>
  <c r="L5" i="20" a="1"/>
  <c r="L5" i="20" s="1"/>
  <c r="N5" i="20" s="1"/>
  <c r="O5" i="20" a="1"/>
  <c r="O5" i="20" s="1"/>
  <c r="K2" i="20" a="1"/>
  <c r="K2" i="20" s="1"/>
  <c r="P6" i="20" a="1"/>
  <c r="P6" i="20" s="1"/>
  <c r="O11" i="18" a="1"/>
  <c r="O11" i="18" s="1"/>
  <c r="P13" i="18" a="1"/>
  <c r="P13" i="18" s="1"/>
  <c r="R13" i="18" s="1"/>
  <c r="U13" i="18" s="1"/>
  <c r="O7" i="18" a="1"/>
  <c r="O7" i="18" s="1"/>
  <c r="T7" i="18" a="1"/>
  <c r="T7" i="18" s="1"/>
  <c r="T6" i="18" a="1"/>
  <c r="T6" i="18" s="1"/>
  <c r="S16" i="18" a="1"/>
  <c r="S16" i="18" s="1"/>
  <c r="P5" i="18" a="1"/>
  <c r="P5" i="18" s="1"/>
  <c r="R5" i="18" s="1"/>
  <c r="U5" i="18" s="1"/>
  <c r="O15" i="18" a="1"/>
  <c r="O15" i="18" s="1"/>
  <c r="P12" i="18" a="1"/>
  <c r="P12" i="18" s="1"/>
  <c r="R12" i="18" s="1"/>
  <c r="U12" i="18" s="1"/>
  <c r="P4" i="18" a="1"/>
  <c r="P4" i="18" s="1"/>
  <c r="R4" i="18" s="1"/>
  <c r="U4" i="18" s="1"/>
  <c r="O14" i="18" a="1"/>
  <c r="O14" i="18" s="1"/>
  <c r="O6" i="18" a="1"/>
  <c r="O6" i="18" s="1"/>
  <c r="S14" i="18" a="1"/>
  <c r="S14" i="18" s="1"/>
  <c r="P19" i="18" a="1"/>
  <c r="P19" i="18" s="1"/>
  <c r="R19" i="18" s="1"/>
  <c r="U19" i="18" s="1"/>
  <c r="P3" i="18" a="1"/>
  <c r="P3" i="18" s="1"/>
  <c r="R3" i="18" s="1"/>
  <c r="U3" i="18" s="1"/>
  <c r="O13" i="18" a="1"/>
  <c r="O13" i="18" s="1"/>
  <c r="T13" i="18" a="1"/>
  <c r="T13" i="18" s="1"/>
  <c r="S6" i="18" a="1"/>
  <c r="S6" i="18" s="1"/>
  <c r="P11" i="18" a="1"/>
  <c r="P11" i="18" s="1"/>
  <c r="R11" i="18" s="1"/>
  <c r="U11" i="18" s="1"/>
  <c r="O5" i="18" a="1"/>
  <c r="O5" i="18" s="1"/>
  <c r="T11" i="18" a="1"/>
  <c r="T11" i="18" s="1"/>
  <c r="S5" i="18" a="1"/>
  <c r="S5" i="18" s="1"/>
  <c r="P10" i="18" a="1"/>
  <c r="P10" i="18" s="1"/>
  <c r="R10" i="18" s="1"/>
  <c r="U10" i="18" s="1"/>
  <c r="O12" i="18" a="1"/>
  <c r="O12" i="18" s="1"/>
  <c r="T3" i="18" a="1"/>
  <c r="T3" i="18" s="1"/>
  <c r="S13" i="18" a="1"/>
  <c r="S13" i="18" s="1"/>
  <c r="P18" i="18" a="1"/>
  <c r="P18" i="18" s="1"/>
  <c r="R18" i="18" s="1"/>
  <c r="U18" i="18" s="1"/>
  <c r="P2" i="18" a="1"/>
  <c r="P2" i="18" s="1"/>
  <c r="R2" i="18" s="1"/>
  <c r="U2" i="18" s="1"/>
  <c r="O4" i="18" a="1"/>
  <c r="O4" i="18" s="1"/>
  <c r="T10" i="18" a="1"/>
  <c r="T10" i="18" s="1"/>
  <c r="S4" i="18" a="1"/>
  <c r="S4" i="18" s="1"/>
  <c r="P17" i="18" a="1"/>
  <c r="P17" i="18" s="1"/>
  <c r="R17" i="18" s="1"/>
  <c r="U17" i="18" s="1"/>
  <c r="O19" i="18" a="1"/>
  <c r="O19" i="18" s="1"/>
  <c r="O3" i="18" a="1"/>
  <c r="O3" i="18" s="1"/>
  <c r="S15" i="18" a="1"/>
  <c r="S15" i="18" s="1"/>
  <c r="T18" i="18" a="1"/>
  <c r="T18" i="18" s="1"/>
  <c r="S12" i="18" a="1"/>
  <c r="S12" i="18" s="1"/>
  <c r="P9" i="18" a="1"/>
  <c r="P9" i="18" s="1"/>
  <c r="R9" i="18" s="1"/>
  <c r="U9" i="18" s="1"/>
  <c r="T4" i="18" a="1"/>
  <c r="T4" i="18" s="1"/>
  <c r="T17" i="18" a="1"/>
  <c r="T17" i="18" s="1"/>
  <c r="S19" i="18" a="1"/>
  <c r="S19" i="18" s="1"/>
  <c r="S3" i="18" a="1"/>
  <c r="S3" i="18" s="1"/>
  <c r="P8" i="18" a="1"/>
  <c r="P8" i="18" s="1"/>
  <c r="R8" i="18" s="1"/>
  <c r="U8" i="18" s="1"/>
  <c r="O10" i="18" a="1"/>
  <c r="O10" i="18" s="1"/>
  <c r="T12" i="18" a="1"/>
  <c r="T12" i="18" s="1"/>
  <c r="T2" i="18" a="1"/>
  <c r="T2" i="18" s="1"/>
  <c r="T9" i="18" a="1"/>
  <c r="T9" i="18" s="1"/>
  <c r="S11" i="18" a="1"/>
  <c r="S11" i="18" s="1"/>
  <c r="P16" i="18" a="1"/>
  <c r="P16" i="18" s="1"/>
  <c r="R16" i="18" s="1"/>
  <c r="U16" i="18" s="1"/>
  <c r="O18" i="18" a="1"/>
  <c r="O18" i="18" s="1"/>
  <c r="O2" i="18" a="1"/>
  <c r="O2" i="18" s="1"/>
  <c r="T19" i="18" a="1"/>
  <c r="T19" i="18" s="1"/>
  <c r="T16" i="18" a="1"/>
  <c r="T16" i="18" s="1"/>
  <c r="S18" i="18" a="1"/>
  <c r="S18" i="18" s="1"/>
  <c r="S2" i="18" a="1"/>
  <c r="S2" i="18" s="1"/>
  <c r="P15" i="18" a="1"/>
  <c r="P15" i="18" s="1"/>
  <c r="R15" i="18" s="1"/>
  <c r="U15" i="18" s="1"/>
  <c r="P7" i="18" a="1"/>
  <c r="P7" i="18" s="1"/>
  <c r="R7" i="18" s="1"/>
  <c r="U7" i="18" s="1"/>
  <c r="O9" i="18" a="1"/>
  <c r="O9" i="18" s="1"/>
  <c r="S7" i="18" a="1"/>
  <c r="S7" i="18" s="1"/>
  <c r="T8" i="18" a="1"/>
  <c r="T8" i="18" s="1"/>
  <c r="S10" i="18" a="1"/>
  <c r="S10" i="18" s="1"/>
  <c r="O17" i="18" a="1"/>
  <c r="O17" i="18" s="1"/>
  <c r="T15" i="18" a="1"/>
  <c r="T15" i="18" s="1"/>
  <c r="S17" i="18" a="1"/>
  <c r="S17" i="18" s="1"/>
  <c r="P6" i="18" a="1"/>
  <c r="P6" i="18" s="1"/>
  <c r="R6" i="18" s="1"/>
  <c r="U6" i="18" s="1"/>
  <c r="O8" i="18" a="1"/>
  <c r="O8" i="18" s="1"/>
  <c r="S9" i="18" a="1"/>
  <c r="S9" i="18" s="1"/>
  <c r="P14" i="18" a="1"/>
  <c r="P14" i="18" s="1"/>
  <c r="R14" i="18" s="1"/>
  <c r="U14" i="18" s="1"/>
  <c r="O16" i="18" a="1"/>
  <c r="O16" i="18" s="1"/>
  <c r="T5" i="18" a="1"/>
  <c r="T5" i="18" s="1"/>
  <c r="T14" i="18" a="1"/>
  <c r="T14" i="18" s="1"/>
  <c r="S8" i="18" a="1"/>
  <c r="S8" i="18" s="1"/>
  <c r="N5" i="17" a="1"/>
  <c r="N5" i="17" s="1"/>
  <c r="O24" i="17" a="1"/>
  <c r="O24" i="17" s="1"/>
  <c r="O22" i="17" a="1"/>
  <c r="O22" i="17" s="1"/>
  <c r="O21" i="17" a="1"/>
  <c r="O21" i="17" s="1"/>
  <c r="O28" i="17" a="1"/>
  <c r="O28" i="17" s="1"/>
  <c r="O20" i="17" a="1"/>
  <c r="O20" i="17" s="1"/>
  <c r="Y28" i="17"/>
  <c r="T12" i="17" a="1"/>
  <c r="T12" i="17" s="1"/>
  <c r="T6" i="17" a="1"/>
  <c r="T6" i="17" s="1"/>
  <c r="V18" i="17" a="1"/>
  <c r="V18" i="17" s="1"/>
  <c r="U16" i="17" a="1"/>
  <c r="U16" i="17" s="1"/>
  <c r="T2" i="17" a="1"/>
  <c r="T2" i="17" s="1"/>
  <c r="Y18" i="17"/>
  <c r="V16" i="17" a="1"/>
  <c r="V16" i="17" s="1"/>
  <c r="U14" i="17" a="1"/>
  <c r="U14" i="17" s="1"/>
  <c r="S17" i="17" a="1"/>
  <c r="S17" i="17" s="1"/>
  <c r="V6" i="17" a="1"/>
  <c r="V6" i="17" s="1"/>
  <c r="U12" i="17" a="1"/>
  <c r="U12" i="17" s="1"/>
  <c r="S15" i="17" a="1"/>
  <c r="S15" i="17" s="1"/>
  <c r="U10" i="17" a="1"/>
  <c r="U10" i="17" s="1"/>
  <c r="S13" i="17" a="1"/>
  <c r="S13" i="17" s="1"/>
  <c r="O8" i="17" a="1"/>
  <c r="O8" i="17" s="1"/>
  <c r="V27" i="17" a="1"/>
  <c r="V27" i="17" s="1"/>
  <c r="S9" i="17" a="1"/>
  <c r="S9" i="17" s="1"/>
  <c r="X3" i="17" a="1"/>
  <c r="X3" i="17" s="1"/>
  <c r="V2" i="17" a="1"/>
  <c r="V2" i="17" s="1"/>
  <c r="S3" i="17" a="1"/>
  <c r="S3" i="17" s="1"/>
  <c r="V4" i="17" a="1"/>
  <c r="V4" i="17" s="1"/>
  <c r="V26" i="17" a="1"/>
  <c r="V26" i="17" s="1"/>
  <c r="X23" i="17" a="1"/>
  <c r="X23" i="17" s="1"/>
  <c r="U28" i="17" a="1"/>
  <c r="U28" i="17" s="1"/>
  <c r="V17" i="17" a="1"/>
  <c r="V17" i="17" s="1"/>
  <c r="U27" i="17" a="1"/>
  <c r="U27" i="17" s="1"/>
  <c r="T17" i="17" a="1"/>
  <c r="T17" i="17" s="1"/>
  <c r="S22" i="17" a="1"/>
  <c r="S22" i="17" s="1"/>
  <c r="Y7" i="17"/>
  <c r="Y2" i="17"/>
  <c r="U26" i="17" a="1"/>
  <c r="U26" i="17" s="1"/>
  <c r="U18" i="17" a="1"/>
  <c r="U18" i="17" s="1"/>
  <c r="T15" i="17" a="1"/>
  <c r="T15" i="17" s="1"/>
  <c r="T10" i="17" a="1"/>
  <c r="T10" i="17" s="1"/>
  <c r="S7" i="17" a="1"/>
  <c r="S7" i="17" s="1"/>
  <c r="S2" i="17" a="1"/>
  <c r="S2" i="17" s="1"/>
  <c r="R22" i="17" a="1"/>
  <c r="R22" i="17" s="1"/>
  <c r="O15" i="17" a="1"/>
  <c r="O15" i="17" s="1"/>
  <c r="O2" i="17" a="1"/>
  <c r="O2" i="17" s="1"/>
  <c r="T8" i="17" a="1"/>
  <c r="T8" i="17" s="1"/>
  <c r="S5" i="17" a="1"/>
  <c r="S5" i="17" s="1"/>
  <c r="R29" i="17" a="1"/>
  <c r="R29" i="17" s="1"/>
  <c r="R21" i="17" a="1"/>
  <c r="R21" i="17" s="1"/>
  <c r="O13" i="17" a="1"/>
  <c r="O13" i="17" s="1"/>
  <c r="N29" i="17" a="1"/>
  <c r="N29" i="17" s="1"/>
  <c r="N25" i="17" a="1"/>
  <c r="N25" i="17" s="1"/>
  <c r="R28" i="17" a="1"/>
  <c r="R28" i="17" s="1"/>
  <c r="R20" i="17" a="1"/>
  <c r="R20" i="17" s="1"/>
  <c r="O11" i="17" a="1"/>
  <c r="O11" i="17" s="1"/>
  <c r="N27" i="17" a="1"/>
  <c r="N27" i="17" s="1"/>
  <c r="R27" i="17" a="1"/>
  <c r="R27" i="17" s="1"/>
  <c r="R19" i="17" a="1"/>
  <c r="R19" i="17" s="1"/>
  <c r="O9" i="17" a="1"/>
  <c r="O9" i="17" s="1"/>
  <c r="N26" i="17" a="1"/>
  <c r="N26" i="17" s="1"/>
  <c r="R26" i="17" a="1"/>
  <c r="R26" i="17" s="1"/>
  <c r="R18" i="17" a="1"/>
  <c r="R18" i="17" s="1"/>
  <c r="O7" i="17" a="1"/>
  <c r="O7" i="17" s="1"/>
  <c r="N24" i="17" a="1"/>
  <c r="N24" i="17" s="1"/>
  <c r="U8" i="17" a="1"/>
  <c r="U8" i="17" s="1"/>
  <c r="T5" i="17" a="1"/>
  <c r="T5" i="17" s="1"/>
  <c r="S29" i="17" a="1"/>
  <c r="S29" i="17" s="1"/>
  <c r="S21" i="17" a="1"/>
  <c r="S21" i="17" s="1"/>
  <c r="R25" i="17" a="1"/>
  <c r="R25" i="17" s="1"/>
  <c r="R16" i="17" a="1"/>
  <c r="R16" i="17" s="1"/>
  <c r="O5" i="17" a="1"/>
  <c r="O5" i="17" s="1"/>
  <c r="N15" i="17" a="1"/>
  <c r="N15" i="17" s="1"/>
  <c r="Q28" i="17"/>
  <c r="W28" i="17" s="1"/>
  <c r="Y20" i="17"/>
  <c r="V24" i="17" a="1"/>
  <c r="V24" i="17" s="1"/>
  <c r="V14" i="17" a="1"/>
  <c r="V14" i="17" s="1"/>
  <c r="U11" i="17" a="1"/>
  <c r="U11" i="17" s="1"/>
  <c r="U6" i="17" a="1"/>
  <c r="U6" i="17" s="1"/>
  <c r="T3" i="17" a="1"/>
  <c r="T3" i="17" s="1"/>
  <c r="S28" i="17" a="1"/>
  <c r="S28" i="17" s="1"/>
  <c r="S20" i="17" a="1"/>
  <c r="S20" i="17" s="1"/>
  <c r="R24" i="17" a="1"/>
  <c r="R24" i="17" s="1"/>
  <c r="R14" i="17" a="1"/>
  <c r="R14" i="17" s="1"/>
  <c r="O23" i="17" a="1"/>
  <c r="O23" i="17" s="1"/>
  <c r="N13" i="17" a="1"/>
  <c r="N13" i="17" s="1"/>
  <c r="V12" i="17" a="1"/>
  <c r="V12" i="17" s="1"/>
  <c r="U9" i="17" a="1"/>
  <c r="U9" i="17" s="1"/>
  <c r="U4" i="17" a="1"/>
  <c r="U4" i="17" s="1"/>
  <c r="T23" i="17" a="1"/>
  <c r="T23" i="17" s="1"/>
  <c r="S27" i="17" a="1"/>
  <c r="S27" i="17" s="1"/>
  <c r="S19" i="17" a="1"/>
  <c r="S19" i="17" s="1"/>
  <c r="R17" i="17" a="1"/>
  <c r="R17" i="17" s="1"/>
  <c r="R12" i="17" a="1"/>
  <c r="R12" i="17" s="1"/>
  <c r="N9" i="17" a="1"/>
  <c r="N9" i="17" s="1"/>
  <c r="Y26" i="17"/>
  <c r="V15" i="17" a="1"/>
  <c r="V15" i="17" s="1"/>
  <c r="U7" i="17" a="1"/>
  <c r="U7" i="17" s="1"/>
  <c r="U2" i="17" a="1"/>
  <c r="U2" i="17" s="1"/>
  <c r="T22" i="17" a="1"/>
  <c r="T22" i="17" s="1"/>
  <c r="S26" i="17" a="1"/>
  <c r="S26" i="17" s="1"/>
  <c r="S18" i="17" a="1"/>
  <c r="S18" i="17" s="1"/>
  <c r="R15" i="17" a="1"/>
  <c r="R15" i="17" s="1"/>
  <c r="R10" i="17" a="1"/>
  <c r="R10" i="17" s="1"/>
  <c r="N7" i="17" a="1"/>
  <c r="N7" i="17" s="1"/>
  <c r="V10" i="17" a="1"/>
  <c r="V10" i="17" s="1"/>
  <c r="X25" i="17" a="1"/>
  <c r="X25" i="17" s="1"/>
  <c r="X16" i="17" a="1"/>
  <c r="X16" i="17" s="1"/>
  <c r="Y16" i="17" s="1"/>
  <c r="V13" i="17" a="1"/>
  <c r="V13" i="17" s="1"/>
  <c r="V8" i="17" a="1"/>
  <c r="V8" i="17" s="1"/>
  <c r="U5" i="17" a="1"/>
  <c r="U5" i="17" s="1"/>
  <c r="T29" i="17" a="1"/>
  <c r="T29" i="17" s="1"/>
  <c r="T21" i="17" a="1"/>
  <c r="T21" i="17" s="1"/>
  <c r="S25" i="17" a="1"/>
  <c r="S25" i="17" s="1"/>
  <c r="S16" i="17" a="1"/>
  <c r="S16" i="17" s="1"/>
  <c r="R13" i="17" a="1"/>
  <c r="R13" i="17" s="1"/>
  <c r="R8" i="17" a="1"/>
  <c r="R8" i="17" s="1"/>
  <c r="N3" i="17" a="1"/>
  <c r="N3" i="17" s="1"/>
  <c r="T28" i="17" a="1"/>
  <c r="T28" i="17" s="1"/>
  <c r="T20" i="17" a="1"/>
  <c r="T20" i="17" s="1"/>
  <c r="S24" i="17" a="1"/>
  <c r="S24" i="17" s="1"/>
  <c r="S14" i="17" a="1"/>
  <c r="S14" i="17" s="1"/>
  <c r="R11" i="17" a="1"/>
  <c r="R11" i="17" s="1"/>
  <c r="R6" i="17" a="1"/>
  <c r="R6" i="17" s="1"/>
  <c r="O18" i="17" a="1"/>
  <c r="O18" i="17" s="1"/>
  <c r="N14" i="17" a="1"/>
  <c r="N14" i="17" s="1"/>
  <c r="R9" i="17" a="1"/>
  <c r="R9" i="17" s="1"/>
  <c r="R4" i="17" a="1"/>
  <c r="R4" i="17" s="1"/>
  <c r="O27" i="17" a="1"/>
  <c r="O27" i="17" s="1"/>
  <c r="O16" i="17" a="1"/>
  <c r="O16" i="17" s="1"/>
  <c r="Q16" i="17" s="1"/>
  <c r="W16" i="17" s="1"/>
  <c r="R7" i="17" a="1"/>
  <c r="R7" i="17" s="1"/>
  <c r="R2" i="17" a="1"/>
  <c r="R2" i="17" s="1"/>
  <c r="O26" i="17" a="1"/>
  <c r="O26" i="17" s="1"/>
  <c r="O12" i="17" a="1"/>
  <c r="O12" i="17" s="1"/>
  <c r="X13" i="17" a="1"/>
  <c r="X13" i="17" s="1"/>
  <c r="Y13" i="17" s="1"/>
  <c r="Q13" i="17" s="1"/>
  <c r="W13" i="17" s="1"/>
  <c r="X8" i="17" a="1"/>
  <c r="X8" i="17" s="1"/>
  <c r="Y8" i="17" s="1"/>
  <c r="Q8" i="17" s="1"/>
  <c r="W8" i="17" s="1"/>
  <c r="V5" i="17" a="1"/>
  <c r="V5" i="17" s="1"/>
  <c r="U29" i="17" a="1"/>
  <c r="U29" i="17" s="1"/>
  <c r="U21" i="17" a="1"/>
  <c r="U21" i="17" s="1"/>
  <c r="T25" i="17" a="1"/>
  <c r="T25" i="17" s="1"/>
  <c r="T16" i="17" a="1"/>
  <c r="T16" i="17" s="1"/>
  <c r="S8" i="17" a="1"/>
  <c r="S8" i="17" s="1"/>
  <c r="R5" i="17" a="1"/>
  <c r="R5" i="17" s="1"/>
  <c r="O25" i="17" a="1"/>
  <c r="O25" i="17" s="1"/>
  <c r="O10" i="17" a="1"/>
  <c r="O10" i="17" s="1"/>
  <c r="Y6" i="17"/>
  <c r="Q6" i="17" s="1"/>
  <c r="W6" i="17" s="1"/>
  <c r="U20" i="17" a="1"/>
  <c r="U20" i="17" s="1"/>
  <c r="T24" i="17" a="1"/>
  <c r="T24" i="17" s="1"/>
  <c r="T14" i="17" a="1"/>
  <c r="T14" i="17" s="1"/>
  <c r="S11" i="17" a="1"/>
  <c r="S11" i="17" s="1"/>
  <c r="S6" i="17" a="1"/>
  <c r="S6" i="17" s="1"/>
  <c r="R3" i="17" a="1"/>
  <c r="R3" i="17" s="1"/>
  <c r="Y21" i="17"/>
  <c r="Q21" i="17" s="1"/>
  <c r="W21" i="17" s="1"/>
  <c r="Q20" i="17"/>
  <c r="W20" i="17" s="1"/>
  <c r="Y25" i="17"/>
  <c r="Q18" i="17"/>
  <c r="W18" i="17" s="1"/>
  <c r="Y24" i="17"/>
  <c r="Q24" i="17" s="1"/>
  <c r="W24" i="17"/>
  <c r="Y17" i="17"/>
  <c r="Q17" i="17" s="1"/>
  <c r="W17" i="17" s="1"/>
  <c r="Y15" i="17"/>
  <c r="Q15" i="17" s="1"/>
  <c r="W15" i="17" s="1"/>
  <c r="Y29" i="17"/>
  <c r="Q29" i="17" s="1"/>
  <c r="W29" i="17" s="1"/>
  <c r="Y12" i="17"/>
  <c r="Q12" i="17" s="1"/>
  <c r="W12" i="17" s="1"/>
  <c r="Y22" i="17"/>
  <c r="Q22" i="17" s="1"/>
  <c r="W22" i="17" s="1"/>
  <c r="Y14" i="17"/>
  <c r="Y10" i="17"/>
  <c r="Y5" i="17"/>
  <c r="Q5" i="17" s="1"/>
  <c r="W5" i="17" s="1"/>
  <c r="Y3" i="17"/>
  <c r="Q11" i="17"/>
  <c r="W11" i="17" s="1"/>
  <c r="Y23" i="17"/>
  <c r="Q23" i="17" s="1"/>
  <c r="W23" i="17" s="1"/>
  <c r="O4" i="17" a="1"/>
  <c r="O4" i="17" s="1"/>
  <c r="N17" i="17" a="1"/>
  <c r="N17" i="17" s="1"/>
  <c r="N23" i="17" a="1"/>
  <c r="N23" i="17" s="1"/>
  <c r="N12" i="17" a="1"/>
  <c r="N12" i="17" s="1"/>
  <c r="O19" i="17" a="1"/>
  <c r="O19" i="17" s="1"/>
  <c r="Y27" i="17"/>
  <c r="Y19" i="17"/>
  <c r="N10" i="17" a="1"/>
  <c r="N10" i="17" s="1"/>
  <c r="N22" i="17" a="1"/>
  <c r="N22" i="17" s="1"/>
  <c r="N8" i="17" a="1"/>
  <c r="N8" i="17" s="1"/>
  <c r="N21" i="17" a="1"/>
  <c r="N21" i="17" s="1"/>
  <c r="O14" i="17" a="1"/>
  <c r="O14" i="17" s="1"/>
  <c r="N28" i="17" a="1"/>
  <c r="N28" i="17" s="1"/>
  <c r="N6" i="17" a="1"/>
  <c r="N6" i="17" s="1"/>
  <c r="O3" i="17" a="1"/>
  <c r="O3" i="17" s="1"/>
  <c r="N11" i="17" a="1"/>
  <c r="N11" i="17" s="1"/>
  <c r="N20" i="17" a="1"/>
  <c r="N20" i="17" s="1"/>
  <c r="N4" i="17" a="1"/>
  <c r="N4" i="17" s="1"/>
  <c r="N19" i="17" a="1"/>
  <c r="N19" i="17" s="1"/>
  <c r="Y9" i="17"/>
  <c r="Q9" i="17" s="1"/>
  <c r="W9" i="17" s="1"/>
  <c r="Y4" i="17"/>
  <c r="N2" i="17" a="1"/>
  <c r="N2" i="17" s="1"/>
  <c r="N18" i="17" a="1"/>
  <c r="N18" i="17" s="1"/>
  <c r="N16" i="17" a="1"/>
  <c r="N16" i="17" s="1"/>
  <c r="Q26" i="17" l="1"/>
  <c r="W26" i="17" s="1"/>
  <c r="Q25" i="17"/>
  <c r="W25" i="17" s="1"/>
  <c r="Q10" i="17"/>
  <c r="W10" i="17" s="1"/>
  <c r="Q27" i="17"/>
  <c r="W27" i="17" s="1"/>
  <c r="Q2" i="17"/>
  <c r="W2" i="17" s="1"/>
  <c r="Q7" i="17"/>
  <c r="W7" i="17" s="1"/>
  <c r="Q19" i="17"/>
  <c r="W19" i="17" s="1"/>
  <c r="Q4" i="17"/>
  <c r="W4" i="17" s="1"/>
  <c r="Q3" i="17"/>
  <c r="W3" i="17" s="1"/>
  <c r="Q14" i="17"/>
  <c r="W14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zhiyuan\documents\masters\new_cs5233\cs5233_simulation\assignment2\bicyclerenting_variable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zhiyuan\documents\masters\new_cs5233\cs5233_simulation\assignment2\bicyclerenting_variable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zhiyuan\documents\masters\new_cs5233\cs5233_simulation\assignment2\bicyclerenting_variable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zhiyuan\documents\masters\new_cs5233\cs5233_simulation\assignment2\bicyclerenting_variable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zhiyuan\documents\masters\new_cs5233\cs5233_simulation\assignment2\bicyclerenting_variable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zhiyuan\documents\masters\new_cs5233\cs5233_simulation\assignment2\bicyclerenting_variable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<sst xmlns="http://schemas.openxmlformats.org/spreadsheetml/2006/main" count="500" uniqueCount="96">
  <si>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</si>
  <si>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</si>
  <si>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</si>
  <si>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</si>
  <si>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</si>
  <si>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</si>
  <si>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</si>
  <si>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</si>
  <si>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</si>
  <si>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</si>
  <si>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</si>
  <si>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</si>
  <si>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</si>
  <si>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</si>
  <si>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</si>
  <si>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</si>
  <si>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</si>
  <si>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</si>
  <si>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</si>
  <si>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</si>
  <si>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</si>
  <si>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</si>
  <si>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</si>
  <si>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</si>
  <si>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</si>
  <si>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</si>
  <si>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</si>
  <si>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</si>
  <si>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</si>
  <si>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</si>
  <si>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</si>
  <si>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</si>
  <si>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</si>
  <si>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</si>
  <si>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</si>
  <si>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</si>
  <si>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</si>
  <si>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</si>
  <si>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</si>
  <si>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</si>
  <si>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</si>
  <si>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</si>
  <si>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</si>
  <si>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</si>
  <si>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</si>
  <si>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</si>
  <si>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</si>
  <si>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</si>
  <si>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</si>
  <si>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</si>
  <si>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</si>
  <si>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</si>
  <si>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</si>
  <si>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</si>
  <si>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</si>
  <si>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</si>
  <si>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</si>
  <si>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</si>
  <si>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</si>
  <si>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</si>
  <si>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</si>
  <si>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</si>
  <si>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</si>
  <si>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</si>
  <si>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</si>
  <si>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</si>
  <si>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</si>
  <si>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</si>
  <si>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C:\Users\zhiyuan\Documents\masters\new_cs5233\CS5233_Simulation\Assignment2\BicycleRenting_Variables.p</t>
  </si>
  <si>
    <t>2025-03-21 18:50:29</t>
  </si>
  <si>
    <t>Queue Bicycle A.Queue</t>
  </si>
  <si>
    <t>Waiting Time</t>
  </si>
  <si>
    <t>Queue</t>
  </si>
  <si>
    <t>Queue Bicycle B.Queue</t>
  </si>
  <si>
    <t>Queue Bicycle C.Queue</t>
  </si>
  <si>
    <t>Queue Bicycle D.Queue</t>
  </si>
  <si>
    <t>Queue for Docking at A.Queue</t>
  </si>
  <si>
    <t>Queue for Docking at B.Queue</t>
  </si>
  <si>
    <t>Queue for Docking at C.Queue</t>
  </si>
  <si>
    <t>Queue for Docking at D.Queue</t>
  </si>
  <si>
    <t>Tourist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</si>
  <si>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</si>
  <si>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</si>
  <si>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</si>
  <si>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</si>
  <si>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</si>
  <si>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</si>
  <si>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</si>
  <si>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</si>
  <si>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</si>
  <si>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System.NumberOut</t>
  </si>
  <si>
    <t>Number Out</t>
  </si>
  <si>
    <t>System</t>
  </si>
  <si>
    <t>Tourist.NumberIn</t>
  </si>
  <si>
    <t>Number In</t>
  </si>
  <si>
    <t>Tourist.NumberOut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</si>
</sst>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7.785131249999" createdVersion="7" refreshedVersion="8" minRefreshableVersion="3" recordCount="28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2"/>
    </cacheField>
    <cacheField name="Name" numFmtId="0">
      <sharedItems containsBlank="1" count="108">
        <s v="Queue Bicycle A.Queue"/>
        <s v="Queue Bicycle B.Queue"/>
        <s v="Queue Bicycle C.Queue"/>
        <s v="Queue Bicycle D.Queue"/>
        <s v="Queue for Docking at A.Queue"/>
        <s v="Queue for Docking at B.Queue"/>
        <s v="Queue for Docking at C.Queue"/>
        <s v="Queue for Docking at D.Queue"/>
        <s v="Touris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486.166859181196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79.803458261490107"/>
    </cacheField>
    <cacheField name="Maximum" numFmtId="0">
      <sharedItems containsSemiMixedTypes="0" containsString="0" containsNumber="1" minValue="0" maxValue="1000.1369284262699"/>
    </cacheField>
    <cacheField name="NumberObservations" numFmtId="0">
      <sharedItems containsSemiMixedTypes="0" containsString="0" containsNumber="1" containsInteger="1" minValue="2517" maxValue="3551"/>
    </cacheField>
    <cacheField name="GroupByKey" numFmtId="0">
      <sharedItems/>
    </cacheField>
    <cacheField name="RepsRequested" numFmtId="0">
      <sharedItems containsSemiMixedTypes="0" containsString="0" containsNumber="1" containsInteger="1" minValue="2" maxValue="2"/>
    </cacheField>
    <cacheField name="AverageOfAverage" numFmtId="0">
      <sharedItems containsSemiMixedTypes="0" containsString="0" containsNumber="1" minValue="0" maxValue="369.75729800997499"/>
    </cacheField>
    <cacheField name="StDevOfAverage" numFmtId="0">
      <sharedItems containsSemiMixedTypes="0" containsString="0" containsNumber="1" minValue="0" maxValue="305.2713277473755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742.7540603791299"/>
    </cacheField>
    <cacheField name="MinimumAverage" numFmtId="0">
      <sharedItems containsSemiMixedTypes="0" containsString="0" containsNumber="1" minValue="0" maxValue="253.347736838754"/>
    </cacheField>
    <cacheField name="MaximumAverage" numFmtId="0">
      <sharedItems containsSemiMixedTypes="0" containsString="0" containsNumber="1" minValue="0" maxValue="486.166859181196"/>
    </cacheField>
    <cacheField name="OverallMinimum" numFmtId="0">
      <sharedItems containsSemiMixedTypes="0" containsString="0" containsNumber="1" minValue="0" maxValue="75.6310155470278"/>
    </cacheField>
    <cacheField name="OverallMaximum" numFmtId="0">
      <sharedItems containsSemiMixedTypes="0" containsString="0" containsNumber="1" minValue="0" maxValue="1000.1369284262699"/>
    </cacheField>
    <cacheField name="AverageNumberObservations" numFmtId="0">
      <sharedItems containsSemiMixedTypes="0" containsString="0" containsNumber="1" minValue="2609.5" maxValue="3432"/>
    </cacheField>
    <cacheField name="SummaryHalfWidth" numFmtId="0">
      <sharedItems containsSemiMixedTypes="0" containsString="0" containsNumber="1" minValue="0" maxValue="2742.7540603791299"/>
    </cacheField>
    <cacheField name="RepsWithStatObserved" numFmtId="0">
      <sharedItems containsSemiMixedTypes="0" containsString="0" containsNumber="1" containsInteger="1" minValue="2" maxValue="2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7.785131365737" createdVersion="7" refreshedVersion="8" minRefreshableVersion="3" recordCount="6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2"/>
    </cacheField>
    <cacheField name="Name" numFmtId="0">
      <sharedItems containsBlank="1" count="81">
        <s v="System.NumberOut"/>
        <s v="Tourist.NumberIn"/>
        <s v="Tourist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s v="Number In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System"/>
        <s v="Entity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3313" maxValue="366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2" maxValue="2"/>
    </cacheField>
    <cacheField name="Average" numFmtId="0">
      <sharedItems containsSemiMixedTypes="0" containsString="0" containsNumber="1" minValue="3432" maxValue="3603.5"/>
    </cacheField>
    <cacheField name="StandardDeviation" numFmtId="0">
      <sharedItems containsSemiMixedTypes="0" containsString="0" containsNumber="1" minValue="82.731493398826061" maxValue="168.2914139223983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743.31297706621956" maxValue="1512.0383636047884"/>
    </cacheField>
    <cacheField name="Minimum" numFmtId="0">
      <sharedItems containsSemiMixedTypes="0" containsString="0" containsNumber="1" containsInteger="1" minValue="3313" maxValue="3545"/>
    </cacheField>
    <cacheField name="Maximum" numFmtId="0">
      <sharedItems containsSemiMixedTypes="0" containsString="0" containsNumber="1" containsInteger="1" minValue="3551" maxValue="36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7.78513148148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7.785131481483" createdVersion="7" refreshedVersion="8" minRefreshableVersion="3" recordCount="18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2"/>
    </cacheField>
    <cacheField name="Name" numFmtId="0">
      <sharedItems containsBlank="1" count="133">
        <s v="Queue Bicycle A.Queue"/>
        <s v="Queue Bicycle B.Queue"/>
        <s v="Queue Bicycle C.Queue"/>
        <s v="Queue Bicycle D.Queue"/>
        <s v="Queue for Docking at A.Queue"/>
        <s v="Queue for Docking at B.Queue"/>
        <s v="Queue for Docking at C.Queue"/>
        <s v="Queue for Docking at D.Queue"/>
        <s v="Touris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m u="1"/>
        <s v="Number Scheduled" u="1"/>
        <s v="Number Busy" u="1"/>
        <s v="Levels" u="1"/>
        <s v="Instantaneous Utilization" u="1"/>
      </sharedItems>
    </cacheField>
    <cacheField name="Source" numFmtId="0">
      <sharedItems containsBlank="1" count="5">
        <s v="Queue"/>
        <s v="Entity"/>
        <m u="1"/>
        <s v="Resource" u="1"/>
        <s v="User Specified" u="1"/>
      </sharedItems>
    </cacheField>
    <cacheField name="Average" numFmtId="0">
      <sharedItems containsSemiMixedTypes="0" containsString="0" containsNumber="1" minValue="0" maxValue="168.281568825222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253"/>
    </cacheField>
    <cacheField name="LastRecordedValue" numFmtId="0">
      <sharedItems containsSemiMixedTypes="0" containsString="0" containsNumber="1" containsInteger="1" minValue="0" maxValue="23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2" maxValue="2"/>
    </cacheField>
    <cacheField name="AverageOfAverage" numFmtId="0">
      <sharedItems containsSemiMixedTypes="0" containsString="0" containsNumber="1" minValue="0" maxValue="129.56827485623495"/>
    </cacheField>
    <cacheField name="StDevOfAverage" numFmtId="0">
      <sharedItems containsSemiMixedTypes="0" containsString="0" containsNumber="1" minValue="0" maxValue="79.06892764392236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710.406129345556"/>
    </cacheField>
    <cacheField name="MinimumAverage" numFmtId="0">
      <sharedItems containsSemiMixedTypes="0" containsString="0" containsNumber="1" minValue="0" maxValue="90.854980887247905"/>
    </cacheField>
    <cacheField name="MaximumAverage" numFmtId="0">
      <sharedItems containsSemiMixedTypes="0" containsString="0" containsNumber="1" minValue="0" maxValue="168.281568825222"/>
    </cacheField>
    <cacheField name="SummaryHalfWidth" numFmtId="0">
      <sharedItems containsSemiMixedTypes="0" containsString="0" containsNumber="1" minValue="0" maxValue="710.4061293455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7.785131597222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s v="2025-03-21 18:50:29"/>
    <n v="1"/>
    <x v="0"/>
    <x v="0"/>
    <x v="0"/>
    <n v="0"/>
    <n v="0"/>
    <n v="0"/>
    <n v="0"/>
    <n v="2701"/>
    <s v="Unnamed ProjectQueue Bicycle A.QueueWaiting TimeQueue"/>
    <n v="2"/>
    <n v="1.4866344783015951E-3"/>
    <n v="2.1024186415055665E-3"/>
    <n v="0.95"/>
    <n v="1.8889482049156324E-2"/>
    <n v="0"/>
    <n v="2.9732689566031902E-3"/>
    <n v="0"/>
    <n v="2.8663658866025798"/>
    <n v="2689"/>
    <n v="1.8889482049156324E-2"/>
    <n v="2"/>
    <n v="1"/>
  </r>
  <r>
    <x v="0"/>
    <s v="2025-03-21 18:50:29"/>
    <n v="2"/>
    <x v="0"/>
    <x v="0"/>
    <x v="0"/>
    <n v="2.9732689566031902E-3"/>
    <n v="0"/>
    <n v="0"/>
    <n v="2.8663658866025798"/>
    <n v="2677"/>
    <s v="Unnamed ProjectQueue Bicycle A.QueueWaiting TimeQueue"/>
    <n v="2"/>
    <n v="1.4866344783015951E-3"/>
    <n v="2.1024186415055665E-3"/>
    <n v="0.95"/>
    <n v="1.8889482049156324E-2"/>
    <n v="0"/>
    <n v="2.9732689566031902E-3"/>
    <n v="0"/>
    <n v="2.8663658866025798"/>
    <n v="2689"/>
    <n v="1.8889482049156324E-2"/>
    <n v="2"/>
    <n v="1"/>
  </r>
  <r>
    <x v="0"/>
    <s v="2025-03-21 18:50:29"/>
    <n v="1"/>
    <x v="1"/>
    <x v="0"/>
    <x v="0"/>
    <n v="0"/>
    <n v="0"/>
    <n v="0"/>
    <n v="0"/>
    <n v="2712"/>
    <s v="Unnamed ProjectQueue Bicycle B.QueueWaiting TimeQueue"/>
    <n v="2"/>
    <n v="0"/>
    <n v="0"/>
    <n v="0.95"/>
    <n v="0"/>
    <n v="0"/>
    <n v="0"/>
    <n v="0"/>
    <n v="0"/>
    <n v="2615.5"/>
    <n v="0"/>
    <n v="2"/>
    <n v="1"/>
  </r>
  <r>
    <x v="0"/>
    <s v="2025-03-21 18:50:29"/>
    <n v="2"/>
    <x v="1"/>
    <x v="0"/>
    <x v="0"/>
    <n v="0"/>
    <n v="0"/>
    <n v="0"/>
    <n v="0"/>
    <n v="2519"/>
    <s v="Unnamed ProjectQueue Bicycle B.QueueWaiting TimeQueue"/>
    <n v="2"/>
    <n v="0"/>
    <n v="0"/>
    <n v="0.95"/>
    <n v="0"/>
    <n v="0"/>
    <n v="0"/>
    <n v="0"/>
    <n v="0"/>
    <n v="2615.5"/>
    <n v="0"/>
    <n v="2"/>
    <n v="1"/>
  </r>
  <r>
    <x v="0"/>
    <s v="2025-03-21 18:50:29"/>
    <n v="1"/>
    <x v="2"/>
    <x v="0"/>
    <x v="0"/>
    <n v="0"/>
    <n v="0"/>
    <n v="0"/>
    <n v="0"/>
    <n v="2734"/>
    <s v="Unnamed ProjectQueue Bicycle C.QueueWaiting TimeQueue"/>
    <n v="2"/>
    <n v="0.26473284999772151"/>
    <n v="0.37438878687245997"/>
    <n v="0.95"/>
    <n v="3.3637497924620736"/>
    <n v="0"/>
    <n v="0.52946569999544302"/>
    <n v="0"/>
    <n v="32.150731537010898"/>
    <n v="2631.5"/>
    <n v="3.3637497924620736"/>
    <n v="2"/>
    <n v="1"/>
  </r>
  <r>
    <x v="0"/>
    <s v="2025-03-21 18:50:29"/>
    <n v="2"/>
    <x v="2"/>
    <x v="0"/>
    <x v="0"/>
    <n v="0.52946569999544302"/>
    <n v="3E+20"/>
    <n v="0"/>
    <n v="32.150731537010898"/>
    <n v="2529"/>
    <s v="Unnamed ProjectQueue Bicycle C.QueueWaiting TimeQueue"/>
    <n v="2"/>
    <n v="0.26473284999772151"/>
    <n v="0.37438878687245997"/>
    <n v="0.95"/>
    <n v="3.3637497924620736"/>
    <n v="0"/>
    <n v="0.52946569999544302"/>
    <n v="0"/>
    <n v="32.150731537010898"/>
    <n v="2631.5"/>
    <n v="3.3637497924620736"/>
    <n v="2"/>
    <n v="1"/>
  </r>
  <r>
    <x v="0"/>
    <s v="2025-03-21 18:50:29"/>
    <n v="1"/>
    <x v="3"/>
    <x v="0"/>
    <x v="0"/>
    <n v="0"/>
    <n v="0"/>
    <n v="0"/>
    <n v="0"/>
    <n v="2744"/>
    <s v="Unnamed ProjectQueue Bicycle D.QueueWaiting TimeQueue"/>
    <n v="2"/>
    <n v="7.8906891675549504"/>
    <n v="11.159119637226679"/>
    <n v="0.95"/>
    <n v="100.26071207246906"/>
    <n v="0"/>
    <n v="15.781378335109901"/>
    <n v="0"/>
    <n v="147.42664324196599"/>
    <n v="2674.5"/>
    <n v="100.26071207246906"/>
    <n v="2"/>
    <n v="1"/>
  </r>
  <r>
    <x v="0"/>
    <s v="2025-03-21 18:50:29"/>
    <n v="2"/>
    <x v="3"/>
    <x v="0"/>
    <x v="0"/>
    <n v="15.781378335109901"/>
    <n v="3E+20"/>
    <n v="0"/>
    <n v="147.42664324196599"/>
    <n v="2605"/>
    <s v="Unnamed ProjectQueue Bicycle D.QueueWaiting TimeQueue"/>
    <n v="2"/>
    <n v="7.8906891675549504"/>
    <n v="11.159119637226679"/>
    <n v="0.95"/>
    <n v="100.26071207246906"/>
    <n v="0"/>
    <n v="15.781378335109901"/>
    <n v="0"/>
    <n v="147.42664324196599"/>
    <n v="2674.5"/>
    <n v="100.26071207246906"/>
    <n v="2"/>
    <n v="1"/>
  </r>
  <r>
    <x v="0"/>
    <s v="2025-03-21 18:50:29"/>
    <n v="1"/>
    <x v="4"/>
    <x v="0"/>
    <x v="0"/>
    <n v="60.0548749343655"/>
    <n v="3E+20"/>
    <n v="0"/>
    <n v="244.699025596468"/>
    <n v="2701"/>
    <s v="Unnamed ProjectQueue for Docking at A.QueueWaiting TimeQueue"/>
    <n v="2"/>
    <n v="32.699779596633789"/>
    <n v="38.685946826629205"/>
    <n v="0.95"/>
    <n v="347.57944193879695"/>
    <n v="5.3446842589020704"/>
    <n v="60.0548749343655"/>
    <n v="0"/>
    <n v="244.699025596468"/>
    <n v="2653"/>
    <n v="347.57944193879695"/>
    <n v="2"/>
    <n v="1"/>
  </r>
  <r>
    <x v="0"/>
    <s v="2025-03-21 18:50:29"/>
    <n v="2"/>
    <x v="4"/>
    <x v="0"/>
    <x v="0"/>
    <n v="5.3446842589020704"/>
    <n v="3E+20"/>
    <n v="0"/>
    <n v="98.344688457029207"/>
    <n v="2605"/>
    <s v="Unnamed ProjectQueue for Docking at A.QueueWaiting TimeQueue"/>
    <n v="2"/>
    <n v="32.699779596633789"/>
    <n v="38.685946826629205"/>
    <n v="0.95"/>
    <n v="347.57944193879695"/>
    <n v="5.3446842589020704"/>
    <n v="60.0548749343655"/>
    <n v="0"/>
    <n v="244.699025596468"/>
    <n v="2653"/>
    <n v="347.57944193879695"/>
    <n v="2"/>
    <n v="1"/>
  </r>
  <r>
    <x v="0"/>
    <s v="2025-03-21 18:50:29"/>
    <n v="1"/>
    <x v="5"/>
    <x v="0"/>
    <x v="0"/>
    <n v="11.4482158401373"/>
    <n v="10.7796958584434"/>
    <n v="0"/>
    <n v="134.91731097626001"/>
    <n v="2700"/>
    <s v="Unnamed ProjectQueue for Docking at B.QueueWaiting TimeQueue"/>
    <n v="2"/>
    <n v="227.30764179212767"/>
    <n v="305.27132774737555"/>
    <n v="0.95"/>
    <n v="2742.7540603791299"/>
    <n v="11.4482158401373"/>
    <n v="443.16706774411801"/>
    <n v="0"/>
    <n v="778.61496068340398"/>
    <n v="2609.5"/>
    <n v="2742.7540603791299"/>
    <n v="2"/>
    <n v="1"/>
  </r>
  <r>
    <x v="0"/>
    <s v="2025-03-21 18:50:29"/>
    <n v="2"/>
    <x v="5"/>
    <x v="0"/>
    <x v="0"/>
    <n v="443.16706774411801"/>
    <n v="3E+20"/>
    <n v="0"/>
    <n v="778.61496068340398"/>
    <n v="2519"/>
    <s v="Unnamed ProjectQueue for Docking at B.QueueWaiting TimeQueue"/>
    <n v="2"/>
    <n v="227.30764179212767"/>
    <n v="305.27132774737555"/>
    <n v="0.95"/>
    <n v="2742.7540603791299"/>
    <n v="11.4482158401373"/>
    <n v="443.16706774411801"/>
    <n v="0"/>
    <n v="778.61496068340398"/>
    <n v="2609.5"/>
    <n v="2742.7540603791299"/>
    <n v="2"/>
    <n v="1"/>
  </r>
  <r>
    <x v="0"/>
    <s v="2025-03-21 18:50:29"/>
    <n v="1"/>
    <x v="6"/>
    <x v="0"/>
    <x v="0"/>
    <n v="8.5131807890081497"/>
    <n v="6.8355710303807804"/>
    <n v="0"/>
    <n v="108.479049143764"/>
    <n v="2708"/>
    <s v="Unnamed ProjectQueue for Docking at C.QueueWaiting TimeQueue"/>
    <n v="2"/>
    <n v="4.7275835862235942"/>
    <n v="5.3536429058595694"/>
    <n v="0.95"/>
    <n v="48.100573107270776"/>
    <n v="0.94198638343903895"/>
    <n v="8.5131807890081497"/>
    <n v="0"/>
    <n v="108.479049143764"/>
    <n v="2612.5"/>
    <n v="48.100573107270776"/>
    <n v="2"/>
    <n v="1"/>
  </r>
  <r>
    <x v="0"/>
    <s v="2025-03-21 18:50:29"/>
    <n v="2"/>
    <x v="6"/>
    <x v="0"/>
    <x v="0"/>
    <n v="0.94198638343903895"/>
    <n v="3E+20"/>
    <n v="0"/>
    <n v="47.371696847495201"/>
    <n v="2517"/>
    <s v="Unnamed ProjectQueue for Docking at C.QueueWaiting TimeQueue"/>
    <n v="2"/>
    <n v="4.7275835862235942"/>
    <n v="5.3536429058595694"/>
    <n v="0.95"/>
    <n v="48.100573107270776"/>
    <n v="0.94198638343903895"/>
    <n v="8.5131807890081497"/>
    <n v="0"/>
    <n v="108.479049143764"/>
    <n v="2612.5"/>
    <n v="48.100573107270776"/>
    <n v="2"/>
    <n v="1"/>
  </r>
  <r>
    <x v="0"/>
    <s v="2025-03-21 18:50:29"/>
    <n v="1"/>
    <x v="7"/>
    <x v="0"/>
    <x v="0"/>
    <n v="69.220285491394307"/>
    <n v="3E+20"/>
    <n v="0"/>
    <n v="227.852142972206"/>
    <n v="2730"/>
    <s v="Unnamed ProjectQueue for Docking at D.QueueWaiting TimeQueue"/>
    <n v="2"/>
    <n v="34.732026932648196"/>
    <n v="48.773762996408728"/>
    <n v="0.95"/>
    <n v="438.21487424155725"/>
    <n v="0.243768373902089"/>
    <n v="69.220285491394307"/>
    <n v="0"/>
    <n v="227.852142972206"/>
    <n v="2627.5"/>
    <n v="438.21487424155725"/>
    <n v="2"/>
    <n v="1"/>
  </r>
  <r>
    <x v="0"/>
    <s v="2025-03-21 18:50:29"/>
    <n v="2"/>
    <x v="7"/>
    <x v="0"/>
    <x v="0"/>
    <n v="0.243768373902089"/>
    <n v="3E+20"/>
    <n v="0"/>
    <n v="21.7787575826374"/>
    <n v="2525"/>
    <s v="Unnamed ProjectQueue for Docking at D.QueueWaiting TimeQueue"/>
    <n v="2"/>
    <n v="34.732026932648196"/>
    <n v="48.773762996408728"/>
    <n v="0.95"/>
    <n v="438.21487424155725"/>
    <n v="0.243768373902089"/>
    <n v="69.220285491394307"/>
    <n v="0"/>
    <n v="227.852142972206"/>
    <n v="2627.5"/>
    <n v="438.21487424155725"/>
    <n v="2"/>
    <n v="1"/>
  </r>
  <r>
    <x v="0"/>
    <s v="2025-03-21 18:50:29"/>
    <n v="1"/>
    <x v="8"/>
    <x v="1"/>
    <x v="1"/>
    <n v="0"/>
    <n v="0"/>
    <n v="0"/>
    <n v="0"/>
    <n v="3551"/>
    <s v="Unnamed ProjectTouristNVA TimeEntity"/>
    <n v="2"/>
    <n v="0"/>
    <n v="0"/>
    <n v="0.95"/>
    <n v="0"/>
    <n v="0"/>
    <n v="0"/>
    <n v="0"/>
    <n v="0"/>
    <n v="3432"/>
    <n v="0"/>
    <n v="2"/>
    <n v="1"/>
  </r>
  <r>
    <x v="0"/>
    <s v="2025-03-21 18:50:29"/>
    <n v="1"/>
    <x v="8"/>
    <x v="2"/>
    <x v="1"/>
    <n v="120.463442956945"/>
    <n v="1.1216562221991699"/>
    <n v="64.305278892697601"/>
    <n v="187.13107854005801"/>
    <n v="3551"/>
    <s v="Unnamed ProjectTouristOther TimeEntity"/>
    <n v="2"/>
    <n v="119.837671772193"/>
    <n v="0.88497409641856406"/>
    <n v="0.95"/>
    <n v="7.9511767914575646"/>
    <n v="119.21190058744099"/>
    <n v="120.463442956945"/>
    <n v="55.773522793583801"/>
    <n v="187.13107854005801"/>
    <n v="3432"/>
    <n v="7.9511767914575646"/>
    <n v="2"/>
    <n v="1"/>
  </r>
  <r>
    <x v="0"/>
    <s v="2025-03-21 18:50:29"/>
    <n v="1"/>
    <x v="8"/>
    <x v="3"/>
    <x v="1"/>
    <n v="253.347736838754"/>
    <n v="3E+20"/>
    <n v="75.6310155470278"/>
    <n v="572.38878920866796"/>
    <n v="3551"/>
    <s v="Unnamed ProjectTouristTotal TimeEntity"/>
    <n v="2"/>
    <n v="369.75729800997499"/>
    <n v="164.62798019824118"/>
    <n v="0.95"/>
    <n v="1479.1237174897858"/>
    <n v="253.347736838754"/>
    <n v="486.166859181196"/>
    <n v="75.6310155470278"/>
    <n v="1000.1369284262699"/>
    <n v="3432"/>
    <n v="1479.1237174897858"/>
    <n v="2"/>
    <n v="1"/>
  </r>
  <r>
    <x v="0"/>
    <s v="2025-03-21 18:50:29"/>
    <n v="1"/>
    <x v="8"/>
    <x v="4"/>
    <x v="1"/>
    <n v="20.017531775239799"/>
    <n v="0.27700757195817199"/>
    <n v="6.0587796105337501"/>
    <n v="48.524443063083801"/>
    <n v="3551"/>
    <s v="Unnamed ProjectTouristTransfer TimeEntity"/>
    <n v="2"/>
    <n v="19.924537973385398"/>
    <n v="0.13151309579912826"/>
    <n v="0.95"/>
    <n v="1.1815982855572638"/>
    <n v="19.831544171531"/>
    <n v="20.017531775239799"/>
    <n v="6.0587796105337501"/>
    <n v="48.524443063083801"/>
    <n v="3432"/>
    <n v="1.1815982855572638"/>
    <n v="2"/>
    <n v="1"/>
  </r>
  <r>
    <x v="0"/>
    <s v="2025-03-21 18:50:29"/>
    <n v="1"/>
    <x v="8"/>
    <x v="5"/>
    <x v="1"/>
    <n v="0"/>
    <n v="0"/>
    <n v="0"/>
    <n v="0"/>
    <n v="3551"/>
    <s v="Unnamed ProjectTouristVA TimeEntity"/>
    <n v="2"/>
    <n v="0"/>
    <n v="0"/>
    <n v="0.95"/>
    <n v="0"/>
    <n v="0"/>
    <n v="0"/>
    <n v="0"/>
    <n v="0"/>
    <n v="3432"/>
    <n v="0"/>
    <n v="2"/>
    <n v="1"/>
  </r>
  <r>
    <x v="0"/>
    <s v="2025-03-21 18:50:29"/>
    <n v="1"/>
    <x v="8"/>
    <x v="6"/>
    <x v="1"/>
    <n v="112.866762106569"/>
    <n v="3E+20"/>
    <n v="0"/>
    <n v="370.34411742816798"/>
    <n v="3551"/>
    <s v="Unnamed ProjectTouristWait TimeEntity"/>
    <n v="2"/>
    <n v="229.99508826439651"/>
    <n v="165.64446739045906"/>
    <n v="0.95"/>
    <n v="1488.2564925668025"/>
    <n v="112.866762106569"/>
    <n v="347.12341442222402"/>
    <n v="0"/>
    <n v="815.30718653798601"/>
    <n v="3432"/>
    <n v="1488.2564925668025"/>
    <n v="2"/>
    <n v="1"/>
  </r>
  <r>
    <x v="0"/>
    <s v="2025-03-21 18:50:29"/>
    <n v="2"/>
    <x v="8"/>
    <x v="1"/>
    <x v="1"/>
    <n v="0"/>
    <n v="0"/>
    <n v="0"/>
    <n v="0"/>
    <n v="3313"/>
    <s v="Unnamed ProjectTouristNVA TimeEntity"/>
    <n v="2"/>
    <n v="0"/>
    <n v="0"/>
    <n v="0.95"/>
    <n v="0"/>
    <n v="0"/>
    <n v="0"/>
    <n v="0"/>
    <n v="0"/>
    <n v="3432"/>
    <n v="0"/>
    <n v="2"/>
    <n v="1"/>
  </r>
  <r>
    <x v="0"/>
    <s v="2025-03-21 18:50:29"/>
    <n v="2"/>
    <x v="8"/>
    <x v="2"/>
    <x v="1"/>
    <n v="119.21190058744099"/>
    <n v="0.72181149144446499"/>
    <n v="55.773522793583801"/>
    <n v="181.418476140097"/>
    <n v="3313"/>
    <s v="Unnamed ProjectTouristOther TimeEntity"/>
    <n v="2"/>
    <n v="119.837671772193"/>
    <n v="0.88497409641856406"/>
    <n v="0.95"/>
    <n v="7.9511767914575646"/>
    <n v="119.21190058744099"/>
    <n v="120.463442956945"/>
    <n v="55.773522793583801"/>
    <n v="187.13107854005801"/>
    <n v="3432"/>
    <n v="7.9511767914575646"/>
    <n v="2"/>
    <n v="1"/>
  </r>
  <r>
    <x v="0"/>
    <s v="2025-03-21 18:50:29"/>
    <n v="2"/>
    <x v="8"/>
    <x v="3"/>
    <x v="1"/>
    <n v="486.166859181196"/>
    <n v="3E+20"/>
    <n v="79.803458261490107"/>
    <n v="1000.1369284262699"/>
    <n v="3313"/>
    <s v="Unnamed ProjectTouristTotal TimeEntity"/>
    <n v="2"/>
    <n v="369.75729800997499"/>
    <n v="164.62798019824118"/>
    <n v="0.95"/>
    <n v="1479.1237174897858"/>
    <n v="253.347736838754"/>
    <n v="486.166859181196"/>
    <n v="75.6310155470278"/>
    <n v="1000.1369284262699"/>
    <n v="3432"/>
    <n v="1479.1237174897858"/>
    <n v="2"/>
    <n v="1"/>
  </r>
  <r>
    <x v="0"/>
    <s v="2025-03-21 18:50:29"/>
    <n v="2"/>
    <x v="8"/>
    <x v="4"/>
    <x v="1"/>
    <n v="19.831544171531"/>
    <n v="0.26063691541052603"/>
    <n v="6.0823389052597996"/>
    <n v="48.1694551218106"/>
    <n v="3313"/>
    <s v="Unnamed ProjectTouristTransfer TimeEntity"/>
    <n v="2"/>
    <n v="19.924537973385398"/>
    <n v="0.13151309579912826"/>
    <n v="0.95"/>
    <n v="1.1815982855572638"/>
    <n v="19.831544171531"/>
    <n v="20.017531775239799"/>
    <n v="6.0587796105337501"/>
    <n v="48.524443063083801"/>
    <n v="3432"/>
    <n v="1.1815982855572638"/>
    <n v="2"/>
    <n v="1"/>
  </r>
  <r>
    <x v="0"/>
    <s v="2025-03-21 18:50:29"/>
    <n v="2"/>
    <x v="8"/>
    <x v="5"/>
    <x v="1"/>
    <n v="0"/>
    <n v="0"/>
    <n v="0"/>
    <n v="0"/>
    <n v="3313"/>
    <s v="Unnamed ProjectTouristVA TimeEntity"/>
    <n v="2"/>
    <n v="0"/>
    <n v="0"/>
    <n v="0.95"/>
    <n v="0"/>
    <n v="0"/>
    <n v="0"/>
    <n v="0"/>
    <n v="0"/>
    <n v="3432"/>
    <n v="0"/>
    <n v="2"/>
    <n v="1"/>
  </r>
  <r>
    <x v="0"/>
    <s v="2025-03-21 18:50:29"/>
    <n v="2"/>
    <x v="8"/>
    <x v="6"/>
    <x v="1"/>
    <n v="347.12341442222402"/>
    <n v="3E+20"/>
    <n v="0"/>
    <n v="815.30718653798601"/>
    <n v="3313"/>
    <s v="Unnamed ProjectTouristWait TimeEntity"/>
    <n v="2"/>
    <n v="229.99508826439651"/>
    <n v="165.64446739045906"/>
    <n v="0.95"/>
    <n v="1488.2564925668025"/>
    <n v="112.866762106569"/>
    <n v="347.12341442222402"/>
    <n v="0"/>
    <n v="815.30718653798601"/>
    <n v="3432"/>
    <n v="1488.2564925668025"/>
    <n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s v="2025-03-21 18:50:29"/>
    <n v="1"/>
    <x v="0"/>
    <x v="0"/>
    <x v="0"/>
    <n v="3551"/>
    <n v="0"/>
    <s v="Unnamed ProjectSystem.NumberOutNumber OutSystem"/>
    <n v="2"/>
    <n v="3432"/>
    <n v="168.29141392239831"/>
    <n v="0.95"/>
    <n v="1512.0383636047884"/>
    <n v="3313"/>
    <n v="3551"/>
  </r>
  <r>
    <x v="0"/>
    <s v="2025-03-21 18:50:29"/>
    <n v="1"/>
    <x v="1"/>
    <x v="1"/>
    <x v="1"/>
    <n v="3662"/>
    <n v="0"/>
    <s v="Unnamed ProjectTourist.NumberInNumber InEntity"/>
    <n v="2"/>
    <n v="3603.5"/>
    <n v="82.731493398826061"/>
    <n v="0.95"/>
    <n v="743.31297706621956"/>
    <n v="3545"/>
    <n v="3662"/>
  </r>
  <r>
    <x v="0"/>
    <s v="2025-03-21 18:50:29"/>
    <n v="1"/>
    <x v="2"/>
    <x v="0"/>
    <x v="1"/>
    <n v="3551"/>
    <n v="0"/>
    <s v="Unnamed ProjectTourist.NumberOutNumber OutEntity"/>
    <n v="2"/>
    <n v="3432"/>
    <n v="168.29141392239831"/>
    <n v="0.95"/>
    <n v="1512.0383636047884"/>
    <n v="3313"/>
    <n v="3551"/>
  </r>
  <r>
    <x v="0"/>
    <s v="2025-03-21 18:50:29"/>
    <n v="2"/>
    <x v="0"/>
    <x v="0"/>
    <x v="0"/>
    <n v="3313"/>
    <n v="0"/>
    <s v="Unnamed ProjectSystem.NumberOutNumber OutSystem"/>
    <n v="2"/>
    <n v="3432"/>
    <n v="168.29141392239831"/>
    <n v="0.95"/>
    <n v="1512.0383636047884"/>
    <n v="3313"/>
    <n v="3551"/>
  </r>
  <r>
    <x v="0"/>
    <s v="2025-03-21 18:50:29"/>
    <n v="2"/>
    <x v="1"/>
    <x v="1"/>
    <x v="1"/>
    <n v="3545"/>
    <n v="0"/>
    <s v="Unnamed ProjectTourist.NumberInNumber InEntity"/>
    <n v="2"/>
    <n v="3603.5"/>
    <n v="82.731493398826061"/>
    <n v="0.95"/>
    <n v="743.31297706621956"/>
    <n v="3545"/>
    <n v="3662"/>
  </r>
  <r>
    <x v="0"/>
    <s v="2025-03-21 18:50:29"/>
    <n v="2"/>
    <x v="2"/>
    <x v="0"/>
    <x v="1"/>
    <n v="3313"/>
    <n v="0"/>
    <s v="Unnamed ProjectTourist.NumberOutNumber OutEntity"/>
    <n v="2"/>
    <n v="3432"/>
    <n v="168.29141392239831"/>
    <n v="0.95"/>
    <n v="1512.0383636047884"/>
    <n v="3313"/>
    <n v="355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s v="2025-03-21 18:50:29"/>
    <n v="1"/>
    <x v="0"/>
    <x v="0"/>
    <x v="0"/>
    <n v="0"/>
    <n v="2E+20"/>
    <n v="0"/>
    <n v="0"/>
    <n v="0"/>
    <n v="0"/>
    <s v="Unnamed ProjectQueue Bicycle A.QueueNumber WaitingQueue"/>
    <n v="2"/>
    <n v="3.9481354150926298E-4"/>
    <n v="5.5835066501095266E-4"/>
    <n v="0.95"/>
    <n v="5.0165816910309009E-3"/>
    <n v="0"/>
    <n v="7.8962708301852597E-4"/>
    <n v="5.0165816910309009E-3"/>
  </r>
  <r>
    <x v="0"/>
    <s v="2025-03-21 18:50:29"/>
    <n v="1"/>
    <x v="1"/>
    <x v="0"/>
    <x v="0"/>
    <n v="0"/>
    <n v="2E+20"/>
    <n v="0"/>
    <n v="0"/>
    <n v="0"/>
    <n v="0"/>
    <s v="Unnamed ProjectQueue Bicycle B.QueueNumber WaitingQueue"/>
    <n v="2"/>
    <n v="0"/>
    <n v="0"/>
    <n v="0.95"/>
    <n v="0"/>
    <n v="0"/>
    <n v="0"/>
    <n v="0"/>
  </r>
  <r>
    <x v="0"/>
    <s v="2025-03-21 18:50:29"/>
    <n v="1"/>
    <x v="2"/>
    <x v="0"/>
    <x v="0"/>
    <n v="0"/>
    <n v="2E+20"/>
    <n v="0"/>
    <n v="0"/>
    <n v="0"/>
    <n v="0"/>
    <s v="Unnamed ProjectQueue Bicycle C.QueueNumber WaitingQueue"/>
    <n v="2"/>
    <n v="6.6419581115499504E-2"/>
    <n v="9.3931472420679299E-2"/>
    <n v="0.95"/>
    <n v="0.84394079614449902"/>
    <n v="0"/>
    <n v="0.13283916223099901"/>
    <n v="0.84394079614449902"/>
  </r>
  <r>
    <x v="0"/>
    <s v="2025-03-21 18:50:29"/>
    <n v="1"/>
    <x v="3"/>
    <x v="0"/>
    <x v="0"/>
    <n v="0"/>
    <n v="2E+20"/>
    <n v="0"/>
    <n v="0"/>
    <n v="0"/>
    <n v="0"/>
    <s v="Unnamed ProjectQueue Bicycle D.QueueNumber WaitingQueue"/>
    <n v="2"/>
    <n v="2.0522871701904601"/>
    <n v="2.9023723499676488"/>
    <n v="0.95"/>
    <n v="26.076780961864579"/>
    <n v="0"/>
    <n v="4.1045743403809203"/>
    <n v="26.076780961864579"/>
  </r>
  <r>
    <x v="0"/>
    <s v="2025-03-21 18:50:29"/>
    <n v="1"/>
    <x v="4"/>
    <x v="0"/>
    <x v="0"/>
    <n v="16.4826532581531"/>
    <n v="3E+20"/>
    <n v="0"/>
    <n v="60"/>
    <n v="42"/>
    <n v="0"/>
    <s v="Unnamed ProjectQueue for Docking at A.QueueNumber WaitingQueue"/>
    <n v="2"/>
    <n v="8.9319467924912246"/>
    <n v="10.67831148923724"/>
    <n v="0.95"/>
    <n v="95.940822255457775"/>
    <n v="1.3812403268293501"/>
    <n v="16.4826532581531"/>
    <n v="95.940822255457775"/>
  </r>
  <r>
    <x v="0"/>
    <s v="2025-03-21 18:50:29"/>
    <n v="1"/>
    <x v="5"/>
    <x v="0"/>
    <x v="0"/>
    <n v="3.0664863857510598"/>
    <n v="3E+20"/>
    <n v="0"/>
    <n v="34"/>
    <n v="0"/>
    <n v="0"/>
    <s v="Unnamed ProjectQueue for Docking at B.QueueNumber WaitingQueue"/>
    <n v="2"/>
    <n v="58.976661303917034"/>
    <n v="79.068927643922365"/>
    <n v="0.95"/>
    <n v="710.406129345556"/>
    <n v="3.0664863857510598"/>
    <n v="114.88683622208301"/>
    <n v="710.406129345556"/>
  </r>
  <r>
    <x v="0"/>
    <s v="2025-03-21 18:50:29"/>
    <n v="1"/>
    <x v="6"/>
    <x v="0"/>
    <x v="0"/>
    <n v="2.28707277545973"/>
    <n v="3E+20"/>
    <n v="0"/>
    <n v="30"/>
    <n v="0"/>
    <n v="0"/>
    <s v="Unnamed ProjectQueue for Docking at C.QueueNumber WaitingQueue"/>
    <n v="2"/>
    <n v="1.2611445091145905"/>
    <n v="1.450881668287213"/>
    <n v="0.95"/>
    <n v="13.035654596810103"/>
    <n v="0.23521624276945099"/>
    <n v="2.28707277545973"/>
    <n v="13.035654596810103"/>
  </r>
  <r>
    <x v="0"/>
    <s v="2025-03-21 18:50:29"/>
    <n v="1"/>
    <x v="7"/>
    <x v="0"/>
    <x v="0"/>
    <n v="18.747160653919298"/>
    <n v="3E+20"/>
    <n v="0"/>
    <n v="63"/>
    <n v="0"/>
    <n v="0"/>
    <s v="Unnamed ProjectQueue for Docking at D.QueueNumber WaitingQueue"/>
    <n v="2"/>
    <n v="9.404111832123478"/>
    <n v="13.213066357697615"/>
    <n v="0.95"/>
    <n v="118.71469118981344"/>
    <n v="6.1063010327656403E-2"/>
    <n v="18.747160653919298"/>
    <n v="118.71469118981344"/>
  </r>
  <r>
    <x v="0"/>
    <s v="2025-03-21 18:50:29"/>
    <n v="1"/>
    <x v="8"/>
    <x v="1"/>
    <x v="1"/>
    <n v="90.854980887247905"/>
    <n v="3E+20"/>
    <n v="0"/>
    <n v="144"/>
    <n v="111"/>
    <n v="0"/>
    <s v="Unnamed ProjectTouristWIPEntity"/>
    <n v="2"/>
    <n v="129.56827485623495"/>
    <n v="54.748865375078047"/>
    <n v="0.95"/>
    <n v="491.89903918166658"/>
    <n v="90.854980887247905"/>
    <n v="168.281568825222"/>
    <n v="491.89903918166658"/>
  </r>
  <r>
    <x v="0"/>
    <s v="2025-03-21 18:50:29"/>
    <n v="2"/>
    <x v="0"/>
    <x v="0"/>
    <x v="0"/>
    <n v="7.8962708301852597E-4"/>
    <n v="2E+20"/>
    <n v="0"/>
    <n v="2"/>
    <n v="0"/>
    <n v="0"/>
    <s v="Unnamed ProjectQueue Bicycle A.QueueNumber WaitingQueue"/>
    <n v="2"/>
    <n v="3.9481354150926298E-4"/>
    <n v="5.5835066501095266E-4"/>
    <n v="0.95"/>
    <n v="5.0165816910309009E-3"/>
    <n v="0"/>
    <n v="7.8962708301852597E-4"/>
    <n v="5.0165816910309009E-3"/>
  </r>
  <r>
    <x v="0"/>
    <s v="2025-03-21 18:50:29"/>
    <n v="2"/>
    <x v="1"/>
    <x v="0"/>
    <x v="0"/>
    <n v="0"/>
    <n v="2E+20"/>
    <n v="0"/>
    <n v="0"/>
    <n v="0"/>
    <n v="0"/>
    <s v="Unnamed ProjectQueue Bicycle B.QueueNumber WaitingQueue"/>
    <n v="2"/>
    <n v="0"/>
    <n v="0"/>
    <n v="0.95"/>
    <n v="0"/>
    <n v="0"/>
    <n v="0"/>
    <n v="0"/>
  </r>
  <r>
    <x v="0"/>
    <s v="2025-03-21 18:50:29"/>
    <n v="2"/>
    <x v="2"/>
    <x v="0"/>
    <x v="0"/>
    <n v="0.13283916223099901"/>
    <n v="2E+20"/>
    <n v="0"/>
    <n v="9"/>
    <n v="0"/>
    <n v="0"/>
    <s v="Unnamed ProjectQueue Bicycle C.QueueNumber WaitingQueue"/>
    <n v="2"/>
    <n v="6.6419581115499504E-2"/>
    <n v="9.3931472420679299E-2"/>
    <n v="0.95"/>
    <n v="0.84394079614449902"/>
    <n v="0"/>
    <n v="0.13283916223099901"/>
    <n v="0.84394079614449902"/>
  </r>
  <r>
    <x v="0"/>
    <s v="2025-03-21 18:50:29"/>
    <n v="2"/>
    <x v="3"/>
    <x v="0"/>
    <x v="0"/>
    <n v="4.1045743403809203"/>
    <n v="3E+20"/>
    <n v="0"/>
    <n v="41"/>
    <n v="10"/>
    <n v="0"/>
    <s v="Unnamed ProjectQueue Bicycle D.QueueNumber WaitingQueue"/>
    <n v="2"/>
    <n v="2.0522871701904601"/>
    <n v="2.9023723499676488"/>
    <n v="0.95"/>
    <n v="26.076780961864579"/>
    <n v="0"/>
    <n v="4.1045743403809203"/>
    <n v="26.076780961864579"/>
  </r>
  <r>
    <x v="0"/>
    <s v="2025-03-21 18:50:29"/>
    <n v="2"/>
    <x v="4"/>
    <x v="0"/>
    <x v="0"/>
    <n v="1.3812403268293501"/>
    <n v="3E+20"/>
    <n v="0"/>
    <n v="30"/>
    <n v="0"/>
    <n v="0"/>
    <s v="Unnamed ProjectQueue for Docking at A.QueueNumber WaitingQueue"/>
    <n v="2"/>
    <n v="8.9319467924912246"/>
    <n v="10.67831148923724"/>
    <n v="0.95"/>
    <n v="95.940822255457775"/>
    <n v="1.3812403268293501"/>
    <n v="16.4826532581531"/>
    <n v="95.940822255457775"/>
  </r>
  <r>
    <x v="0"/>
    <s v="2025-03-21 18:50:29"/>
    <n v="2"/>
    <x v="5"/>
    <x v="0"/>
    <x v="0"/>
    <n v="114.88683622208301"/>
    <n v="3E+20"/>
    <n v="0"/>
    <n v="194"/>
    <n v="157"/>
    <n v="0"/>
    <s v="Unnamed ProjectQueue for Docking at B.QueueNumber WaitingQueue"/>
    <n v="2"/>
    <n v="58.976661303917034"/>
    <n v="79.068927643922365"/>
    <n v="0.95"/>
    <n v="710.406129345556"/>
    <n v="3.0664863857510598"/>
    <n v="114.88683622208301"/>
    <n v="710.406129345556"/>
  </r>
  <r>
    <x v="0"/>
    <s v="2025-03-21 18:50:29"/>
    <n v="2"/>
    <x v="6"/>
    <x v="0"/>
    <x v="0"/>
    <n v="0.23521624276945099"/>
    <n v="2E+20"/>
    <n v="0"/>
    <n v="12"/>
    <n v="0"/>
    <n v="0"/>
    <s v="Unnamed ProjectQueue for Docking at C.QueueNumber WaitingQueue"/>
    <n v="2"/>
    <n v="1.2611445091145905"/>
    <n v="1.450881668287213"/>
    <n v="0.95"/>
    <n v="13.035654596810103"/>
    <n v="0.23521624276945099"/>
    <n v="2.28707277545973"/>
    <n v="13.035654596810103"/>
  </r>
  <r>
    <x v="0"/>
    <s v="2025-03-21 18:50:29"/>
    <n v="2"/>
    <x v="7"/>
    <x v="0"/>
    <x v="0"/>
    <n v="6.1063010327656403E-2"/>
    <n v="2E+20"/>
    <n v="0"/>
    <n v="6"/>
    <n v="0"/>
    <n v="0"/>
    <s v="Unnamed ProjectQueue for Docking at D.QueueNumber WaitingQueue"/>
    <n v="2"/>
    <n v="9.404111832123478"/>
    <n v="13.213066357697615"/>
    <n v="0.95"/>
    <n v="118.71469118981344"/>
    <n v="6.1063010327656403E-2"/>
    <n v="18.747160653919298"/>
    <n v="118.71469118981344"/>
  </r>
  <r>
    <x v="0"/>
    <s v="2025-03-21 18:50:29"/>
    <n v="2"/>
    <x v="8"/>
    <x v="1"/>
    <x v="1"/>
    <n v="168.281568825222"/>
    <n v="3E+20"/>
    <n v="0"/>
    <n v="253"/>
    <n v="232"/>
    <n v="0"/>
    <s v="Unnamed ProjectTouristWIPEntity"/>
    <n v="2"/>
    <n v="129.56827485623495"/>
    <n v="54.748865375078047"/>
    <n v="0.95"/>
    <n v="491.89903918166658"/>
    <n v="90.854980887247905"/>
    <n v="168.281568825222"/>
    <n v="491.8990391816665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19"/>
        <item m="1" x="42"/>
        <item m="1" x="14"/>
        <item m="1" x="94"/>
        <item m="1" x="77"/>
        <item m="1" x="47"/>
        <item m="1" x="103"/>
        <item m="1" x="35"/>
        <item m="1" x="39"/>
        <item m="1" x="106"/>
        <item m="1" x="72"/>
        <item m="1" x="84"/>
        <item m="1" x="89"/>
        <item m="1" x="13"/>
        <item m="1" x="41"/>
        <item m="1" x="31"/>
        <item m="1" x="107"/>
        <item m="1" x="101"/>
        <item m="1" x="29"/>
        <item m="1" x="23"/>
        <item m="1" x="95"/>
        <item m="1" x="15"/>
        <item m="1" x="48"/>
        <item m="1" x="34"/>
        <item m="1" x="59"/>
        <item m="1" x="86"/>
        <item m="1" x="50"/>
        <item m="1" x="20"/>
        <item m="1" x="44"/>
        <item m="1" x="73"/>
        <item m="1" x="63"/>
        <item m="1" x="21"/>
        <item m="1" x="80"/>
        <item m="1" x="12"/>
        <item m="1" x="100"/>
        <item m="1" x="68"/>
        <item m="1" x="88"/>
        <item m="1" x="43"/>
        <item m="1" x="102"/>
        <item m="1" x="71"/>
        <item m="1" x="25"/>
        <item m="1" x="62"/>
        <item m="1" x="76"/>
        <item m="1" x="87"/>
        <item m="1" x="93"/>
        <item m="1" x="11"/>
        <item m="1" x="24"/>
        <item m="1" x="33"/>
        <item m="1" x="26"/>
        <item m="1" x="10"/>
        <item m="1" x="85"/>
        <item m="1" x="97"/>
        <item m="1" x="37"/>
        <item m="1" x="67"/>
        <item m="1" x="28"/>
        <item m="1" x="45"/>
        <item m="1" x="32"/>
        <item m="1" x="53"/>
        <item m="1" x="40"/>
        <item m="1" x="60"/>
        <item m="1" x="46"/>
        <item m="1" x="69"/>
        <item m="1" x="54"/>
        <item m="1" x="74"/>
        <item m="1" x="61"/>
        <item m="1" x="82"/>
        <item m="1" x="75"/>
        <item m="1" x="90"/>
        <item m="1" x="98"/>
        <item m="1" x="78"/>
        <item m="1" x="57"/>
        <item m="1" x="38"/>
        <item m="1" x="51"/>
        <item m="1" x="22"/>
        <item m="1" x="27"/>
        <item m="1" x="36"/>
        <item m="1" x="64"/>
        <item m="1" x="99"/>
        <item m="1" x="92"/>
        <item m="1" x="79"/>
        <item m="1" x="52"/>
        <item m="1" x="65"/>
        <item m="1" x="56"/>
        <item m="1" x="81"/>
        <item m="1" x="66"/>
        <item m="1" x="49"/>
        <item m="1" x="55"/>
        <item m="1" x="18"/>
        <item m="1" x="58"/>
        <item m="1" x="70"/>
        <item m="1" x="83"/>
        <item m="1" x="91"/>
        <item m="1" x="96"/>
        <item m="1" x="105"/>
        <item m="1" x="16"/>
        <item m="1" x="30"/>
        <item m="1" x="104"/>
        <item m="1" x="17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0"/>
        <item m="1" x="62"/>
        <item m="1" x="49"/>
        <item m="1" x="66"/>
        <item m="1" x="51"/>
        <item m="1" x="67"/>
        <item m="1" x="74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7"/>
        <item m="1" x="17"/>
        <item m="1" x="80"/>
        <item m="1" x="45"/>
        <item m="1" x="12"/>
        <item m="1" x="75"/>
        <item m="1" x="70"/>
        <item m="1" x="46"/>
        <item m="1" x="13"/>
        <item m="1" x="76"/>
        <item m="1" x="71"/>
        <item m="1" x="8"/>
        <item m="1" x="42"/>
        <item m="1" x="26"/>
        <item m="1" x="16"/>
        <item m="1" x="68"/>
        <item m="1" x="38"/>
        <item m="1" x="69"/>
        <item m="1" x="39"/>
        <item m="1" x="25"/>
        <item m="1" x="20"/>
        <item m="1" x="47"/>
        <item m="1" x="22"/>
        <item m="1" x="79"/>
        <item m="1" x="72"/>
        <item m="1" x="21"/>
        <item m="1" x="19"/>
        <item m="1" x="64"/>
        <item m="1" x="73"/>
        <item m="1" x="9"/>
        <item m="1" x="27"/>
        <item m="1" x="40"/>
        <item m="1" x="61"/>
        <item m="1" x="78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  <item x="1"/>
        <item x="2"/>
      </items>
    </pivotField>
    <pivotField axis="axisRow" compact="0" outline="0" showAll="0" defaultSubtotal="0">
      <items count="7">
        <item x="1"/>
        <item x="0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1"/>
        <item m="1" x="3"/>
        <item x="0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m="1" x="24"/>
        <item m="1" x="15"/>
        <item m="1" x="31"/>
        <item m="1" x="40"/>
        <item m="1" x="53"/>
        <item m="1" x="52"/>
        <item m="1" x="16"/>
        <item m="1" x="117"/>
        <item m="1" x="95"/>
        <item m="1" x="58"/>
        <item m="1" x="45"/>
        <item m="1" x="49"/>
        <item m="1" x="131"/>
        <item m="1" x="34"/>
        <item m="1" x="116"/>
        <item m="1" x="38"/>
        <item m="1" x="89"/>
        <item m="1" x="103"/>
        <item m="1" x="13"/>
        <item m="1" x="39"/>
        <item m="1" x="126"/>
        <item m="1" x="28"/>
        <item m="1" x="118"/>
        <item m="1" x="17"/>
        <item m="1" x="44"/>
        <item m="1" x="70"/>
        <item m="1" x="14"/>
        <item m="1" x="20"/>
        <item m="1" x="90"/>
        <item m="1" x="71"/>
        <item m="1" x="105"/>
        <item m="1" x="61"/>
        <item m="1" x="25"/>
        <item m="1" x="55"/>
        <item m="1" x="91"/>
        <item m="1" x="76"/>
        <item m="1" x="26"/>
        <item m="1" x="36"/>
        <item m="1" x="98"/>
        <item m="1" x="12"/>
        <item m="1" x="125"/>
        <item m="1" x="83"/>
        <item m="1" x="23"/>
        <item m="1" x="108"/>
        <item m="1" x="54"/>
        <item m="1" x="127"/>
        <item m="1" x="88"/>
        <item m="1" x="30"/>
        <item m="1" x="75"/>
        <item m="1" x="94"/>
        <item m="1" x="107"/>
        <item m="1" x="115"/>
        <item m="1" x="124"/>
        <item m="1" x="11"/>
        <item m="1" x="29"/>
        <item m="1" x="43"/>
        <item m="1" x="32"/>
        <item m="1" x="10"/>
        <item m="1" x="104"/>
        <item m="1" x="121"/>
        <item m="1" x="47"/>
        <item m="1" x="82"/>
        <item m="1" x="35"/>
        <item m="1" x="56"/>
        <item m="1" x="41"/>
        <item m="1" x="65"/>
        <item m="1" x="50"/>
        <item m="1" x="72"/>
        <item m="1" x="57"/>
        <item m="1" x="84"/>
        <item m="1" x="66"/>
        <item m="1" x="92"/>
        <item m="1" x="73"/>
        <item m="1" x="101"/>
        <item m="1" x="85"/>
        <item m="1" x="106"/>
        <item m="1" x="93"/>
        <item m="1" x="110"/>
        <item m="1" x="122"/>
        <item m="1" x="112"/>
        <item m="1" x="96"/>
        <item m="1" x="69"/>
        <item m="1" x="48"/>
        <item m="1" x="63"/>
        <item m="1" x="27"/>
        <item m="1" x="33"/>
        <item m="1" x="42"/>
        <item m="1" x="46"/>
        <item m="1" x="78"/>
        <item m="1" x="123"/>
        <item m="1" x="113"/>
        <item m="1" x="97"/>
        <item m="1" x="64"/>
        <item m="1" x="132"/>
        <item m="1" x="80"/>
        <item m="1" x="68"/>
        <item m="1" x="100"/>
        <item m="1" x="81"/>
        <item m="1" x="60"/>
        <item m="1" x="67"/>
        <item m="1" x="21"/>
        <item m="1" x="86"/>
        <item m="1" x="102"/>
        <item m="1" x="111"/>
        <item m="1" x="119"/>
        <item m="1" x="130"/>
        <item m="1" x="18"/>
        <item m="1" x="37"/>
        <item m="1" x="129"/>
        <item m="1" x="19"/>
        <item m="1" x="87"/>
        <item m="1" x="62"/>
        <item m="1" x="77"/>
        <item m="1" x="22"/>
        <item m="1" x="128"/>
        <item m="1" x="109"/>
        <item m="1" x="59"/>
        <item m="1" x="120"/>
        <item m="1" x="79"/>
        <item m="1" x="99"/>
        <item m="1" x="114"/>
        <item m="1" x="51"/>
        <item m="1" x="74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7">
        <item m="1" x="6"/>
        <item m="1" x="4"/>
        <item m="1" x="3"/>
        <item x="0"/>
        <item x="1"/>
        <item m="1" x="5"/>
        <item m="1" x="2"/>
      </items>
    </pivotField>
    <pivotField axis="axisRow" compact="0" outline="0" showAll="0" defaultSubtotal="0">
      <items count="5">
        <item x="1"/>
        <item x="0"/>
        <item m="1" x="3"/>
        <item m="1" x="4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9" tableType="queryTable" totalsRowShown="0">
  <autoFilter ref="A1:Y29" xr:uid="{C3D003CA-1AFF-426C-A03D-D3AF5760DF1A}"/>
  <sortState xmlns:xlrd2="http://schemas.microsoft.com/office/spreadsheetml/2017/richdata2" ref="A2:Y29">
    <sortCondition ref="D1:D29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9" tableType="queryTable" totalsRowShown="0">
  <autoFilter ref="A1:U19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7" tableType="queryTable" totalsRowShown="0">
  <autoFilter ref="A1:P7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6" x14ac:dyDescent="0.4"/>
  <cols>
    <col min="1" max="1" width="15.23046875" bestFit="1" customWidth="1"/>
    <col min="2" max="2" width="80.61328125" bestFit="1" customWidth="1"/>
    <col min="3" max="3" width="17.765625" bestFit="1" customWidth="1"/>
    <col min="4" max="4" width="11.4609375" bestFit="1" customWidth="1"/>
    <col min="5" max="5" width="22.07421875" bestFit="1" customWidth="1"/>
    <col min="6" max="6" width="23.53515625" bestFit="1" customWidth="1"/>
    <col min="7" max="7" width="18.84375" bestFit="1" customWidth="1"/>
    <col min="8" max="10" width="19.4609375" bestFit="1" customWidth="1"/>
    <col min="11" max="11" width="19.4609375" customWidth="1"/>
  </cols>
  <sheetData>
    <row r="1" spans="1:7" x14ac:dyDescent="0.4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4">
      <c r="A2" t="s">
        <v>67</v>
      </c>
      <c r="B2" t="s">
        <v>68</v>
      </c>
      <c r="C2" t="s">
        <v>69</v>
      </c>
      <c r="D2">
        <v>2</v>
      </c>
      <c r="E2">
        <v>2</v>
      </c>
      <c r="F2">
        <v>10080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6"/>
  <sheetViews>
    <sheetView tabSelected="1" workbookViewId="0"/>
  </sheetViews>
  <sheetFormatPr defaultRowHeight="14.6" x14ac:dyDescent="0.4"/>
  <cols>
    <col min="1" max="1" width="33.23046875" customWidth="1"/>
    <col min="2" max="2" width="28.69140625" bestFit="1" customWidth="1"/>
    <col min="3" max="3" width="12.53515625" bestFit="1" customWidth="1"/>
    <col min="4" max="4" width="8.69140625" bestFit="1" customWidth="1"/>
    <col min="5" max="5" width="28.15234375" bestFit="1" customWidth="1"/>
    <col min="6" max="6" width="19.23046875" bestFit="1" customWidth="1"/>
    <col min="7" max="7" width="11.84375" bestFit="1" customWidth="1"/>
    <col min="8" max="8" width="26.15234375" bestFit="1" customWidth="1"/>
    <col min="9" max="9" width="26.23046875" bestFit="1" customWidth="1"/>
    <col min="10" max="10" width="26.61328125" bestFit="1" customWidth="1"/>
    <col min="11" max="11" width="15.765625" bestFit="1" customWidth="1"/>
    <col min="12" max="12" width="16.15234375" bestFit="1" customWidth="1"/>
    <col min="13" max="13" width="28.61328125" bestFit="1" customWidth="1"/>
    <col min="14" max="14" width="27.69140625" bestFit="1" customWidth="1"/>
    <col min="15" max="15" width="18.69140625" bestFit="1" customWidth="1"/>
    <col min="16" max="16" width="12" bestFit="1" customWidth="1"/>
    <col min="17" max="17" width="12.53515625" bestFit="1" customWidth="1"/>
    <col min="18" max="18" width="8.69140625" bestFit="1" customWidth="1"/>
    <col min="19" max="19" width="28.15234375" bestFit="1" customWidth="1"/>
    <col min="20" max="20" width="11.84375" bestFit="1" customWidth="1"/>
    <col min="21" max="21" width="26.15234375" bestFit="1" customWidth="1"/>
    <col min="22" max="22" width="21.3828125" bestFit="1" customWidth="1"/>
    <col min="23" max="23" width="21.765625" bestFit="1" customWidth="1"/>
    <col min="24" max="24" width="15.765625" bestFit="1" customWidth="1"/>
    <col min="25" max="25" width="16.15234375" bestFit="1" customWidth="1"/>
    <col min="26" max="26" width="16.3046875" bestFit="1" customWidth="1"/>
    <col min="27" max="27" width="20.69140625" bestFit="1" customWidth="1"/>
    <col min="28" max="28" width="24.69140625" bestFit="1" customWidth="1"/>
    <col min="29" max="29" width="12" bestFit="1" customWidth="1"/>
    <col min="30" max="30" width="8.69140625" bestFit="1" customWidth="1"/>
    <col min="31" max="31" width="24.23046875" bestFit="1" customWidth="1"/>
    <col min="32" max="32" width="9.921875" bestFit="1" customWidth="1"/>
    <col min="33" max="33" width="28.69140625" bestFit="1" customWidth="1"/>
    <col min="34" max="34" width="19.23046875" bestFit="1" customWidth="1"/>
    <col min="35" max="35" width="19.61328125" bestFit="1" customWidth="1"/>
    <col min="36" max="36" width="19.84375" bestFit="1" customWidth="1"/>
    <col min="37" max="37" width="32.3046875" bestFit="1" customWidth="1"/>
    <col min="38" max="38" width="24.69140625" bestFit="1" customWidth="1"/>
    <col min="39" max="39" width="12" bestFit="1" customWidth="1"/>
    <col min="40" max="40" width="8.69140625" bestFit="1" customWidth="1"/>
    <col min="41" max="41" width="24.23046875" bestFit="1" customWidth="1"/>
    <col min="42" max="42" width="11.84375" bestFit="1" customWidth="1"/>
    <col min="43" max="43" width="28.69140625" bestFit="1" customWidth="1"/>
    <col min="44" max="44" width="19.23046875" bestFit="1" customWidth="1"/>
    <col min="45" max="45" width="19.61328125" bestFit="1" customWidth="1"/>
    <col min="46" max="46" width="19.84375" bestFit="1" customWidth="1"/>
    <col min="47" max="47" width="14.84375" bestFit="1" customWidth="1"/>
    <col min="48" max="48" width="20.69140625" bestFit="1" customWidth="1"/>
    <col min="49" max="49" width="26.3046875" bestFit="1" customWidth="1"/>
    <col min="50" max="50" width="8.69140625" bestFit="1" customWidth="1"/>
    <col min="51" max="51" width="25.69140625" bestFit="1" customWidth="1"/>
    <col min="52" max="52" width="26.53515625" bestFit="1" customWidth="1"/>
    <col min="53" max="53" width="27" bestFit="1" customWidth="1"/>
    <col min="54" max="54" width="24.84375" bestFit="1" customWidth="1"/>
    <col min="55" max="55" width="29.23046875" bestFit="1" customWidth="1"/>
    <col min="56" max="56" width="31.84375" bestFit="1" customWidth="1"/>
    <col min="57" max="57" width="21.765625" bestFit="1" customWidth="1"/>
  </cols>
  <sheetData>
    <row r="1" spans="1:52" ht="18.45" x14ac:dyDescent="0.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4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4">
      <c r="A3" t="s">
        <v>67</v>
      </c>
      <c r="B3" t="s">
        <v>70</v>
      </c>
      <c r="C3" t="s">
        <v>71</v>
      </c>
      <c r="D3" t="s">
        <v>72</v>
      </c>
      <c r="E3" s="5">
        <v>1.4866344783015951E-3</v>
      </c>
      <c r="F3" s="5">
        <v>1</v>
      </c>
      <c r="G3" s="5">
        <v>1.8889482049156324E-2</v>
      </c>
      <c r="H3" s="5">
        <v>2.1024186415055665E-3</v>
      </c>
      <c r="I3" s="5">
        <v>0</v>
      </c>
      <c r="J3" s="5">
        <v>2.9732689566031902E-3</v>
      </c>
      <c r="K3" s="5">
        <v>0</v>
      </c>
      <c r="L3" s="5">
        <v>2.8663658866025798</v>
      </c>
      <c r="M3" s="5">
        <v>2689</v>
      </c>
      <c r="O3" t="s">
        <v>67</v>
      </c>
      <c r="P3" t="s">
        <v>70</v>
      </c>
      <c r="Q3" t="s">
        <v>88</v>
      </c>
      <c r="R3" t="s">
        <v>72</v>
      </c>
      <c r="S3" s="5">
        <v>3.9481354150926298E-4</v>
      </c>
      <c r="T3" s="5">
        <v>5.0165816910309009E-3</v>
      </c>
      <c r="U3" s="5">
        <v>5.5835066501095266E-4</v>
      </c>
      <c r="V3" s="5">
        <v>0</v>
      </c>
      <c r="W3" s="5">
        <v>7.8962708301852597E-4</v>
      </c>
      <c r="X3" s="5">
        <v>0</v>
      </c>
      <c r="Y3" s="5">
        <v>2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90</v>
      </c>
      <c r="AM3" t="s">
        <v>91</v>
      </c>
      <c r="AN3" t="s">
        <v>92</v>
      </c>
      <c r="AO3" s="5">
        <v>3432</v>
      </c>
      <c r="AP3" s="5">
        <v>1512.0383636047884</v>
      </c>
      <c r="AQ3" s="5">
        <v>168.29141392239831</v>
      </c>
      <c r="AR3" s="5">
        <v>3313</v>
      </c>
      <c r="AS3" s="5">
        <v>3551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4">
      <c r="B4" t="s">
        <v>73</v>
      </c>
      <c r="C4" t="s">
        <v>71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2615.5</v>
      </c>
      <c r="P4" t="s">
        <v>73</v>
      </c>
      <c r="Q4" t="s">
        <v>88</v>
      </c>
      <c r="R4" t="s">
        <v>72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93</v>
      </c>
      <c r="AM4" t="s">
        <v>94</v>
      </c>
      <c r="AN4" t="s">
        <v>82</v>
      </c>
      <c r="AO4" s="5">
        <v>3603.5</v>
      </c>
      <c r="AP4" s="5">
        <v>743.31297706621956</v>
      </c>
      <c r="AQ4" s="5">
        <v>82.731493398826061</v>
      </c>
      <c r="AR4" s="5">
        <v>3545</v>
      </c>
      <c r="AS4" s="5">
        <v>3662</v>
      </c>
    </row>
    <row r="5" spans="1:52" x14ac:dyDescent="0.4">
      <c r="B5" t="s">
        <v>74</v>
      </c>
      <c r="C5" t="s">
        <v>71</v>
      </c>
      <c r="D5" t="s">
        <v>72</v>
      </c>
      <c r="E5" s="5">
        <v>0.26473284999772151</v>
      </c>
      <c r="F5" s="5">
        <v>1</v>
      </c>
      <c r="G5" s="5">
        <v>3.3637497924620736</v>
      </c>
      <c r="H5" s="5">
        <v>0.37438878687245997</v>
      </c>
      <c r="I5" s="5">
        <v>0</v>
      </c>
      <c r="J5" s="5">
        <v>0.52946569999544302</v>
      </c>
      <c r="K5" s="5">
        <v>0</v>
      </c>
      <c r="L5" s="5">
        <v>32.150731537010898</v>
      </c>
      <c r="M5" s="5">
        <v>2631.5</v>
      </c>
      <c r="P5" t="s">
        <v>74</v>
      </c>
      <c r="Q5" t="s">
        <v>88</v>
      </c>
      <c r="R5" t="s">
        <v>72</v>
      </c>
      <c r="S5" s="5">
        <v>6.6419581115499504E-2</v>
      </c>
      <c r="T5" s="5">
        <v>0.84394079614449902</v>
      </c>
      <c r="U5" s="5">
        <v>9.3931472420679299E-2</v>
      </c>
      <c r="V5" s="5">
        <v>0</v>
      </c>
      <c r="W5" s="5">
        <v>0.13283916223099901</v>
      </c>
      <c r="X5" s="5">
        <v>0</v>
      </c>
      <c r="Y5" s="5">
        <v>9</v>
      </c>
      <c r="AL5" t="s">
        <v>95</v>
      </c>
      <c r="AM5" t="s">
        <v>91</v>
      </c>
      <c r="AN5" t="s">
        <v>82</v>
      </c>
      <c r="AO5" s="5">
        <v>3432</v>
      </c>
      <c r="AP5" s="5">
        <v>1512.0383636047884</v>
      </c>
      <c r="AQ5" s="5">
        <v>168.29141392239831</v>
      </c>
      <c r="AR5" s="5">
        <v>3313</v>
      </c>
      <c r="AS5" s="5">
        <v>3551</v>
      </c>
    </row>
    <row r="6" spans="1:52" x14ac:dyDescent="0.4">
      <c r="B6" t="s">
        <v>75</v>
      </c>
      <c r="C6" t="s">
        <v>71</v>
      </c>
      <c r="D6" t="s">
        <v>72</v>
      </c>
      <c r="E6" s="5">
        <v>7.8906891675549504</v>
      </c>
      <c r="F6" s="5">
        <v>1</v>
      </c>
      <c r="G6" s="5">
        <v>100.26071207246906</v>
      </c>
      <c r="H6" s="5">
        <v>11.159119637226679</v>
      </c>
      <c r="I6" s="5">
        <v>0</v>
      </c>
      <c r="J6" s="5">
        <v>15.781378335109901</v>
      </c>
      <c r="K6" s="5">
        <v>0</v>
      </c>
      <c r="L6" s="5">
        <v>147.42664324196599</v>
      </c>
      <c r="M6" s="5">
        <v>2674.5</v>
      </c>
      <c r="P6" t="s">
        <v>75</v>
      </c>
      <c r="Q6" t="s">
        <v>88</v>
      </c>
      <c r="R6" t="s">
        <v>72</v>
      </c>
      <c r="S6" s="5">
        <v>2.0522871701904601</v>
      </c>
      <c r="T6" s="5">
        <v>26.076780961864579</v>
      </c>
      <c r="U6" s="5">
        <v>2.9023723499676488</v>
      </c>
      <c r="V6" s="5">
        <v>0</v>
      </c>
      <c r="W6" s="5">
        <v>4.1045743403809203</v>
      </c>
      <c r="X6" s="5">
        <v>0</v>
      </c>
      <c r="Y6" s="5">
        <v>41</v>
      </c>
    </row>
    <row r="7" spans="1:52" x14ac:dyDescent="0.4">
      <c r="B7" t="s">
        <v>76</v>
      </c>
      <c r="C7" t="s">
        <v>71</v>
      </c>
      <c r="D7" t="s">
        <v>72</v>
      </c>
      <c r="E7" s="5">
        <v>32.699779596633789</v>
      </c>
      <c r="F7" s="5">
        <v>1</v>
      </c>
      <c r="G7" s="5">
        <v>347.57944193879695</v>
      </c>
      <c r="H7" s="5">
        <v>38.685946826629205</v>
      </c>
      <c r="I7" s="5">
        <v>5.3446842589020704</v>
      </c>
      <c r="J7" s="5">
        <v>60.0548749343655</v>
      </c>
      <c r="K7" s="5">
        <v>0</v>
      </c>
      <c r="L7" s="5">
        <v>244.699025596468</v>
      </c>
      <c r="M7" s="5">
        <v>2653</v>
      </c>
      <c r="P7" t="s">
        <v>76</v>
      </c>
      <c r="Q7" t="s">
        <v>88</v>
      </c>
      <c r="R7" t="s">
        <v>72</v>
      </c>
      <c r="S7" s="5">
        <v>8.9319467924912246</v>
      </c>
      <c r="T7" s="5">
        <v>95.940822255457775</v>
      </c>
      <c r="U7" s="5">
        <v>10.67831148923724</v>
      </c>
      <c r="V7" s="5">
        <v>1.3812403268293501</v>
      </c>
      <c r="W7" s="5">
        <v>16.4826532581531</v>
      </c>
      <c r="X7" s="5">
        <v>0</v>
      </c>
      <c r="Y7" s="5">
        <v>60</v>
      </c>
    </row>
    <row r="8" spans="1:52" x14ac:dyDescent="0.4">
      <c r="B8" t="s">
        <v>77</v>
      </c>
      <c r="C8" t="s">
        <v>71</v>
      </c>
      <c r="D8" t="s">
        <v>72</v>
      </c>
      <c r="E8" s="5">
        <v>227.30764179212767</v>
      </c>
      <c r="F8" s="5">
        <v>1</v>
      </c>
      <c r="G8" s="5">
        <v>2742.7540603791299</v>
      </c>
      <c r="H8" s="5">
        <v>305.27132774737555</v>
      </c>
      <c r="I8" s="5">
        <v>11.4482158401373</v>
      </c>
      <c r="J8" s="5">
        <v>443.16706774411801</v>
      </c>
      <c r="K8" s="5">
        <v>0</v>
      </c>
      <c r="L8" s="5">
        <v>778.61496068340398</v>
      </c>
      <c r="M8" s="5">
        <v>2609.5</v>
      </c>
      <c r="P8" t="s">
        <v>77</v>
      </c>
      <c r="Q8" t="s">
        <v>88</v>
      </c>
      <c r="R8" t="s">
        <v>72</v>
      </c>
      <c r="S8" s="5">
        <v>58.976661303917034</v>
      </c>
      <c r="T8" s="5">
        <v>710.406129345556</v>
      </c>
      <c r="U8" s="5">
        <v>79.068927643922365</v>
      </c>
      <c r="V8" s="5">
        <v>3.0664863857510598</v>
      </c>
      <c r="W8" s="5">
        <v>114.88683622208301</v>
      </c>
      <c r="X8" s="5">
        <v>0</v>
      </c>
      <c r="Y8" s="5">
        <v>194</v>
      </c>
    </row>
    <row r="9" spans="1:52" x14ac:dyDescent="0.4">
      <c r="B9" t="s">
        <v>78</v>
      </c>
      <c r="C9" t="s">
        <v>71</v>
      </c>
      <c r="D9" t="s">
        <v>72</v>
      </c>
      <c r="E9" s="5">
        <v>4.7275835862235942</v>
      </c>
      <c r="F9" s="5">
        <v>1</v>
      </c>
      <c r="G9" s="5">
        <v>48.100573107270776</v>
      </c>
      <c r="H9" s="5">
        <v>5.3536429058595694</v>
      </c>
      <c r="I9" s="5">
        <v>0.94198638343903895</v>
      </c>
      <c r="J9" s="5">
        <v>8.5131807890081497</v>
      </c>
      <c r="K9" s="5">
        <v>0</v>
      </c>
      <c r="L9" s="5">
        <v>108.479049143764</v>
      </c>
      <c r="M9" s="5">
        <v>2612.5</v>
      </c>
      <c r="P9" t="s">
        <v>78</v>
      </c>
      <c r="Q9" t="s">
        <v>88</v>
      </c>
      <c r="R9" t="s">
        <v>72</v>
      </c>
      <c r="S9" s="5">
        <v>1.2611445091145905</v>
      </c>
      <c r="T9" s="5">
        <v>13.035654596810103</v>
      </c>
      <c r="U9" s="5">
        <v>1.450881668287213</v>
      </c>
      <c r="V9" s="5">
        <v>0.23521624276945099</v>
      </c>
      <c r="W9" s="5">
        <v>2.28707277545973</v>
      </c>
      <c r="X9" s="5">
        <v>0</v>
      </c>
      <c r="Y9" s="5">
        <v>30</v>
      </c>
    </row>
    <row r="10" spans="1:52" x14ac:dyDescent="0.4">
      <c r="B10" t="s">
        <v>79</v>
      </c>
      <c r="C10" t="s">
        <v>71</v>
      </c>
      <c r="D10" t="s">
        <v>72</v>
      </c>
      <c r="E10" s="5">
        <v>34.732026932648196</v>
      </c>
      <c r="F10" s="5">
        <v>1</v>
      </c>
      <c r="G10" s="5">
        <v>438.21487424155725</v>
      </c>
      <c r="H10" s="5">
        <v>48.773762996408728</v>
      </c>
      <c r="I10" s="5">
        <v>0.243768373902089</v>
      </c>
      <c r="J10" s="5">
        <v>69.220285491394307</v>
      </c>
      <c r="K10" s="5">
        <v>0</v>
      </c>
      <c r="L10" s="5">
        <v>227.852142972206</v>
      </c>
      <c r="M10" s="5">
        <v>2627.5</v>
      </c>
      <c r="P10" t="s">
        <v>79</v>
      </c>
      <c r="Q10" t="s">
        <v>88</v>
      </c>
      <c r="R10" t="s">
        <v>72</v>
      </c>
      <c r="S10" s="5">
        <v>9.404111832123478</v>
      </c>
      <c r="T10" s="5">
        <v>118.71469118981344</v>
      </c>
      <c r="U10" s="5">
        <v>13.213066357697615</v>
      </c>
      <c r="V10" s="5">
        <v>6.1063010327656403E-2</v>
      </c>
      <c r="W10" s="5">
        <v>18.747160653919298</v>
      </c>
      <c r="X10" s="5">
        <v>0</v>
      </c>
      <c r="Y10" s="5">
        <v>63</v>
      </c>
    </row>
    <row r="11" spans="1:52" x14ac:dyDescent="0.4">
      <c r="B11" t="s">
        <v>80</v>
      </c>
      <c r="C11" t="s">
        <v>81</v>
      </c>
      <c r="D11" t="s">
        <v>82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3432</v>
      </c>
      <c r="P11" t="s">
        <v>80</v>
      </c>
      <c r="Q11" t="s">
        <v>89</v>
      </c>
      <c r="R11" t="s">
        <v>82</v>
      </c>
      <c r="S11" s="5">
        <v>129.56827485623495</v>
      </c>
      <c r="T11" s="5">
        <v>491.89903918166658</v>
      </c>
      <c r="U11" s="5">
        <v>54.748865375078047</v>
      </c>
      <c r="V11" s="5">
        <v>90.854980887247905</v>
      </c>
      <c r="W11" s="5">
        <v>168.281568825222</v>
      </c>
      <c r="X11" s="5">
        <v>0</v>
      </c>
      <c r="Y11" s="5">
        <v>253</v>
      </c>
    </row>
    <row r="12" spans="1:52" x14ac:dyDescent="0.4">
      <c r="C12" t="s">
        <v>83</v>
      </c>
      <c r="D12" t="s">
        <v>82</v>
      </c>
      <c r="E12" s="5">
        <v>119.837671772193</v>
      </c>
      <c r="F12" s="5">
        <v>1</v>
      </c>
      <c r="G12" s="5">
        <v>7.9511767914575646</v>
      </c>
      <c r="H12" s="5">
        <v>0.88497409641856406</v>
      </c>
      <c r="I12" s="5">
        <v>119.21190058744099</v>
      </c>
      <c r="J12" s="5">
        <v>120.463442956945</v>
      </c>
      <c r="K12" s="5">
        <v>55.773522793583801</v>
      </c>
      <c r="L12" s="5">
        <v>187.13107854005801</v>
      </c>
      <c r="M12" s="5">
        <v>3432</v>
      </c>
    </row>
    <row r="13" spans="1:52" x14ac:dyDescent="0.4">
      <c r="C13" t="s">
        <v>84</v>
      </c>
      <c r="D13" t="s">
        <v>82</v>
      </c>
      <c r="E13" s="5">
        <v>369.75729800997499</v>
      </c>
      <c r="F13" s="5">
        <v>1</v>
      </c>
      <c r="G13" s="5">
        <v>1479.1237174897858</v>
      </c>
      <c r="H13" s="5">
        <v>164.62798019824118</v>
      </c>
      <c r="I13" s="5">
        <v>253.347736838754</v>
      </c>
      <c r="J13" s="5">
        <v>486.166859181196</v>
      </c>
      <c r="K13" s="5">
        <v>75.6310155470278</v>
      </c>
      <c r="L13" s="5">
        <v>1000.1369284262699</v>
      </c>
      <c r="M13" s="5">
        <v>3432</v>
      </c>
    </row>
    <row r="14" spans="1:52" x14ac:dyDescent="0.4">
      <c r="C14" t="s">
        <v>85</v>
      </c>
      <c r="D14" t="s">
        <v>82</v>
      </c>
      <c r="E14" s="5">
        <v>19.924537973385398</v>
      </c>
      <c r="F14" s="5">
        <v>1</v>
      </c>
      <c r="G14" s="5">
        <v>1.1815982855572638</v>
      </c>
      <c r="H14" s="5">
        <v>0.13151309579912826</v>
      </c>
      <c r="I14" s="5">
        <v>19.831544171531</v>
      </c>
      <c r="J14" s="5">
        <v>20.017531775239799</v>
      </c>
      <c r="K14" s="5">
        <v>6.0587796105337501</v>
      </c>
      <c r="L14" s="5">
        <v>48.524443063083801</v>
      </c>
      <c r="M14" s="5">
        <v>3432</v>
      </c>
    </row>
    <row r="15" spans="1:52" x14ac:dyDescent="0.4">
      <c r="C15" t="s">
        <v>86</v>
      </c>
      <c r="D15" t="s">
        <v>82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3432</v>
      </c>
    </row>
    <row r="16" spans="1:52" x14ac:dyDescent="0.4">
      <c r="C16" t="s">
        <v>87</v>
      </c>
      <c r="D16" t="s">
        <v>82</v>
      </c>
      <c r="E16" s="5">
        <v>229.99508826439651</v>
      </c>
      <c r="F16" s="5">
        <v>1</v>
      </c>
      <c r="G16" s="5">
        <v>1488.2564925668025</v>
      </c>
      <c r="H16" s="5">
        <v>165.64446739045906</v>
      </c>
      <c r="I16" s="5">
        <v>112.866762106569</v>
      </c>
      <c r="J16" s="5">
        <v>347.12341442222402</v>
      </c>
      <c r="K16" s="5">
        <v>0</v>
      </c>
      <c r="L16" s="5">
        <v>815.30718653798601</v>
      </c>
      <c r="M16" s="5">
        <v>3432</v>
      </c>
    </row>
  </sheetData>
  <dataConsolidate/>
  <conditionalFormatting pivot="1" sqref="G3:G16">
    <cfRule type="expression" dxfId="29" priority="10">
      <formula>G3=200000000000000000000</formula>
    </cfRule>
  </conditionalFormatting>
  <conditionalFormatting pivot="1" sqref="T3:T11">
    <cfRule type="expression" dxfId="28" priority="9">
      <formula>T3=200000000000000000000</formula>
    </cfRule>
  </conditionalFormatting>
  <conditionalFormatting pivot="1" sqref="T3:T11">
    <cfRule type="expression" dxfId="27" priority="8">
      <formula>T3=300000000000000000000</formula>
    </cfRule>
  </conditionalFormatting>
  <conditionalFormatting pivot="1" sqref="G3:G16">
    <cfRule type="expression" dxfId="26" priority="7">
      <formula>G3=300000000000000000000</formula>
    </cfRule>
  </conditionalFormatting>
  <conditionalFormatting pivot="1" sqref="F3:F16">
    <cfRule type="expression" dxfId="25" priority="6">
      <formula>F3=0</formula>
    </cfRule>
  </conditionalFormatting>
  <conditionalFormatting pivot="1" sqref="F3:F16">
    <cfRule type="expression" dxfId="24" priority="5">
      <formula>F3=1</formula>
    </cfRule>
  </conditionalFormatting>
  <conditionalFormatting pivot="1" sqref="T3:T11">
    <cfRule type="expression" dxfId="23" priority="4">
      <formula>T3=400000000000000000000</formula>
    </cfRule>
  </conditionalFormatting>
  <conditionalFormatting pivot="1" sqref="AP3:AP5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16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9"/>
  <sheetViews>
    <sheetView workbookViewId="0">
      <selection activeCell="K2" sqref="K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26.3828125" bestFit="1" customWidth="1"/>
    <col min="5" max="5" width="12.15234375" bestFit="1" customWidth="1"/>
    <col min="6" max="6" width="8.69140625" bestFit="1" customWidth="1"/>
    <col min="7" max="7" width="11.84375" bestFit="1" customWidth="1"/>
    <col min="8" max="8" width="22.07421875" bestFit="1" customWidth="1"/>
    <col min="9" max="10" width="11.84375" bestFit="1" customWidth="1"/>
    <col min="11" max="11" width="20.921875" bestFit="1" customWidth="1"/>
    <col min="12" max="12" width="57.61328125" bestFit="1" customWidth="1"/>
    <col min="13" max="13" width="16" bestFit="1" customWidth="1"/>
    <col min="14" max="14" width="18.69140625" bestFit="1" customWidth="1"/>
    <col min="15" max="15" width="16.69140625" bestFit="1" customWidth="1"/>
    <col min="16" max="16" width="18.84375" bestFit="1" customWidth="1"/>
    <col min="17" max="17" width="11.84375" bestFit="1" customWidth="1"/>
    <col min="18" max="18" width="18" bestFit="1" customWidth="1"/>
    <col min="19" max="19" width="18.3828125" bestFit="1" customWidth="1"/>
    <col min="20" max="20" width="17.15234375" bestFit="1" customWidth="1"/>
    <col min="21" max="21" width="17.53515625" bestFit="1" customWidth="1"/>
    <col min="22" max="22" width="27.84375" bestFit="1" customWidth="1"/>
    <col min="23" max="23" width="19.53515625" bestFit="1" customWidth="1"/>
    <col min="24" max="24" width="22.53515625" bestFit="1" customWidth="1"/>
    <col min="25" max="25" width="21" bestFit="1" customWidth="1"/>
  </cols>
  <sheetData>
    <row r="1" spans="1:25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4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2701</v>
      </c>
      <c r="L2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2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1.4866344783015951E-3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2.1024186415055665E-3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1.8889482049156324E-2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2.9732689566031902E-3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2.8663658866025798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2689</v>
      </c>
      <c r="W2">
        <f>IF((DiscreteStatsTable[[#This Row],[RepsRequested]]&gt;1),DiscreteStatsTable[[#This Row],[HalfWidth]],DiscreteStatsTable[[#This Row],[BatchMeansHalfWidth]])</f>
        <v>1.8889482049156324E-2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2</v>
      </c>
      <c r="Y2">
        <f>IF(DiscreteStatsTable[[#This Row],[RepsRequested]]=DiscreteStatsTable[[#This Row],[RepsWithStatObserved]],1,0)</f>
        <v>1</v>
      </c>
    </row>
    <row r="3" spans="1:25" x14ac:dyDescent="0.4">
      <c r="A3" t="s">
        <v>67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2.9732689566031902E-3</v>
      </c>
      <c r="H3">
        <v>0</v>
      </c>
      <c r="I3">
        <v>0</v>
      </c>
      <c r="J3">
        <v>2.8663658866025798</v>
      </c>
      <c r="K3">
        <v>2677</v>
      </c>
      <c r="L3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2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1.4866344783015951E-3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2.1024186415055665E-3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1.8889482049156324E-2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2.9732689566031902E-3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2.8663658866025798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2689</v>
      </c>
      <c r="W3">
        <f>IF((DiscreteStatsTable[[#This Row],[RepsRequested]]&gt;1),DiscreteStatsTable[[#This Row],[HalfWidth]],DiscreteStatsTable[[#This Row],[BatchMeansHalfWidth]])</f>
        <v>1.8889482049156324E-2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2</v>
      </c>
      <c r="Y3">
        <f>IF(DiscreteStatsTable[[#This Row],[RepsRequested]]=DiscreteStatsTable[[#This Row],[RepsWithStatObserved]],1,0)</f>
        <v>1</v>
      </c>
    </row>
    <row r="4" spans="1:25" x14ac:dyDescent="0.4">
      <c r="A4" t="s">
        <v>67</v>
      </c>
      <c r="B4" t="s">
        <v>69</v>
      </c>
      <c r="C4">
        <v>1</v>
      </c>
      <c r="D4" t="s">
        <v>73</v>
      </c>
      <c r="E4" t="s">
        <v>71</v>
      </c>
      <c r="F4" t="s">
        <v>72</v>
      </c>
      <c r="G4">
        <v>0</v>
      </c>
      <c r="H4">
        <v>0</v>
      </c>
      <c r="I4">
        <v>0</v>
      </c>
      <c r="J4">
        <v>0</v>
      </c>
      <c r="K4">
        <v>2712</v>
      </c>
      <c r="L4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2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2615.5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2</v>
      </c>
      <c r="Y4">
        <f>IF(DiscreteStatsTable[[#This Row],[RepsRequested]]=DiscreteStatsTable[[#This Row],[RepsWithStatObserved]],1,0)</f>
        <v>1</v>
      </c>
    </row>
    <row r="5" spans="1:25" x14ac:dyDescent="0.4">
      <c r="A5" t="s">
        <v>67</v>
      </c>
      <c r="B5" t="s">
        <v>69</v>
      </c>
      <c r="C5">
        <v>2</v>
      </c>
      <c r="D5" t="s">
        <v>73</v>
      </c>
      <c r="E5" t="s">
        <v>71</v>
      </c>
      <c r="F5" t="s">
        <v>72</v>
      </c>
      <c r="G5">
        <v>0</v>
      </c>
      <c r="H5">
        <v>0</v>
      </c>
      <c r="I5">
        <v>0</v>
      </c>
      <c r="J5">
        <v>0</v>
      </c>
      <c r="K5">
        <v>2519</v>
      </c>
      <c r="L5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2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2615.5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2</v>
      </c>
      <c r="Y5">
        <f>IF(DiscreteStatsTable[[#This Row],[RepsRequested]]=DiscreteStatsTable[[#This Row],[RepsWithStatObserved]],1,0)</f>
        <v>1</v>
      </c>
    </row>
    <row r="6" spans="1:25" x14ac:dyDescent="0.4">
      <c r="A6" t="s">
        <v>67</v>
      </c>
      <c r="B6" t="s">
        <v>69</v>
      </c>
      <c r="C6">
        <v>1</v>
      </c>
      <c r="D6" t="s">
        <v>74</v>
      </c>
      <c r="E6" t="s">
        <v>71</v>
      </c>
      <c r="F6" t="s">
        <v>72</v>
      </c>
      <c r="G6">
        <v>0</v>
      </c>
      <c r="H6">
        <v>0</v>
      </c>
      <c r="I6">
        <v>0</v>
      </c>
      <c r="J6">
        <v>0</v>
      </c>
      <c r="K6">
        <v>2734</v>
      </c>
      <c r="L6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2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0.26473284999772151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0.37438878687245997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3.3637497924620736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0.52946569999544302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32.150731537010898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2631.5</v>
      </c>
      <c r="W6">
        <f>IF((DiscreteStatsTable[[#This Row],[RepsRequested]]&gt;1),DiscreteStatsTable[[#This Row],[HalfWidth]],DiscreteStatsTable[[#This Row],[BatchMeansHalfWidth]])</f>
        <v>3.3637497924620736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2</v>
      </c>
      <c r="Y6">
        <f>IF(DiscreteStatsTable[[#This Row],[RepsRequested]]=DiscreteStatsTable[[#This Row],[RepsWithStatObserved]],1,0)</f>
        <v>1</v>
      </c>
    </row>
    <row r="7" spans="1:25" x14ac:dyDescent="0.4">
      <c r="A7" t="s">
        <v>67</v>
      </c>
      <c r="B7" t="s">
        <v>69</v>
      </c>
      <c r="C7">
        <v>2</v>
      </c>
      <c r="D7" t="s">
        <v>74</v>
      </c>
      <c r="E7" t="s">
        <v>71</v>
      </c>
      <c r="F7" t="s">
        <v>72</v>
      </c>
      <c r="G7">
        <v>0.52946569999544302</v>
      </c>
      <c r="H7">
        <v>3E+20</v>
      </c>
      <c r="I7">
        <v>0</v>
      </c>
      <c r="J7">
        <v>32.150731537010898</v>
      </c>
      <c r="K7">
        <v>2529</v>
      </c>
      <c r="L7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2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0.26473284999772151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0.37438878687245997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3.3637497924620736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0.52946569999544302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32.150731537010898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2631.5</v>
      </c>
      <c r="W7">
        <f>IF((DiscreteStatsTable[[#This Row],[RepsRequested]]&gt;1),DiscreteStatsTable[[#This Row],[HalfWidth]],DiscreteStatsTable[[#This Row],[BatchMeansHalfWidth]])</f>
        <v>3.3637497924620736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2</v>
      </c>
      <c r="Y7">
        <f>IF(DiscreteStatsTable[[#This Row],[RepsRequested]]=DiscreteStatsTable[[#This Row],[RepsWithStatObserved]],1,0)</f>
        <v>1</v>
      </c>
    </row>
    <row r="8" spans="1:25" x14ac:dyDescent="0.4">
      <c r="A8" t="s">
        <v>67</v>
      </c>
      <c r="B8" t="s">
        <v>69</v>
      </c>
      <c r="C8">
        <v>1</v>
      </c>
      <c r="D8" t="s">
        <v>75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2744</v>
      </c>
      <c r="L8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2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7.8906891675549504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11.159119637226679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100.26071207246906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15.781378335109901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147.42664324196599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2674.5</v>
      </c>
      <c r="W8">
        <f>IF((DiscreteStatsTable[[#This Row],[RepsRequested]]&gt;1),DiscreteStatsTable[[#This Row],[HalfWidth]],DiscreteStatsTable[[#This Row],[BatchMeansHalfWidth]])</f>
        <v>100.26071207246906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2</v>
      </c>
      <c r="Y8">
        <f>IF(DiscreteStatsTable[[#This Row],[RepsRequested]]=DiscreteStatsTable[[#This Row],[RepsWithStatObserved]],1,0)</f>
        <v>1</v>
      </c>
    </row>
    <row r="9" spans="1:25" x14ac:dyDescent="0.4">
      <c r="A9" t="s">
        <v>67</v>
      </c>
      <c r="B9" t="s">
        <v>69</v>
      </c>
      <c r="C9">
        <v>2</v>
      </c>
      <c r="D9" t="s">
        <v>75</v>
      </c>
      <c r="E9" t="s">
        <v>71</v>
      </c>
      <c r="F9" t="s">
        <v>72</v>
      </c>
      <c r="G9">
        <v>15.781378335109901</v>
      </c>
      <c r="H9">
        <v>3E+20</v>
      </c>
      <c r="I9">
        <v>0</v>
      </c>
      <c r="J9">
        <v>147.42664324196599</v>
      </c>
      <c r="K9">
        <v>2605</v>
      </c>
      <c r="L9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2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7.8906891675549504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11.159119637226679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100.26071207246906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15.781378335109901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147.42664324196599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2674.5</v>
      </c>
      <c r="W9">
        <f>IF((DiscreteStatsTable[[#This Row],[RepsRequested]]&gt;1),DiscreteStatsTable[[#This Row],[HalfWidth]],DiscreteStatsTable[[#This Row],[BatchMeansHalfWidth]])</f>
        <v>100.26071207246906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2</v>
      </c>
      <c r="Y9">
        <f>IF(DiscreteStatsTable[[#This Row],[RepsRequested]]=DiscreteStatsTable[[#This Row],[RepsWithStatObserved]],1,0)</f>
        <v>1</v>
      </c>
    </row>
    <row r="10" spans="1:25" x14ac:dyDescent="0.4">
      <c r="A10" t="s">
        <v>67</v>
      </c>
      <c r="B10" t="s">
        <v>69</v>
      </c>
      <c r="C10">
        <v>1</v>
      </c>
      <c r="D10" t="s">
        <v>76</v>
      </c>
      <c r="E10" t="s">
        <v>71</v>
      </c>
      <c r="F10" t="s">
        <v>72</v>
      </c>
      <c r="G10">
        <v>60.0548749343655</v>
      </c>
      <c r="H10">
        <v>3E+20</v>
      </c>
      <c r="I10">
        <v>0</v>
      </c>
      <c r="J10">
        <v>244.699025596468</v>
      </c>
      <c r="K10">
        <v>2701</v>
      </c>
      <c r="L10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2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32.699779596633789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38.685946826629205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347.57944193879695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5.3446842589020704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60.0548749343655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244.699025596468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2653</v>
      </c>
      <c r="W10">
        <f>IF((DiscreteStatsTable[[#This Row],[RepsRequested]]&gt;1),DiscreteStatsTable[[#This Row],[HalfWidth]],DiscreteStatsTable[[#This Row],[BatchMeansHalfWidth]])</f>
        <v>347.57944193879695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2</v>
      </c>
      <c r="Y10">
        <f>IF(DiscreteStatsTable[[#This Row],[RepsRequested]]=DiscreteStatsTable[[#This Row],[RepsWithStatObserved]],1,0)</f>
        <v>1</v>
      </c>
    </row>
    <row r="11" spans="1:25" x14ac:dyDescent="0.4">
      <c r="A11" t="s">
        <v>67</v>
      </c>
      <c r="B11" t="s">
        <v>69</v>
      </c>
      <c r="C11">
        <v>2</v>
      </c>
      <c r="D11" t="s">
        <v>76</v>
      </c>
      <c r="E11" t="s">
        <v>71</v>
      </c>
      <c r="F11" t="s">
        <v>72</v>
      </c>
      <c r="G11">
        <v>5.3446842589020704</v>
      </c>
      <c r="H11">
        <v>3E+20</v>
      </c>
      <c r="I11">
        <v>0</v>
      </c>
      <c r="J11">
        <v>98.344688457029207</v>
      </c>
      <c r="K11">
        <v>2605</v>
      </c>
      <c r="L11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2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32.699779596633789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38.685946826629205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347.57944193879695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5.3446842589020704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60.0548749343655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244.699025596468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2653</v>
      </c>
      <c r="W11">
        <f>IF((DiscreteStatsTable[[#This Row],[RepsRequested]]&gt;1),DiscreteStatsTable[[#This Row],[HalfWidth]],DiscreteStatsTable[[#This Row],[BatchMeansHalfWidth]])</f>
        <v>347.57944193879695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2</v>
      </c>
      <c r="Y11">
        <f>IF(DiscreteStatsTable[[#This Row],[RepsRequested]]=DiscreteStatsTable[[#This Row],[RepsWithStatObserved]],1,0)</f>
        <v>1</v>
      </c>
    </row>
    <row r="12" spans="1:25" x14ac:dyDescent="0.4">
      <c r="A12" t="s">
        <v>67</v>
      </c>
      <c r="B12" t="s">
        <v>69</v>
      </c>
      <c r="C12">
        <v>1</v>
      </c>
      <c r="D12" t="s">
        <v>77</v>
      </c>
      <c r="E12" t="s">
        <v>71</v>
      </c>
      <c r="F12" t="s">
        <v>72</v>
      </c>
      <c r="G12">
        <v>11.4482158401373</v>
      </c>
      <c r="H12">
        <v>10.7796958584434</v>
      </c>
      <c r="I12">
        <v>0</v>
      </c>
      <c r="J12">
        <v>134.91731097626001</v>
      </c>
      <c r="K12">
        <v>2700</v>
      </c>
      <c r="L12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2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227.30764179212767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305.27132774737555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2742.7540603791299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11.4482158401373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443.16706774411801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778.61496068340398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2609.5</v>
      </c>
      <c r="W12">
        <f>IF((DiscreteStatsTable[[#This Row],[RepsRequested]]&gt;1),DiscreteStatsTable[[#This Row],[HalfWidth]],DiscreteStatsTable[[#This Row],[BatchMeansHalfWidth]])</f>
        <v>2742.7540603791299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2</v>
      </c>
      <c r="Y12">
        <f>IF(DiscreteStatsTable[[#This Row],[RepsRequested]]=DiscreteStatsTable[[#This Row],[RepsWithStatObserved]],1,0)</f>
        <v>1</v>
      </c>
    </row>
    <row r="13" spans="1:25" x14ac:dyDescent="0.4">
      <c r="A13" t="s">
        <v>67</v>
      </c>
      <c r="B13" t="s">
        <v>69</v>
      </c>
      <c r="C13">
        <v>2</v>
      </c>
      <c r="D13" t="s">
        <v>77</v>
      </c>
      <c r="E13" t="s">
        <v>71</v>
      </c>
      <c r="F13" t="s">
        <v>72</v>
      </c>
      <c r="G13">
        <v>443.16706774411801</v>
      </c>
      <c r="H13">
        <v>3E+20</v>
      </c>
      <c r="I13">
        <v>0</v>
      </c>
      <c r="J13">
        <v>778.61496068340398</v>
      </c>
      <c r="K13">
        <v>2519</v>
      </c>
      <c r="L13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2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227.30764179212767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305.27132774737555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2742.7540603791299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11.4482158401373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443.16706774411801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778.61496068340398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2609.5</v>
      </c>
      <c r="W13">
        <f>IF((DiscreteStatsTable[[#This Row],[RepsRequested]]&gt;1),DiscreteStatsTable[[#This Row],[HalfWidth]],DiscreteStatsTable[[#This Row],[BatchMeansHalfWidth]])</f>
        <v>2742.7540603791299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2</v>
      </c>
      <c r="Y13">
        <f>IF(DiscreteStatsTable[[#This Row],[RepsRequested]]=DiscreteStatsTable[[#This Row],[RepsWithStatObserved]],1,0)</f>
        <v>1</v>
      </c>
    </row>
    <row r="14" spans="1:25" x14ac:dyDescent="0.4">
      <c r="A14" t="s">
        <v>67</v>
      </c>
      <c r="B14" t="s">
        <v>69</v>
      </c>
      <c r="C14">
        <v>1</v>
      </c>
      <c r="D14" t="s">
        <v>78</v>
      </c>
      <c r="E14" t="s">
        <v>71</v>
      </c>
      <c r="F14" t="s">
        <v>72</v>
      </c>
      <c r="G14">
        <v>8.5131807890081497</v>
      </c>
      <c r="H14">
        <v>6.8355710303807804</v>
      </c>
      <c r="I14">
        <v>0</v>
      </c>
      <c r="J14">
        <v>108.479049143764</v>
      </c>
      <c r="K14">
        <v>2708</v>
      </c>
      <c r="L14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2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4.7275835862235942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5.3536429058595694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48.100573107270776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0.94198638343903895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8.5131807890081497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108.479049143764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2612.5</v>
      </c>
      <c r="W14">
        <f>IF((DiscreteStatsTable[[#This Row],[RepsRequested]]&gt;1),DiscreteStatsTable[[#This Row],[HalfWidth]],DiscreteStatsTable[[#This Row],[BatchMeansHalfWidth]])</f>
        <v>48.100573107270776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2</v>
      </c>
      <c r="Y14">
        <f>IF(DiscreteStatsTable[[#This Row],[RepsRequested]]=DiscreteStatsTable[[#This Row],[RepsWithStatObserved]],1,0)</f>
        <v>1</v>
      </c>
    </row>
    <row r="15" spans="1:25" x14ac:dyDescent="0.4">
      <c r="A15" t="s">
        <v>67</v>
      </c>
      <c r="B15" t="s">
        <v>69</v>
      </c>
      <c r="C15">
        <v>2</v>
      </c>
      <c r="D15" t="s">
        <v>78</v>
      </c>
      <c r="E15" t="s">
        <v>71</v>
      </c>
      <c r="F15" t="s">
        <v>72</v>
      </c>
      <c r="G15">
        <v>0.94198638343903895</v>
      </c>
      <c r="H15">
        <v>3E+20</v>
      </c>
      <c r="I15">
        <v>0</v>
      </c>
      <c r="J15">
        <v>47.371696847495201</v>
      </c>
      <c r="K15">
        <v>2517</v>
      </c>
      <c r="L15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2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4.7275835862235942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5.3536429058595694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48.100573107270776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0.94198638343903895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8.5131807890081497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108.479049143764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2612.5</v>
      </c>
      <c r="W15">
        <f>IF((DiscreteStatsTable[[#This Row],[RepsRequested]]&gt;1),DiscreteStatsTable[[#This Row],[HalfWidth]],DiscreteStatsTable[[#This Row],[BatchMeansHalfWidth]])</f>
        <v>48.100573107270776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2</v>
      </c>
      <c r="Y15">
        <f>IF(DiscreteStatsTable[[#This Row],[RepsRequested]]=DiscreteStatsTable[[#This Row],[RepsWithStatObserved]],1,0)</f>
        <v>1</v>
      </c>
    </row>
    <row r="16" spans="1:25" x14ac:dyDescent="0.4">
      <c r="A16" t="s">
        <v>67</v>
      </c>
      <c r="B16" t="s">
        <v>69</v>
      </c>
      <c r="C16">
        <v>1</v>
      </c>
      <c r="D16" t="s">
        <v>79</v>
      </c>
      <c r="E16" t="s">
        <v>71</v>
      </c>
      <c r="F16" t="s">
        <v>72</v>
      </c>
      <c r="G16">
        <v>69.220285491394307</v>
      </c>
      <c r="H16">
        <v>3E+20</v>
      </c>
      <c r="I16">
        <v>0</v>
      </c>
      <c r="J16">
        <v>227.852142972206</v>
      </c>
      <c r="K16">
        <v>2730</v>
      </c>
      <c r="L16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2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34.732026932648196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48.773762996408728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438.21487424155725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0.243768373902089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69.220285491394307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227.852142972206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2627.5</v>
      </c>
      <c r="W16">
        <f>IF((DiscreteStatsTable[[#This Row],[RepsRequested]]&gt;1),DiscreteStatsTable[[#This Row],[HalfWidth]],DiscreteStatsTable[[#This Row],[BatchMeansHalfWidth]])</f>
        <v>438.21487424155725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2</v>
      </c>
      <c r="Y16">
        <f>IF(DiscreteStatsTable[[#This Row],[RepsRequested]]=DiscreteStatsTable[[#This Row],[RepsWithStatObserved]],1,0)</f>
        <v>1</v>
      </c>
    </row>
    <row r="17" spans="1:25" x14ac:dyDescent="0.4">
      <c r="A17" t="s">
        <v>67</v>
      </c>
      <c r="B17" t="s">
        <v>69</v>
      </c>
      <c r="C17">
        <v>2</v>
      </c>
      <c r="D17" t="s">
        <v>79</v>
      </c>
      <c r="E17" t="s">
        <v>71</v>
      </c>
      <c r="F17" t="s">
        <v>72</v>
      </c>
      <c r="G17">
        <v>0.243768373902089</v>
      </c>
      <c r="H17">
        <v>3E+20</v>
      </c>
      <c r="I17">
        <v>0</v>
      </c>
      <c r="J17">
        <v>21.7787575826374</v>
      </c>
      <c r="K17">
        <v>2525</v>
      </c>
      <c r="L17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2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34.732026932648196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48.773762996408728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438.21487424155725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0.243768373902089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69.220285491394307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227.852142972206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2627.5</v>
      </c>
      <c r="W17">
        <f>IF((DiscreteStatsTable[[#This Row],[RepsRequested]]&gt;1),DiscreteStatsTable[[#This Row],[HalfWidth]],DiscreteStatsTable[[#This Row],[BatchMeansHalfWidth]])</f>
        <v>438.21487424155725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2</v>
      </c>
      <c r="Y17">
        <f>IF(DiscreteStatsTable[[#This Row],[RepsRequested]]=DiscreteStatsTable[[#This Row],[RepsWithStatObserved]],1,0)</f>
        <v>1</v>
      </c>
    </row>
    <row r="18" spans="1:25" x14ac:dyDescent="0.4">
      <c r="A18" t="s">
        <v>67</v>
      </c>
      <c r="B18" t="s">
        <v>69</v>
      </c>
      <c r="C18">
        <v>1</v>
      </c>
      <c r="D18" t="s">
        <v>80</v>
      </c>
      <c r="E18" t="s">
        <v>81</v>
      </c>
      <c r="F18" t="s">
        <v>82</v>
      </c>
      <c r="G18">
        <v>0</v>
      </c>
      <c r="H18">
        <v>0</v>
      </c>
      <c r="I18">
        <v>0</v>
      </c>
      <c r="J18">
        <v>0</v>
      </c>
      <c r="K18">
        <v>3551</v>
      </c>
      <c r="L18" t="str">
        <f>DiscreteStatsTable[[#This Row],[ProjectName]]&amp;DiscreteStatsTable[[#This Row],[Name]]&amp;DiscreteStatsTable[[#This Row],[Type]]&amp;DiscreteStatsTable[[#This Row],[Source]]</f>
        <v>Unnamed ProjectTouristNVA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2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3432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2</v>
      </c>
      <c r="Y18">
        <f>IF(DiscreteStatsTable[[#This Row],[RepsRequested]]=DiscreteStatsTable[[#This Row],[RepsWithStatObserved]],1,0)</f>
        <v>1</v>
      </c>
    </row>
    <row r="19" spans="1:25" x14ac:dyDescent="0.4">
      <c r="A19" t="s">
        <v>67</v>
      </c>
      <c r="B19" t="s">
        <v>69</v>
      </c>
      <c r="C19">
        <v>1</v>
      </c>
      <c r="D19" t="s">
        <v>80</v>
      </c>
      <c r="E19" t="s">
        <v>83</v>
      </c>
      <c r="F19" t="s">
        <v>82</v>
      </c>
      <c r="G19">
        <v>120.463442956945</v>
      </c>
      <c r="H19">
        <v>1.1216562221991699</v>
      </c>
      <c r="I19">
        <v>64.305278892697601</v>
      </c>
      <c r="J19">
        <v>187.13107854005801</v>
      </c>
      <c r="K19">
        <v>3551</v>
      </c>
      <c r="L19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2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119.837671772193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0.88497409641856406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7.9511767914575646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119.21190058744099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120.463442956945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55.773522793583801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187.13107854005801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3432</v>
      </c>
      <c r="W19">
        <f>IF((DiscreteStatsTable[[#This Row],[RepsRequested]]&gt;1),DiscreteStatsTable[[#This Row],[HalfWidth]],DiscreteStatsTable[[#This Row],[BatchMeansHalfWidth]])</f>
        <v>7.9511767914575646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2</v>
      </c>
      <c r="Y19">
        <f>IF(DiscreteStatsTable[[#This Row],[RepsRequested]]=DiscreteStatsTable[[#This Row],[RepsWithStatObserved]],1,0)</f>
        <v>1</v>
      </c>
    </row>
    <row r="20" spans="1:25" x14ac:dyDescent="0.4">
      <c r="A20" t="s">
        <v>67</v>
      </c>
      <c r="B20" t="s">
        <v>69</v>
      </c>
      <c r="C20">
        <v>1</v>
      </c>
      <c r="D20" t="s">
        <v>80</v>
      </c>
      <c r="E20" t="s">
        <v>84</v>
      </c>
      <c r="F20" t="s">
        <v>82</v>
      </c>
      <c r="G20">
        <v>253.347736838754</v>
      </c>
      <c r="H20">
        <v>3E+20</v>
      </c>
      <c r="I20">
        <v>75.6310155470278</v>
      </c>
      <c r="J20">
        <v>572.38878920866796</v>
      </c>
      <c r="K20">
        <v>3551</v>
      </c>
      <c r="L20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2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369.75729800997499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164.62798019824118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1479.1237174897858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253.347736838754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486.166859181196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75.6310155470278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1000.1369284262699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3432</v>
      </c>
      <c r="W20">
        <f>IF((DiscreteStatsTable[[#This Row],[RepsRequested]]&gt;1),DiscreteStatsTable[[#This Row],[HalfWidth]],DiscreteStatsTable[[#This Row],[BatchMeansHalfWidth]])</f>
        <v>1479.1237174897858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2</v>
      </c>
      <c r="Y20">
        <f>IF(DiscreteStatsTable[[#This Row],[RepsRequested]]=DiscreteStatsTable[[#This Row],[RepsWithStatObserved]],1,0)</f>
        <v>1</v>
      </c>
    </row>
    <row r="21" spans="1:25" x14ac:dyDescent="0.4">
      <c r="A21" t="s">
        <v>67</v>
      </c>
      <c r="B21" t="s">
        <v>69</v>
      </c>
      <c r="C21">
        <v>1</v>
      </c>
      <c r="D21" t="s">
        <v>80</v>
      </c>
      <c r="E21" t="s">
        <v>85</v>
      </c>
      <c r="F21" t="s">
        <v>82</v>
      </c>
      <c r="G21">
        <v>20.017531775239799</v>
      </c>
      <c r="H21">
        <v>0.27700757195817199</v>
      </c>
      <c r="I21">
        <v>6.0587796105337501</v>
      </c>
      <c r="J21">
        <v>48.524443063083801</v>
      </c>
      <c r="K21">
        <v>3551</v>
      </c>
      <c r="L21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2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19.924537973385398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0.13151309579912826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1.1815982855572638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19.831544171531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20.017531775239799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6.0587796105337501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48.524443063083801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3432</v>
      </c>
      <c r="W21">
        <f>IF((DiscreteStatsTable[[#This Row],[RepsRequested]]&gt;1),DiscreteStatsTable[[#This Row],[HalfWidth]],DiscreteStatsTable[[#This Row],[BatchMeansHalfWidth]])</f>
        <v>1.1815982855572638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2</v>
      </c>
      <c r="Y21">
        <f>IF(DiscreteStatsTable[[#This Row],[RepsRequested]]=DiscreteStatsTable[[#This Row],[RepsWithStatObserved]],1,0)</f>
        <v>1</v>
      </c>
    </row>
    <row r="22" spans="1:25" x14ac:dyDescent="0.4">
      <c r="A22" t="s">
        <v>67</v>
      </c>
      <c r="B22" t="s">
        <v>69</v>
      </c>
      <c r="C22">
        <v>1</v>
      </c>
      <c r="D22" t="s">
        <v>80</v>
      </c>
      <c r="E22" t="s">
        <v>86</v>
      </c>
      <c r="F22" t="s">
        <v>82</v>
      </c>
      <c r="G22">
        <v>0</v>
      </c>
      <c r="H22">
        <v>0</v>
      </c>
      <c r="I22">
        <v>0</v>
      </c>
      <c r="J22">
        <v>0</v>
      </c>
      <c r="K22">
        <v>3551</v>
      </c>
      <c r="L22" t="str">
        <f>DiscreteStatsTable[[#This Row],[ProjectName]]&amp;DiscreteStatsTable[[#This Row],[Name]]&amp;DiscreteStatsTable[[#This Row],[Type]]&amp;DiscreteStatsTable[[#This Row],[Source]]</f>
        <v>Unnamed ProjectTouristVA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2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3432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2</v>
      </c>
      <c r="Y22">
        <f>IF(DiscreteStatsTable[[#This Row],[RepsRequested]]=DiscreteStatsTable[[#This Row],[RepsWithStatObserved]],1,0)</f>
        <v>1</v>
      </c>
    </row>
    <row r="23" spans="1:25" x14ac:dyDescent="0.4">
      <c r="A23" t="s">
        <v>67</v>
      </c>
      <c r="B23" t="s">
        <v>69</v>
      </c>
      <c r="C23">
        <v>1</v>
      </c>
      <c r="D23" t="s">
        <v>80</v>
      </c>
      <c r="E23" t="s">
        <v>87</v>
      </c>
      <c r="F23" t="s">
        <v>82</v>
      </c>
      <c r="G23">
        <v>112.866762106569</v>
      </c>
      <c r="H23">
        <v>3E+20</v>
      </c>
      <c r="I23">
        <v>0</v>
      </c>
      <c r="J23">
        <v>370.34411742816798</v>
      </c>
      <c r="K23">
        <v>3551</v>
      </c>
      <c r="L23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2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229.99508826439651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165.64446739045906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1488.2564925668025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112.866762106569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347.12341442222402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815.30718653798601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3432</v>
      </c>
      <c r="W23">
        <f>IF((DiscreteStatsTable[[#This Row],[RepsRequested]]&gt;1),DiscreteStatsTable[[#This Row],[HalfWidth]],DiscreteStatsTable[[#This Row],[BatchMeansHalfWidth]])</f>
        <v>1488.2564925668025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2</v>
      </c>
      <c r="Y23">
        <f>IF(DiscreteStatsTable[[#This Row],[RepsRequested]]=DiscreteStatsTable[[#This Row],[RepsWithStatObserved]],1,0)</f>
        <v>1</v>
      </c>
    </row>
    <row r="24" spans="1:25" x14ac:dyDescent="0.4">
      <c r="A24" t="s">
        <v>67</v>
      </c>
      <c r="B24" t="s">
        <v>69</v>
      </c>
      <c r="C24">
        <v>2</v>
      </c>
      <c r="D24" t="s">
        <v>80</v>
      </c>
      <c r="E24" t="s">
        <v>81</v>
      </c>
      <c r="F24" t="s">
        <v>82</v>
      </c>
      <c r="G24">
        <v>0</v>
      </c>
      <c r="H24">
        <v>0</v>
      </c>
      <c r="I24">
        <v>0</v>
      </c>
      <c r="J24">
        <v>0</v>
      </c>
      <c r="K24">
        <v>3313</v>
      </c>
      <c r="L24" t="str">
        <f>DiscreteStatsTable[[#This Row],[ProjectName]]&amp;DiscreteStatsTable[[#This Row],[Name]]&amp;DiscreteStatsTable[[#This Row],[Type]]&amp;DiscreteStatsTable[[#This Row],[Source]]</f>
        <v>Unnamed ProjectTouristNVA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2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3432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2</v>
      </c>
      <c r="Y24">
        <f>IF(DiscreteStatsTable[[#This Row],[RepsRequested]]=DiscreteStatsTable[[#This Row],[RepsWithStatObserved]],1,0)</f>
        <v>1</v>
      </c>
    </row>
    <row r="25" spans="1:25" x14ac:dyDescent="0.4">
      <c r="A25" t="s">
        <v>67</v>
      </c>
      <c r="B25" t="s">
        <v>69</v>
      </c>
      <c r="C25">
        <v>2</v>
      </c>
      <c r="D25" t="s">
        <v>80</v>
      </c>
      <c r="E25" t="s">
        <v>83</v>
      </c>
      <c r="F25" t="s">
        <v>82</v>
      </c>
      <c r="G25">
        <v>119.21190058744099</v>
      </c>
      <c r="H25">
        <v>0.72181149144446499</v>
      </c>
      <c r="I25">
        <v>55.773522793583801</v>
      </c>
      <c r="J25">
        <v>181.418476140097</v>
      </c>
      <c r="K25">
        <v>3313</v>
      </c>
      <c r="L2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2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119.837671772193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0.88497409641856406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7.9511767914575646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119.21190058744099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120.463442956945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55.773522793583801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187.13107854005801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3432</v>
      </c>
      <c r="W25">
        <f>IF((DiscreteStatsTable[[#This Row],[RepsRequested]]&gt;1),DiscreteStatsTable[[#This Row],[HalfWidth]],DiscreteStatsTable[[#This Row],[BatchMeansHalfWidth]])</f>
        <v>7.9511767914575646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2</v>
      </c>
      <c r="Y25">
        <f>IF(DiscreteStatsTable[[#This Row],[RepsRequested]]=DiscreteStatsTable[[#This Row],[RepsWithStatObserved]],1,0)</f>
        <v>1</v>
      </c>
    </row>
    <row r="26" spans="1:25" x14ac:dyDescent="0.4">
      <c r="A26" t="s">
        <v>67</v>
      </c>
      <c r="B26" t="s">
        <v>69</v>
      </c>
      <c r="C26">
        <v>2</v>
      </c>
      <c r="D26" t="s">
        <v>80</v>
      </c>
      <c r="E26" t="s">
        <v>84</v>
      </c>
      <c r="F26" t="s">
        <v>82</v>
      </c>
      <c r="G26">
        <v>486.166859181196</v>
      </c>
      <c r="H26">
        <v>3E+20</v>
      </c>
      <c r="I26">
        <v>79.803458261490107</v>
      </c>
      <c r="J26">
        <v>1000.1369284262699</v>
      </c>
      <c r="K26">
        <v>3313</v>
      </c>
      <c r="L26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2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369.75729800997499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164.62798019824118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1479.1237174897858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253.347736838754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486.166859181196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75.6310155470278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1000.1369284262699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3432</v>
      </c>
      <c r="W26">
        <f>IF((DiscreteStatsTable[[#This Row],[RepsRequested]]&gt;1),DiscreteStatsTable[[#This Row],[HalfWidth]],DiscreteStatsTable[[#This Row],[BatchMeansHalfWidth]])</f>
        <v>1479.1237174897858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2</v>
      </c>
      <c r="Y26">
        <f>IF(DiscreteStatsTable[[#This Row],[RepsRequested]]=DiscreteStatsTable[[#This Row],[RepsWithStatObserved]],1,0)</f>
        <v>1</v>
      </c>
    </row>
    <row r="27" spans="1:25" x14ac:dyDescent="0.4">
      <c r="A27" t="s">
        <v>67</v>
      </c>
      <c r="B27" t="s">
        <v>69</v>
      </c>
      <c r="C27">
        <v>2</v>
      </c>
      <c r="D27" t="s">
        <v>80</v>
      </c>
      <c r="E27" t="s">
        <v>85</v>
      </c>
      <c r="F27" t="s">
        <v>82</v>
      </c>
      <c r="G27">
        <v>19.831544171531</v>
      </c>
      <c r="H27">
        <v>0.26063691541052603</v>
      </c>
      <c r="I27">
        <v>6.0823389052597996</v>
      </c>
      <c r="J27">
        <v>48.1694551218106</v>
      </c>
      <c r="K27">
        <v>3313</v>
      </c>
      <c r="L27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2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19.924537973385398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0.13151309579912826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1.1815982855572638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19.831544171531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20.017531775239799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6.0587796105337501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48.524443063083801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3432</v>
      </c>
      <c r="W27">
        <f>IF((DiscreteStatsTable[[#This Row],[RepsRequested]]&gt;1),DiscreteStatsTable[[#This Row],[HalfWidth]],DiscreteStatsTable[[#This Row],[BatchMeansHalfWidth]])</f>
        <v>1.1815982855572638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2</v>
      </c>
      <c r="Y27">
        <f>IF(DiscreteStatsTable[[#This Row],[RepsRequested]]=DiscreteStatsTable[[#This Row],[RepsWithStatObserved]],1,0)</f>
        <v>1</v>
      </c>
    </row>
    <row r="28" spans="1:25" x14ac:dyDescent="0.4">
      <c r="A28" t="s">
        <v>67</v>
      </c>
      <c r="B28" t="s">
        <v>69</v>
      </c>
      <c r="C28">
        <v>2</v>
      </c>
      <c r="D28" t="s">
        <v>80</v>
      </c>
      <c r="E28" t="s">
        <v>86</v>
      </c>
      <c r="F28" t="s">
        <v>82</v>
      </c>
      <c r="G28">
        <v>0</v>
      </c>
      <c r="H28">
        <v>0</v>
      </c>
      <c r="I28">
        <v>0</v>
      </c>
      <c r="J28">
        <v>0</v>
      </c>
      <c r="K28">
        <v>3313</v>
      </c>
      <c r="L28" t="str">
        <f>DiscreteStatsTable[[#This Row],[ProjectName]]&amp;DiscreteStatsTable[[#This Row],[Name]]&amp;DiscreteStatsTable[[#This Row],[Type]]&amp;DiscreteStatsTable[[#This Row],[Source]]</f>
        <v>Unnamed ProjectTouristVA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2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3432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2</v>
      </c>
      <c r="Y28">
        <f>IF(DiscreteStatsTable[[#This Row],[RepsRequested]]=DiscreteStatsTable[[#This Row],[RepsWithStatObserved]],1,0)</f>
        <v>1</v>
      </c>
    </row>
    <row r="29" spans="1:25" x14ac:dyDescent="0.4">
      <c r="A29" t="s">
        <v>67</v>
      </c>
      <c r="B29" t="s">
        <v>69</v>
      </c>
      <c r="C29">
        <v>2</v>
      </c>
      <c r="D29" t="s">
        <v>80</v>
      </c>
      <c r="E29" t="s">
        <v>87</v>
      </c>
      <c r="F29" t="s">
        <v>82</v>
      </c>
      <c r="G29">
        <v>347.12341442222402</v>
      </c>
      <c r="H29">
        <v>3E+20</v>
      </c>
      <c r="I29">
        <v>0</v>
      </c>
      <c r="J29">
        <v>815.30718653798601</v>
      </c>
      <c r="K29">
        <v>3313</v>
      </c>
      <c r="L29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2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229.99508826439651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165.64446739045906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1488.2564925668025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112.866762106569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347.12341442222402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815.30718653798601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3432</v>
      </c>
      <c r="W29">
        <f>IF((DiscreteStatsTable[[#This Row],[RepsRequested]]&gt;1),DiscreteStatsTable[[#This Row],[HalfWidth]],DiscreteStatsTable[[#This Row],[BatchMeansHalfWidth]])</f>
        <v>1488.2564925668025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2</v>
      </c>
      <c r="Y29">
        <f>IF(DiscreteStatsTable[[#This Row],[RepsRequested]]=DiscreteStatsTable[[#This Row],[RepsWithStatObserved]],1,0)</f>
        <v>1</v>
      </c>
    </row>
  </sheetData>
  <phoneticPr fontId="2" type="noConversion"/>
  <conditionalFormatting sqref="H2:H29 Q2:Q29">
    <cfRule type="expression" dxfId="19" priority="23">
      <formula>H2=200000000000000000000</formula>
    </cfRule>
  </conditionalFormatting>
  <conditionalFormatting sqref="H2:H29">
    <cfRule type="expression" dxfId="18" priority="21">
      <formula>H2=300000000000000000000</formula>
    </cfRule>
  </conditionalFormatting>
  <conditionalFormatting sqref="L2:Y29">
    <cfRule type="expression" dxfId="17" priority="19">
      <formula>MOD(ROW(),2)=0</formula>
    </cfRule>
  </conditionalFormatting>
  <conditionalFormatting sqref="Y2:Y29">
    <cfRule type="expression" dxfId="16" priority="14">
      <formula>Y2=0</formula>
    </cfRule>
    <cfRule type="expression" dxfId="15" priority="16">
      <formula>Y2=1</formula>
    </cfRule>
  </conditionalFormatting>
  <conditionalFormatting sqref="Y3:Y29">
    <cfRule type="expression" dxfId="14" priority="15">
      <formula>Y3=1</formula>
    </cfRule>
  </conditionalFormatting>
  <conditionalFormatting sqref="W2:W29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29 W2:W29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9"/>
  <sheetViews>
    <sheetView workbookViewId="0">
      <selection activeCell="D2" sqref="D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26.3828125" bestFit="1" customWidth="1"/>
    <col min="5" max="5" width="14.4609375" bestFit="1" customWidth="1"/>
    <col min="6" max="6" width="8.69140625" bestFit="1" customWidth="1"/>
    <col min="7" max="7" width="11.84375" bestFit="1" customWidth="1"/>
    <col min="8" max="8" width="22.07421875" bestFit="1" customWidth="1"/>
    <col min="9" max="9" width="11.15234375" bestFit="1" customWidth="1"/>
    <col min="10" max="10" width="11.53515625" bestFit="1" customWidth="1"/>
    <col min="11" max="11" width="19.07421875" bestFit="1" customWidth="1"/>
    <col min="12" max="12" width="11.07421875" bestFit="1" customWidth="1"/>
    <col min="13" max="13" width="60.3828125" bestFit="1" customWidth="1"/>
    <col min="14" max="14" width="16" bestFit="1" customWidth="1"/>
    <col min="15" max="15" width="18.69140625" bestFit="1" customWidth="1"/>
    <col min="16" max="16" width="16.69140625" bestFit="1" customWidth="1"/>
    <col min="17" max="17" width="18.84375" bestFit="1" customWidth="1"/>
    <col min="18" max="18" width="11.84375" bestFit="1" customWidth="1"/>
    <col min="19" max="19" width="18" bestFit="1" customWidth="1"/>
    <col min="20" max="20" width="18.3828125" bestFit="1" customWidth="1"/>
    <col min="21" max="21" width="19.53515625" bestFit="1" customWidth="1"/>
    <col min="22" max="22" width="20" bestFit="1" customWidth="1"/>
  </cols>
  <sheetData>
    <row r="1" spans="1:21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4">
      <c r="A2" t="s">
        <v>67</v>
      </c>
      <c r="B2" t="s">
        <v>69</v>
      </c>
      <c r="C2">
        <v>1</v>
      </c>
      <c r="D2" t="s">
        <v>70</v>
      </c>
      <c r="E2" t="s">
        <v>88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2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3.9481354150926298E-4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5.5835066501095266E-4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5.0165816910309009E-3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7.8962708301852597E-4</v>
      </c>
      <c r="U2">
        <f>IF((ContinuousStatsTable[[#This Row],[RepsRequested]]&gt;1),ContinuousStatsTable[[#This Row],[HalfWidth]],ContinuousStatsTable[[#This Row],[BatchMeansHalfWidth]])</f>
        <v>5.0165816910309009E-3</v>
      </c>
    </row>
    <row r="3" spans="1:21" x14ac:dyDescent="0.4">
      <c r="A3" t="s">
        <v>67</v>
      </c>
      <c r="B3" t="s">
        <v>69</v>
      </c>
      <c r="C3">
        <v>1</v>
      </c>
      <c r="D3" t="s">
        <v>73</v>
      </c>
      <c r="E3" t="s">
        <v>88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2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4">
      <c r="A4" t="s">
        <v>67</v>
      </c>
      <c r="B4" t="s">
        <v>69</v>
      </c>
      <c r="C4">
        <v>1</v>
      </c>
      <c r="D4" t="s">
        <v>74</v>
      </c>
      <c r="E4" t="s">
        <v>88</v>
      </c>
      <c r="F4" t="s">
        <v>72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2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6.6419581115499504E-2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9.3931472420679299E-2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0.84394079614449902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0.13283916223099901</v>
      </c>
      <c r="U4">
        <f>IF((ContinuousStatsTable[[#This Row],[RepsRequested]]&gt;1),ContinuousStatsTable[[#This Row],[HalfWidth]],ContinuousStatsTable[[#This Row],[BatchMeansHalfWidth]])</f>
        <v>0.84394079614449902</v>
      </c>
    </row>
    <row r="5" spans="1:21" x14ac:dyDescent="0.4">
      <c r="A5" t="s">
        <v>67</v>
      </c>
      <c r="B5" t="s">
        <v>69</v>
      </c>
      <c r="C5">
        <v>1</v>
      </c>
      <c r="D5" t="s">
        <v>75</v>
      </c>
      <c r="E5" t="s">
        <v>88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2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2.0522871701904601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2.9023723499676488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26.076780961864579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4.1045743403809203</v>
      </c>
      <c r="U5">
        <f>IF((ContinuousStatsTable[[#This Row],[RepsRequested]]&gt;1),ContinuousStatsTable[[#This Row],[HalfWidth]],ContinuousStatsTable[[#This Row],[BatchMeansHalfWidth]])</f>
        <v>26.076780961864579</v>
      </c>
    </row>
    <row r="6" spans="1:21" x14ac:dyDescent="0.4">
      <c r="A6" t="s">
        <v>67</v>
      </c>
      <c r="B6" t="s">
        <v>69</v>
      </c>
      <c r="C6">
        <v>1</v>
      </c>
      <c r="D6" t="s">
        <v>76</v>
      </c>
      <c r="E6" t="s">
        <v>88</v>
      </c>
      <c r="F6" t="s">
        <v>72</v>
      </c>
      <c r="G6">
        <v>16.4826532581531</v>
      </c>
      <c r="H6">
        <v>3E+20</v>
      </c>
      <c r="I6">
        <v>0</v>
      </c>
      <c r="J6">
        <v>60</v>
      </c>
      <c r="K6">
        <v>42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2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8.9319467924912246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10.67831148923724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95.940822255457775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1.3812403268293501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16.4826532581531</v>
      </c>
      <c r="U6">
        <f>IF((ContinuousStatsTable[[#This Row],[RepsRequested]]&gt;1),ContinuousStatsTable[[#This Row],[HalfWidth]],ContinuousStatsTable[[#This Row],[BatchMeansHalfWidth]])</f>
        <v>95.940822255457775</v>
      </c>
    </row>
    <row r="7" spans="1:21" x14ac:dyDescent="0.4">
      <c r="A7" t="s">
        <v>67</v>
      </c>
      <c r="B7" t="s">
        <v>69</v>
      </c>
      <c r="C7">
        <v>1</v>
      </c>
      <c r="D7" t="s">
        <v>77</v>
      </c>
      <c r="E7" t="s">
        <v>88</v>
      </c>
      <c r="F7" t="s">
        <v>72</v>
      </c>
      <c r="G7">
        <v>3.0664863857510598</v>
      </c>
      <c r="H7">
        <v>3E+20</v>
      </c>
      <c r="I7">
        <v>0</v>
      </c>
      <c r="J7">
        <v>34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2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58.976661303917034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79.068927643922365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710.406129345556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3.0664863857510598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114.88683622208301</v>
      </c>
      <c r="U7">
        <f>IF((ContinuousStatsTable[[#This Row],[RepsRequested]]&gt;1),ContinuousStatsTable[[#This Row],[HalfWidth]],ContinuousStatsTable[[#This Row],[BatchMeansHalfWidth]])</f>
        <v>710.406129345556</v>
      </c>
    </row>
    <row r="8" spans="1:21" x14ac:dyDescent="0.4">
      <c r="A8" t="s">
        <v>67</v>
      </c>
      <c r="B8" t="s">
        <v>69</v>
      </c>
      <c r="C8">
        <v>1</v>
      </c>
      <c r="D8" t="s">
        <v>78</v>
      </c>
      <c r="E8" t="s">
        <v>88</v>
      </c>
      <c r="F8" t="s">
        <v>72</v>
      </c>
      <c r="G8">
        <v>2.28707277545973</v>
      </c>
      <c r="H8">
        <v>3E+20</v>
      </c>
      <c r="I8">
        <v>0</v>
      </c>
      <c r="J8">
        <v>30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2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1.2611445091145905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1.450881668287213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13.035654596810103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0.23521624276945099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2.28707277545973</v>
      </c>
      <c r="U8">
        <f>IF((ContinuousStatsTable[[#This Row],[RepsRequested]]&gt;1),ContinuousStatsTable[[#This Row],[HalfWidth]],ContinuousStatsTable[[#This Row],[BatchMeansHalfWidth]])</f>
        <v>13.035654596810103</v>
      </c>
    </row>
    <row r="9" spans="1:21" x14ac:dyDescent="0.4">
      <c r="A9" t="s">
        <v>67</v>
      </c>
      <c r="B9" t="s">
        <v>69</v>
      </c>
      <c r="C9">
        <v>1</v>
      </c>
      <c r="D9" t="s">
        <v>79</v>
      </c>
      <c r="E9" t="s">
        <v>88</v>
      </c>
      <c r="F9" t="s">
        <v>72</v>
      </c>
      <c r="G9">
        <v>18.747160653919298</v>
      </c>
      <c r="H9">
        <v>3E+20</v>
      </c>
      <c r="I9">
        <v>0</v>
      </c>
      <c r="J9">
        <v>63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2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9.404111832123478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13.213066357697615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118.71469118981344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6.1063010327656403E-2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18.747160653919298</v>
      </c>
      <c r="U9">
        <f>IF((ContinuousStatsTable[[#This Row],[RepsRequested]]&gt;1),ContinuousStatsTable[[#This Row],[HalfWidth]],ContinuousStatsTable[[#This Row],[BatchMeansHalfWidth]])</f>
        <v>118.71469118981344</v>
      </c>
    </row>
    <row r="10" spans="1:21" x14ac:dyDescent="0.4">
      <c r="A10" t="s">
        <v>67</v>
      </c>
      <c r="B10" t="s">
        <v>69</v>
      </c>
      <c r="C10">
        <v>1</v>
      </c>
      <c r="D10" t="s">
        <v>80</v>
      </c>
      <c r="E10" t="s">
        <v>89</v>
      </c>
      <c r="F10" t="s">
        <v>82</v>
      </c>
      <c r="G10">
        <v>90.854980887247905</v>
      </c>
      <c r="H10">
        <v>3E+20</v>
      </c>
      <c r="I10">
        <v>0</v>
      </c>
      <c r="J10">
        <v>144</v>
      </c>
      <c r="K10">
        <v>111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2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129.56827485623495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54.748865375078047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491.89903918166658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90.854980887247905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168.281568825222</v>
      </c>
      <c r="U10">
        <f>IF((ContinuousStatsTable[[#This Row],[RepsRequested]]&gt;1),ContinuousStatsTable[[#This Row],[HalfWidth]],ContinuousStatsTable[[#This Row],[BatchMeansHalfWidth]])</f>
        <v>491.89903918166658</v>
      </c>
    </row>
    <row r="11" spans="1:21" x14ac:dyDescent="0.4">
      <c r="A11" t="s">
        <v>67</v>
      </c>
      <c r="B11" t="s">
        <v>69</v>
      </c>
      <c r="C11">
        <v>2</v>
      </c>
      <c r="D11" t="s">
        <v>70</v>
      </c>
      <c r="E11" t="s">
        <v>88</v>
      </c>
      <c r="F11" t="s">
        <v>72</v>
      </c>
      <c r="G11">
        <v>7.8962708301852597E-4</v>
      </c>
      <c r="H11">
        <v>2E+20</v>
      </c>
      <c r="I11">
        <v>0</v>
      </c>
      <c r="J11">
        <v>2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2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3.9481354150926298E-4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5.5835066501095266E-4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5.0165816910309009E-3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7.8962708301852597E-4</v>
      </c>
      <c r="U11">
        <f>IF((ContinuousStatsTable[[#This Row],[RepsRequested]]&gt;1),ContinuousStatsTable[[#This Row],[HalfWidth]],ContinuousStatsTable[[#This Row],[BatchMeansHalfWidth]])</f>
        <v>5.0165816910309009E-3</v>
      </c>
    </row>
    <row r="12" spans="1:21" x14ac:dyDescent="0.4">
      <c r="A12" t="s">
        <v>67</v>
      </c>
      <c r="B12" t="s">
        <v>69</v>
      </c>
      <c r="C12">
        <v>2</v>
      </c>
      <c r="D12" t="s">
        <v>73</v>
      </c>
      <c r="E12" t="s">
        <v>88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2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>
        <f>IF((ContinuousStatsTable[[#This Row],[RepsRequested]]&gt;1),ContinuousStatsTable[[#This Row],[HalfWidth]],ContinuousStatsTable[[#This Row],[BatchMeansHalfWidth]])</f>
        <v>0</v>
      </c>
    </row>
    <row r="13" spans="1:21" x14ac:dyDescent="0.4">
      <c r="A13" t="s">
        <v>67</v>
      </c>
      <c r="B13" t="s">
        <v>69</v>
      </c>
      <c r="C13">
        <v>2</v>
      </c>
      <c r="D13" t="s">
        <v>74</v>
      </c>
      <c r="E13" t="s">
        <v>88</v>
      </c>
      <c r="F13" t="s">
        <v>72</v>
      </c>
      <c r="G13">
        <v>0.13283916223099901</v>
      </c>
      <c r="H13">
        <v>2E+20</v>
      </c>
      <c r="I13">
        <v>0</v>
      </c>
      <c r="J13">
        <v>9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2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6.6419581115499504E-2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9.3931472420679299E-2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0.84394079614449902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0.13283916223099901</v>
      </c>
      <c r="U13">
        <f>IF((ContinuousStatsTable[[#This Row],[RepsRequested]]&gt;1),ContinuousStatsTable[[#This Row],[HalfWidth]],ContinuousStatsTable[[#This Row],[BatchMeansHalfWidth]])</f>
        <v>0.84394079614449902</v>
      </c>
    </row>
    <row r="14" spans="1:21" x14ac:dyDescent="0.4">
      <c r="A14" t="s">
        <v>67</v>
      </c>
      <c r="B14" t="s">
        <v>69</v>
      </c>
      <c r="C14">
        <v>2</v>
      </c>
      <c r="D14" t="s">
        <v>75</v>
      </c>
      <c r="E14" t="s">
        <v>88</v>
      </c>
      <c r="F14" t="s">
        <v>72</v>
      </c>
      <c r="G14">
        <v>4.1045743403809203</v>
      </c>
      <c r="H14">
        <v>3E+20</v>
      </c>
      <c r="I14">
        <v>0</v>
      </c>
      <c r="J14">
        <v>41</v>
      </c>
      <c r="K14">
        <v>10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2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2.0522871701904601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2.9023723499676488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26.076780961864579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4.1045743403809203</v>
      </c>
      <c r="U14">
        <f>IF((ContinuousStatsTable[[#This Row],[RepsRequested]]&gt;1),ContinuousStatsTable[[#This Row],[HalfWidth]],ContinuousStatsTable[[#This Row],[BatchMeansHalfWidth]])</f>
        <v>26.076780961864579</v>
      </c>
    </row>
    <row r="15" spans="1:21" x14ac:dyDescent="0.4">
      <c r="A15" t="s">
        <v>67</v>
      </c>
      <c r="B15" t="s">
        <v>69</v>
      </c>
      <c r="C15">
        <v>2</v>
      </c>
      <c r="D15" t="s">
        <v>76</v>
      </c>
      <c r="E15" t="s">
        <v>88</v>
      </c>
      <c r="F15" t="s">
        <v>72</v>
      </c>
      <c r="G15">
        <v>1.3812403268293501</v>
      </c>
      <c r="H15">
        <v>3E+20</v>
      </c>
      <c r="I15">
        <v>0</v>
      </c>
      <c r="J15">
        <v>30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2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8.9319467924912246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10.67831148923724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95.940822255457775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1.3812403268293501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16.4826532581531</v>
      </c>
      <c r="U15">
        <f>IF((ContinuousStatsTable[[#This Row],[RepsRequested]]&gt;1),ContinuousStatsTable[[#This Row],[HalfWidth]],ContinuousStatsTable[[#This Row],[BatchMeansHalfWidth]])</f>
        <v>95.940822255457775</v>
      </c>
    </row>
    <row r="16" spans="1:21" x14ac:dyDescent="0.4">
      <c r="A16" t="s">
        <v>67</v>
      </c>
      <c r="B16" t="s">
        <v>69</v>
      </c>
      <c r="C16">
        <v>2</v>
      </c>
      <c r="D16" t="s">
        <v>77</v>
      </c>
      <c r="E16" t="s">
        <v>88</v>
      </c>
      <c r="F16" t="s">
        <v>72</v>
      </c>
      <c r="G16">
        <v>114.88683622208301</v>
      </c>
      <c r="H16">
        <v>3E+20</v>
      </c>
      <c r="I16">
        <v>0</v>
      </c>
      <c r="J16">
        <v>194</v>
      </c>
      <c r="K16">
        <v>157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2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58.976661303917034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79.068927643922365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710.406129345556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3.0664863857510598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114.88683622208301</v>
      </c>
      <c r="U16">
        <f>IF((ContinuousStatsTable[[#This Row],[RepsRequested]]&gt;1),ContinuousStatsTable[[#This Row],[HalfWidth]],ContinuousStatsTable[[#This Row],[BatchMeansHalfWidth]])</f>
        <v>710.406129345556</v>
      </c>
    </row>
    <row r="17" spans="1:21" x14ac:dyDescent="0.4">
      <c r="A17" t="s">
        <v>67</v>
      </c>
      <c r="B17" t="s">
        <v>69</v>
      </c>
      <c r="C17">
        <v>2</v>
      </c>
      <c r="D17" t="s">
        <v>78</v>
      </c>
      <c r="E17" t="s">
        <v>88</v>
      </c>
      <c r="F17" t="s">
        <v>72</v>
      </c>
      <c r="G17">
        <v>0.23521624276945099</v>
      </c>
      <c r="H17">
        <v>2E+20</v>
      </c>
      <c r="I17">
        <v>0</v>
      </c>
      <c r="J17">
        <v>12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2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1.2611445091145905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1.450881668287213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13.035654596810103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0.23521624276945099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2.28707277545973</v>
      </c>
      <c r="U17">
        <f>IF((ContinuousStatsTable[[#This Row],[RepsRequested]]&gt;1),ContinuousStatsTable[[#This Row],[HalfWidth]],ContinuousStatsTable[[#This Row],[BatchMeansHalfWidth]])</f>
        <v>13.035654596810103</v>
      </c>
    </row>
    <row r="18" spans="1:21" x14ac:dyDescent="0.4">
      <c r="A18" t="s">
        <v>67</v>
      </c>
      <c r="B18" t="s">
        <v>69</v>
      </c>
      <c r="C18">
        <v>2</v>
      </c>
      <c r="D18" t="s">
        <v>79</v>
      </c>
      <c r="E18" t="s">
        <v>88</v>
      </c>
      <c r="F18" t="s">
        <v>72</v>
      </c>
      <c r="G18">
        <v>6.1063010327656403E-2</v>
      </c>
      <c r="H18">
        <v>2E+20</v>
      </c>
      <c r="I18">
        <v>0</v>
      </c>
      <c r="J18">
        <v>6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2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9.404111832123478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13.213066357697615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118.71469118981344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6.1063010327656403E-2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18.747160653919298</v>
      </c>
      <c r="U18">
        <f>IF((ContinuousStatsTable[[#This Row],[RepsRequested]]&gt;1),ContinuousStatsTable[[#This Row],[HalfWidth]],ContinuousStatsTable[[#This Row],[BatchMeansHalfWidth]])</f>
        <v>118.71469118981344</v>
      </c>
    </row>
    <row r="19" spans="1:21" x14ac:dyDescent="0.4">
      <c r="A19" t="s">
        <v>67</v>
      </c>
      <c r="B19" t="s">
        <v>69</v>
      </c>
      <c r="C19">
        <v>2</v>
      </c>
      <c r="D19" t="s">
        <v>80</v>
      </c>
      <c r="E19" t="s">
        <v>89</v>
      </c>
      <c r="F19" t="s">
        <v>82</v>
      </c>
      <c r="G19">
        <v>168.281568825222</v>
      </c>
      <c r="H19">
        <v>3E+20</v>
      </c>
      <c r="I19">
        <v>0</v>
      </c>
      <c r="J19">
        <v>253</v>
      </c>
      <c r="K19">
        <v>232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2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129.56827485623495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54.748865375078047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491.89903918166658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90.854980887247905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168.281568825222</v>
      </c>
      <c r="U19">
        <f>IF((ContinuousStatsTable[[#This Row],[RepsRequested]]&gt;1),ContinuousStatsTable[[#This Row],[HalfWidth]],ContinuousStatsTable[[#This Row],[BatchMeansHalfWidth]])</f>
        <v>491.89903918166658</v>
      </c>
    </row>
  </sheetData>
  <phoneticPr fontId="2" type="noConversion"/>
  <conditionalFormatting sqref="H2:H19">
    <cfRule type="expression" dxfId="10" priority="9">
      <formula>H2=200000000000000000000</formula>
    </cfRule>
  </conditionalFormatting>
  <conditionalFormatting sqref="H2:H19">
    <cfRule type="expression" dxfId="9" priority="7">
      <formula>H2=300000000000000000000</formula>
    </cfRule>
  </conditionalFormatting>
  <conditionalFormatting sqref="M2:U19">
    <cfRule type="expression" dxfId="8" priority="5">
      <formula>MOD(ROW(),2)=0</formula>
    </cfRule>
  </conditionalFormatting>
  <conditionalFormatting sqref="U2:U19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19 U2:U19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6" x14ac:dyDescent="0.4"/>
  <cols>
    <col min="1" max="1" width="13.921875" bestFit="1" customWidth="1"/>
    <col min="2" max="2" width="20.921875" bestFit="1" customWidth="1"/>
    <col min="3" max="3" width="12.3828125" bestFit="1" customWidth="1"/>
    <col min="4" max="4" width="8" bestFit="1" customWidth="1"/>
    <col min="5" max="5" width="7.07421875" bestFit="1" customWidth="1"/>
    <col min="6" max="6" width="8.69140625" bestFit="1" customWidth="1"/>
    <col min="7" max="7" width="15.765625" bestFit="1" customWidth="1"/>
    <col min="8" max="8" width="13.3828125" bestFit="1" customWidth="1"/>
    <col min="9" max="9" width="16" bestFit="1" customWidth="1"/>
    <col min="10" max="10" width="9.84375" bestFit="1" customWidth="1"/>
    <col min="11" max="11" width="18.61328125" bestFit="1" customWidth="1"/>
    <col min="12" max="12" width="18.84375" bestFit="1" customWidth="1"/>
    <col min="13" max="13" width="11.53515625" bestFit="1" customWidth="1"/>
    <col min="14" max="14" width="11.15234375" bestFit="1" customWidth="1"/>
    <col min="15" max="15" width="11.53515625" bestFit="1" customWidth="1"/>
  </cols>
  <sheetData>
    <row r="1" spans="1:15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7"/>
  <sheetViews>
    <sheetView workbookViewId="0">
      <selection activeCell="H2" sqref="H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17.3046875" bestFit="1" customWidth="1"/>
    <col min="5" max="5" width="11.15234375" bestFit="1" customWidth="1"/>
    <col min="6" max="6" width="8.69140625" bestFit="1" customWidth="1"/>
    <col min="7" max="7" width="15.765625" bestFit="1" customWidth="1"/>
    <col min="8" max="8" width="11.07421875" bestFit="1" customWidth="1"/>
    <col min="9" max="9" width="48.3828125" bestFit="1" customWidth="1"/>
    <col min="10" max="10" width="16" bestFit="1" customWidth="1"/>
    <col min="11" max="11" width="9.84375" bestFit="1" customWidth="1"/>
    <col min="12" max="12" width="18.61328125" bestFit="1" customWidth="1"/>
    <col min="13" max="13" width="18.84375" bestFit="1" customWidth="1"/>
    <col min="14" max="14" width="11.84375" bestFit="1" customWidth="1"/>
    <col min="15" max="15" width="11.15234375" bestFit="1" customWidth="1"/>
    <col min="16" max="16" width="11.53515625" bestFit="1" customWidth="1"/>
  </cols>
  <sheetData>
    <row r="1" spans="1:16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4">
      <c r="A2" t="s">
        <v>67</v>
      </c>
      <c r="B2" t="s">
        <v>69</v>
      </c>
      <c r="C2">
        <v>1</v>
      </c>
      <c r="D2" t="s">
        <v>90</v>
      </c>
      <c r="E2" t="s">
        <v>91</v>
      </c>
      <c r="F2" t="s">
        <v>92</v>
      </c>
      <c r="G2">
        <v>3551</v>
      </c>
      <c r="H2">
        <v>0</v>
      </c>
      <c r="I2" t="str">
        <f>OutputTable[[#This Row],[ProjectName]]&amp;OutputTable[[#This Row],[Name]]&amp;OutputTable[[#This Row],[Type]]&amp;OutputTable[[#This Row],[Source]]</f>
        <v>Unnamed ProjectSystem.NumberOutNumber OutSystem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2</v>
      </c>
      <c r="K2" cm="1">
        <f t="array" ref="K2">IFERROR(AVERAGE(IF((OutputTable[GroupByKey]=OutputTable[[#This Row],[GroupByKey]]),(OutputTable[GroupByKey]=OutputTable[[#This Row],[GroupByKey]])*OutputTable[RecordedValue])),0)</f>
        <v>3432</v>
      </c>
      <c r="L2" cm="1">
        <f t="array" ref="L2">IFERROR(_xlfn.STDEV.S(IF((OutputTable[GroupByKey]=OutputTable[[#This Row],[GroupByKey]]),(OutputTable[GroupByKey]=OutputTable[[#This Row],[GroupByKey]])*OutputTable[RecordedValue])),0)</f>
        <v>168.29141392239831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1512.0383636047884</v>
      </c>
      <c r="O2" cm="1">
        <f t="array" ref="O2">MIN(IF((OutputTable[GroupByKey]=OutputTable[[#This Row],[GroupByKey]]),(OutputTable[GroupByKey]=OutputTable[[#This Row],[GroupByKey]])*OutputTable[RecordedValue]))</f>
        <v>3313</v>
      </c>
      <c r="P2" cm="1">
        <f t="array" ref="P2">MAX(IF((OutputTable[GroupByKey]=OutputTable[[#This Row],[GroupByKey]]),(OutputTable[GroupByKey]=OutputTable[[#This Row],[GroupByKey]])*OutputTable[RecordedValue]))</f>
        <v>3551</v>
      </c>
    </row>
    <row r="3" spans="1:16" x14ac:dyDescent="0.4">
      <c r="A3" t="s">
        <v>67</v>
      </c>
      <c r="B3" t="s">
        <v>69</v>
      </c>
      <c r="C3">
        <v>1</v>
      </c>
      <c r="D3" t="s">
        <v>93</v>
      </c>
      <c r="E3" t="s">
        <v>94</v>
      </c>
      <c r="F3" t="s">
        <v>82</v>
      </c>
      <c r="G3">
        <v>3662</v>
      </c>
      <c r="H3">
        <v>0</v>
      </c>
      <c r="I3" t="str">
        <f>OutputTable[[#This Row],[ProjectName]]&amp;OutputTable[[#This Row],[Name]]&amp;OutputTable[[#This Row],[Type]]&amp;OutputTable[[#This Row],[Source]]</f>
        <v>Unnamed ProjectTourist.NumberInNumber InEntity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2</v>
      </c>
      <c r="K3" cm="1">
        <f t="array" ref="K3">IFERROR(AVERAGE(IF((OutputTable[GroupByKey]=OutputTable[[#This Row],[GroupByKey]]),(OutputTable[GroupByKey]=OutputTable[[#This Row],[GroupByKey]])*OutputTable[RecordedValue])),0)</f>
        <v>3603.5</v>
      </c>
      <c r="L3" cm="1">
        <f t="array" ref="L3">IFERROR(_xlfn.STDEV.S(IF((OutputTable[GroupByKey]=OutputTable[[#This Row],[GroupByKey]]),(OutputTable[GroupByKey]=OutputTable[[#This Row],[GroupByKey]])*OutputTable[RecordedValue])),0)</f>
        <v>82.731493398826061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743.31297706621956</v>
      </c>
      <c r="O3" cm="1">
        <f t="array" ref="O3">MIN(IF((OutputTable[GroupByKey]=OutputTable[[#This Row],[GroupByKey]]),(OutputTable[GroupByKey]=OutputTable[[#This Row],[GroupByKey]])*OutputTable[RecordedValue]))</f>
        <v>3545</v>
      </c>
      <c r="P3" cm="1">
        <f t="array" ref="P3">MAX(IF((OutputTable[GroupByKey]=OutputTable[[#This Row],[GroupByKey]]),(OutputTable[GroupByKey]=OutputTable[[#This Row],[GroupByKey]])*OutputTable[RecordedValue]))</f>
        <v>3662</v>
      </c>
    </row>
    <row r="4" spans="1:16" x14ac:dyDescent="0.4">
      <c r="A4" t="s">
        <v>67</v>
      </c>
      <c r="B4" t="s">
        <v>69</v>
      </c>
      <c r="C4">
        <v>1</v>
      </c>
      <c r="D4" t="s">
        <v>95</v>
      </c>
      <c r="E4" t="s">
        <v>91</v>
      </c>
      <c r="F4" t="s">
        <v>82</v>
      </c>
      <c r="G4">
        <v>3551</v>
      </c>
      <c r="H4">
        <v>0</v>
      </c>
      <c r="I4" t="str">
        <f>OutputTable[[#This Row],[ProjectName]]&amp;OutputTable[[#This Row],[Name]]&amp;OutputTable[[#This Row],[Type]]&amp;OutputTable[[#This Row],[Source]]</f>
        <v>Unnamed ProjectTourist.NumberOutNumber OutEntity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2</v>
      </c>
      <c r="K4" cm="1">
        <f t="array" ref="K4">IFERROR(AVERAGE(IF((OutputTable[GroupByKey]=OutputTable[[#This Row],[GroupByKey]]),(OutputTable[GroupByKey]=OutputTable[[#This Row],[GroupByKey]])*OutputTable[RecordedValue])),0)</f>
        <v>3432</v>
      </c>
      <c r="L4" cm="1">
        <f t="array" ref="L4">IFERROR(_xlfn.STDEV.S(IF((OutputTable[GroupByKey]=OutputTable[[#This Row],[GroupByKey]]),(OutputTable[GroupByKey]=OutputTable[[#This Row],[GroupByKey]])*OutputTable[RecordedValue])),0)</f>
        <v>168.29141392239831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1512.0383636047884</v>
      </c>
      <c r="O4" cm="1">
        <f t="array" ref="O4">MIN(IF((OutputTable[GroupByKey]=OutputTable[[#This Row],[GroupByKey]]),(OutputTable[GroupByKey]=OutputTable[[#This Row],[GroupByKey]])*OutputTable[RecordedValue]))</f>
        <v>3313</v>
      </c>
      <c r="P4" cm="1">
        <f t="array" ref="P4">MAX(IF((OutputTable[GroupByKey]=OutputTable[[#This Row],[GroupByKey]]),(OutputTable[GroupByKey]=OutputTable[[#This Row],[GroupByKey]])*OutputTable[RecordedValue]))</f>
        <v>3551</v>
      </c>
    </row>
    <row r="5" spans="1:16" x14ac:dyDescent="0.4">
      <c r="A5" t="s">
        <v>67</v>
      </c>
      <c r="B5" t="s">
        <v>69</v>
      </c>
      <c r="C5">
        <v>2</v>
      </c>
      <c r="D5" t="s">
        <v>90</v>
      </c>
      <c r="E5" t="s">
        <v>91</v>
      </c>
      <c r="F5" t="s">
        <v>92</v>
      </c>
      <c r="G5">
        <v>3313</v>
      </c>
      <c r="H5">
        <v>0</v>
      </c>
      <c r="I5" t="str">
        <f>OutputTable[[#This Row],[ProjectName]]&amp;OutputTable[[#This Row],[Name]]&amp;OutputTable[[#This Row],[Type]]&amp;OutputTable[[#This Row],[Source]]</f>
        <v>Unnamed ProjectSystem.NumberOutNumber OutSystem</v>
      </c>
      <c r="J5" cm="1">
        <f t="array" ref="J5">MAX(IF((ProjectInfoTable[ProjectName]=OutputTable[[#This Row],[ProjectName]]),(ProjectInfoTable[ProjectName]=OutputTable[[#This Row],[ProjectName]])*ProjectInfoTable[NumberOfReplications]))</f>
        <v>2</v>
      </c>
      <c r="K5" cm="1">
        <f t="array" ref="K5">IFERROR(AVERAGE(IF((OutputTable[GroupByKey]=OutputTable[[#This Row],[GroupByKey]]),(OutputTable[GroupByKey]=OutputTable[[#This Row],[GroupByKey]])*OutputTable[RecordedValue])),0)</f>
        <v>3432</v>
      </c>
      <c r="L5" cm="1">
        <f t="array" ref="L5">IFERROR(_xlfn.STDEV.S(IF((OutputTable[GroupByKey]=OutputTable[[#This Row],[GroupByKey]]),(OutputTable[GroupByKey]=OutputTable[[#This Row],[GroupByKey]])*OutputTable[RecordedValue])),0)</f>
        <v>168.29141392239831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1512.0383636047884</v>
      </c>
      <c r="O5" cm="1">
        <f t="array" ref="O5">MIN(IF((OutputTable[GroupByKey]=OutputTable[[#This Row],[GroupByKey]]),(OutputTable[GroupByKey]=OutputTable[[#This Row],[GroupByKey]])*OutputTable[RecordedValue]))</f>
        <v>3313</v>
      </c>
      <c r="P5" cm="1">
        <f t="array" ref="P5">MAX(IF((OutputTable[GroupByKey]=OutputTable[[#This Row],[GroupByKey]]),(OutputTable[GroupByKey]=OutputTable[[#This Row],[GroupByKey]])*OutputTable[RecordedValue]))</f>
        <v>3551</v>
      </c>
    </row>
    <row r="6" spans="1:16" x14ac:dyDescent="0.4">
      <c r="A6" t="s">
        <v>67</v>
      </c>
      <c r="B6" t="s">
        <v>69</v>
      </c>
      <c r="C6">
        <v>2</v>
      </c>
      <c r="D6" t="s">
        <v>93</v>
      </c>
      <c r="E6" t="s">
        <v>94</v>
      </c>
      <c r="F6" t="s">
        <v>82</v>
      </c>
      <c r="G6">
        <v>3545</v>
      </c>
      <c r="H6">
        <v>0</v>
      </c>
      <c r="I6" t="str">
        <f>OutputTable[[#This Row],[ProjectName]]&amp;OutputTable[[#This Row],[Name]]&amp;OutputTable[[#This Row],[Type]]&amp;OutputTable[[#This Row],[Source]]</f>
        <v>Unnamed ProjectTourist.NumberInNumber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2</v>
      </c>
      <c r="K6" cm="1">
        <f t="array" ref="K6">IFERROR(AVERAGE(IF((OutputTable[GroupByKey]=OutputTable[[#This Row],[GroupByKey]]),(OutputTable[GroupByKey]=OutputTable[[#This Row],[GroupByKey]])*OutputTable[RecordedValue])),0)</f>
        <v>3603.5</v>
      </c>
      <c r="L6" cm="1">
        <f t="array" ref="L6">IFERROR(_xlfn.STDEV.S(IF((OutputTable[GroupByKey]=OutputTable[[#This Row],[GroupByKey]]),(OutputTable[GroupByKey]=OutputTable[[#This Row],[GroupByKey]])*OutputTable[RecordedValue])),0)</f>
        <v>82.731493398826061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743.31297706621956</v>
      </c>
      <c r="O6" cm="1">
        <f t="array" ref="O6">MIN(IF((OutputTable[GroupByKey]=OutputTable[[#This Row],[GroupByKey]]),(OutputTable[GroupByKey]=OutputTable[[#This Row],[GroupByKey]])*OutputTable[RecordedValue]))</f>
        <v>3545</v>
      </c>
      <c r="P6" cm="1">
        <f t="array" ref="P6">MAX(IF((OutputTable[GroupByKey]=OutputTable[[#This Row],[GroupByKey]]),(OutputTable[GroupByKey]=OutputTable[[#This Row],[GroupByKey]])*OutputTable[RecordedValue]))</f>
        <v>3662</v>
      </c>
    </row>
    <row r="7" spans="1:16" x14ac:dyDescent="0.4">
      <c r="A7" t="s">
        <v>67</v>
      </c>
      <c r="B7" t="s">
        <v>69</v>
      </c>
      <c r="C7">
        <v>2</v>
      </c>
      <c r="D7" t="s">
        <v>95</v>
      </c>
      <c r="E7" t="s">
        <v>91</v>
      </c>
      <c r="F7" t="s">
        <v>82</v>
      </c>
      <c r="G7">
        <v>3313</v>
      </c>
      <c r="H7">
        <v>0</v>
      </c>
      <c r="I7" t="str">
        <f>OutputTable[[#This Row],[ProjectName]]&amp;OutputTable[[#This Row],[Name]]&amp;OutputTable[[#This Row],[Type]]&amp;OutputTable[[#This Row],[Source]]</f>
        <v>Unnamed ProjectTourist.NumberOutNumber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2</v>
      </c>
      <c r="K7" cm="1">
        <f t="array" ref="K7">IFERROR(AVERAGE(IF((OutputTable[GroupByKey]=OutputTable[[#This Row],[GroupByKey]]),(OutputTable[GroupByKey]=OutputTable[[#This Row],[GroupByKey]])*OutputTable[RecordedValue])),0)</f>
        <v>3432</v>
      </c>
      <c r="L7" cm="1">
        <f t="array" ref="L7">IFERROR(_xlfn.STDEV.S(IF((OutputTable[GroupByKey]=OutputTable[[#This Row],[GroupByKey]]),(OutputTable[GroupByKey]=OutputTable[[#This Row],[GroupByKey]])*OutputTable[RecordedValue])),0)</f>
        <v>168.29141392239831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1512.0383636047884</v>
      </c>
      <c r="O7" cm="1">
        <f t="array" ref="O7">MIN(IF((OutputTable[GroupByKey]=OutputTable[[#This Row],[GroupByKey]]),(OutputTable[GroupByKey]=OutputTable[[#This Row],[GroupByKey]])*OutputTable[RecordedValue]))</f>
        <v>3313</v>
      </c>
      <c r="P7" cm="1">
        <f t="array" ref="P7">MAX(IF((OutputTable[GroupByKey]=OutputTable[[#This Row],[GroupByKey]]),(OutputTable[GroupByKey]=OutputTable[[#This Row],[GroupByKey]])*OutputTable[RecordedValue]))</f>
        <v>3551</v>
      </c>
    </row>
  </sheetData>
  <phoneticPr fontId="2" type="noConversion"/>
  <conditionalFormatting sqref="I2:P7">
    <cfRule type="expression" dxfId="2" priority="2">
      <formula>MOD(ROW(),2)=0</formula>
    </cfRule>
  </conditionalFormatting>
  <conditionalFormatting sqref="N2:N7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6" x14ac:dyDescent="0.4"/>
  <cols>
    <col min="1" max="1" width="13.921875" bestFit="1" customWidth="1"/>
    <col min="2" max="2" width="20.921875" bestFit="1" customWidth="1"/>
    <col min="3" max="3" width="12.3828125" bestFit="1" customWidth="1"/>
    <col min="4" max="4" width="8" bestFit="1" customWidth="1"/>
    <col min="5" max="5" width="10.4609375" bestFit="1" customWidth="1"/>
    <col min="6" max="6" width="8.69140625" bestFit="1" customWidth="1"/>
    <col min="7" max="7" width="20.07421875" bestFit="1" customWidth="1"/>
    <col min="8" max="8" width="20.921875" bestFit="1" customWidth="1"/>
    <col min="9" max="9" width="23.07421875" bestFit="1" customWidth="1"/>
    <col min="10" max="10" width="24.3046875" bestFit="1" customWidth="1"/>
    <col min="11" max="11" width="13.3828125" bestFit="1" customWidth="1"/>
    <col min="12" max="12" width="28.07421875" bestFit="1" customWidth="1"/>
    <col min="13" max="13" width="28.921875" bestFit="1" customWidth="1"/>
    <col min="14" max="14" width="16" bestFit="1" customWidth="1"/>
    <col min="15" max="15" width="26.921875" bestFit="1" customWidth="1"/>
    <col min="16" max="16" width="27.84375" bestFit="1" customWidth="1"/>
    <col min="17" max="17" width="29.23046875" bestFit="1" customWidth="1"/>
    <col min="18" max="18" width="28.3046875" bestFit="1" customWidth="1"/>
    <col min="19" max="19" width="26.23046875" bestFit="1" customWidth="1"/>
    <col min="20" max="20" width="29.84375" bestFit="1" customWidth="1"/>
    <col min="21" max="21" width="31.84375" bestFit="1" customWidth="1"/>
    <col min="22" max="22" width="32.07421875" bestFit="1" customWidth="1"/>
  </cols>
  <sheetData>
    <row r="1" spans="1:16" x14ac:dyDescent="0.4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4">
      <c r="B17" s="3"/>
    </row>
    <row r="18" spans="2:2" x14ac:dyDescent="0.4">
      <c r="B18" s="3"/>
    </row>
    <row r="19" spans="2:2" x14ac:dyDescent="0.4">
      <c r="B19" s="3"/>
    </row>
    <row r="20" spans="2:2" x14ac:dyDescent="0.4">
      <c r="B20" s="3"/>
    </row>
    <row r="21" spans="2:2" x14ac:dyDescent="0.4">
      <c r="B21" s="3"/>
    </row>
    <row r="22" spans="2:2" x14ac:dyDescent="0.4">
      <c r="B22" s="3"/>
    </row>
    <row r="23" spans="2:2" x14ac:dyDescent="0.4">
      <c r="B23" s="3"/>
    </row>
    <row r="24" spans="2:2" x14ac:dyDescent="0.4">
      <c r="B24" s="3"/>
    </row>
    <row r="25" spans="2:2" x14ac:dyDescent="0.4">
      <c r="B25" s="3"/>
    </row>
    <row r="26" spans="2:2" x14ac:dyDescent="0.4">
      <c r="B26" s="3"/>
    </row>
    <row r="27" spans="2:2" x14ac:dyDescent="0.4">
      <c r="B27" s="3"/>
    </row>
    <row r="28" spans="2:2" x14ac:dyDescent="0.4">
      <c r="B28" s="3"/>
    </row>
    <row r="29" spans="2:2" x14ac:dyDescent="0.4">
      <c r="B29" s="3"/>
    </row>
    <row r="30" spans="2:2" x14ac:dyDescent="0.4">
      <c r="B30" s="3"/>
    </row>
    <row r="31" spans="2:2" x14ac:dyDescent="0.4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Du Zhiyuan</cp:lastModifiedBy>
  <cp:lastPrinted>2022-03-22T10:33:10Z</cp:lastPrinted>
  <dcterms:created xsi:type="dcterms:W3CDTF">2020-06-29T21:30:31Z</dcterms:created>
  <dcterms:modified xsi:type="dcterms:W3CDTF">2025-03-21T10:50:35Z</dcterms:modified>
</cp:coreProperties>
</file>