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iyuan\Documents\masters\CS5233_Simulation\Assignment2\"/>
    </mc:Choice>
  </mc:AlternateContent>
  <xr:revisionPtr revIDLastSave="0" documentId="13_ncr:1_{47145398-961C-4A61-8B9B-E4ACBC335420}" xr6:coauthVersionLast="47" xr6:coauthVersionMax="47" xr10:uidLastSave="{00000000-0000-0000-0000-000000000000}"/>
  <bookViews>
    <workbookView xWindow="-103" yWindow="-103" windowWidth="27634" windowHeight="17349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ContinuousTimeStatsByRep!$A$1:$L$55</definedName>
    <definedName name="ExternalData_1" localSheetId="4" hidden="1">CounterStatsByRep!$A$1:$G$2</definedName>
    <definedName name="ExternalData_1" localSheetId="2" hidden="1">DiscreteTimeStatsByRep!$A$1:$K$85</definedName>
    <definedName name="ExternalData_1" localSheetId="6" hidden="1">FrequencyStatsByRep!$A$1:$J$2</definedName>
    <definedName name="ExternalData_1" localSheetId="5" hidden="1">OutputStatsByRep!$A$1:$H$19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K15" i="20" s="1" a="1"/>
  <c r="K15" i="20" s="1"/>
  <c r="I16" i="20"/>
  <c r="I17" i="20"/>
  <c r="I18" i="20"/>
  <c r="I19" i="20"/>
  <c r="J2" i="20" a="1"/>
  <c r="J2" i="20"/>
  <c r="J3" i="20" a="1"/>
  <c r="J3" i="20" s="1"/>
  <c r="J4" i="20" a="1"/>
  <c r="J4" i="20" s="1"/>
  <c r="J5" i="20" a="1"/>
  <c r="J5" i="20" s="1"/>
  <c r="J6" i="20" a="1"/>
  <c r="J6" i="20" s="1"/>
  <c r="J7" i="20" a="1"/>
  <c r="J7" i="20"/>
  <c r="J8" i="20" a="1"/>
  <c r="J8" i="20"/>
  <c r="J9" i="20" a="1"/>
  <c r="J9" i="20" s="1"/>
  <c r="J10" i="20" a="1"/>
  <c r="J10" i="20" s="1"/>
  <c r="J11" i="20" a="1"/>
  <c r="J11" i="20" s="1"/>
  <c r="J12" i="20" a="1"/>
  <c r="J12" i="20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" i="18"/>
  <c r="M3" i="18"/>
  <c r="M4" i="18"/>
  <c r="M5" i="18"/>
  <c r="M6" i="18"/>
  <c r="M7" i="18"/>
  <c r="T53" i="18" s="1" a="1"/>
  <c r="T53" i="18" s="1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T38" i="18" s="1" a="1"/>
  <c r="T38" i="18" s="1"/>
  <c r="M29" i="18"/>
  <c r="M30" i="18"/>
  <c r="M31" i="18"/>
  <c r="T31" i="18" s="1" a="1"/>
  <c r="T31" i="18" s="1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S44" i="18" s="1" a="1"/>
  <c r="S44" i="18" s="1"/>
  <c r="M45" i="18"/>
  <c r="M46" i="18"/>
  <c r="M47" i="18"/>
  <c r="T47" i="18" s="1" a="1"/>
  <c r="T47" i="18" s="1"/>
  <c r="M48" i="18"/>
  <c r="M49" i="18"/>
  <c r="M50" i="18"/>
  <c r="M51" i="18"/>
  <c r="M52" i="18"/>
  <c r="M53" i="18"/>
  <c r="M54" i="18"/>
  <c r="M55" i="18"/>
  <c r="N2" i="18" a="1"/>
  <c r="N2" i="18" s="1"/>
  <c r="N3" i="18" a="1"/>
  <c r="N3" i="18" s="1"/>
  <c r="N4" i="18" a="1"/>
  <c r="N4" i="18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/>
  <c r="N53" i="18" a="1"/>
  <c r="N53" i="18"/>
  <c r="N54" i="18" a="1"/>
  <c r="N54" i="18"/>
  <c r="N55" i="18" a="1"/>
  <c r="N55" i="18" s="1"/>
  <c r="Q2" i="18" a="1"/>
  <c r="Q2" i="18" s="1"/>
  <c r="Q3" i="18" a="1"/>
  <c r="Q3" i="18" s="1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/>
  <c r="Q36" i="18" a="1"/>
  <c r="Q36" i="18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/>
  <c r="Q52" i="18" a="1"/>
  <c r="Q52" i="18"/>
  <c r="Q53" i="18" a="1"/>
  <c r="Q53" i="18" s="1"/>
  <c r="Q54" i="18" a="1"/>
  <c r="Q54" i="18" s="1"/>
  <c r="Q55" i="18" a="1"/>
  <c r="Q55" i="18" s="1"/>
  <c r="T45" i="18" a="1"/>
  <c r="T45" i="18" s="1"/>
  <c r="T46" i="18" a="1"/>
  <c r="T46" i="18" s="1"/>
  <c r="L2" i="17"/>
  <c r="L8" i="17"/>
  <c r="L14" i="17"/>
  <c r="L20" i="17"/>
  <c r="L26" i="17"/>
  <c r="L32" i="17"/>
  <c r="L38" i="17"/>
  <c r="L44" i="17"/>
  <c r="L50" i="17"/>
  <c r="L51" i="17"/>
  <c r="L52" i="17"/>
  <c r="L53" i="17"/>
  <c r="L54" i="17"/>
  <c r="L55" i="17"/>
  <c r="L3" i="17"/>
  <c r="L9" i="17"/>
  <c r="L15" i="17"/>
  <c r="L21" i="17"/>
  <c r="L27" i="17"/>
  <c r="L33" i="17"/>
  <c r="L39" i="17"/>
  <c r="L45" i="17"/>
  <c r="L56" i="17"/>
  <c r="L57" i="17"/>
  <c r="L58" i="17"/>
  <c r="L59" i="17"/>
  <c r="L60" i="17"/>
  <c r="L61" i="17"/>
  <c r="L4" i="17"/>
  <c r="R52" i="17" s="1" a="1"/>
  <c r="R52" i="17" s="1"/>
  <c r="L10" i="17"/>
  <c r="L16" i="17"/>
  <c r="L22" i="17"/>
  <c r="X70" i="17" s="1" a="1"/>
  <c r="X70" i="17" s="1"/>
  <c r="Y70" i="17" s="1"/>
  <c r="L28" i="17"/>
  <c r="L34" i="17"/>
  <c r="L40" i="17"/>
  <c r="L46" i="17"/>
  <c r="L62" i="17"/>
  <c r="L63" i="17"/>
  <c r="L64" i="17"/>
  <c r="L65" i="17"/>
  <c r="L66" i="17"/>
  <c r="L67" i="17"/>
  <c r="L5" i="17"/>
  <c r="L11" i="17"/>
  <c r="L17" i="17"/>
  <c r="L23" i="17"/>
  <c r="L29" i="17"/>
  <c r="L35" i="17"/>
  <c r="T35" i="17" s="1" a="1"/>
  <c r="T35" i="17" s="1"/>
  <c r="L41" i="17"/>
  <c r="L47" i="17"/>
  <c r="L68" i="17"/>
  <c r="L69" i="17"/>
  <c r="L70" i="17"/>
  <c r="L71" i="17"/>
  <c r="L72" i="17"/>
  <c r="L73" i="17"/>
  <c r="L6" i="17"/>
  <c r="L12" i="17"/>
  <c r="L18" i="17"/>
  <c r="L24" i="17"/>
  <c r="L30" i="17"/>
  <c r="L36" i="17"/>
  <c r="L42" i="17"/>
  <c r="L48" i="17"/>
  <c r="T48" i="17" s="1" a="1"/>
  <c r="T48" i="17" s="1"/>
  <c r="L74" i="17"/>
  <c r="L75" i="17"/>
  <c r="L76" i="17"/>
  <c r="L77" i="17"/>
  <c r="L78" i="17"/>
  <c r="L79" i="17"/>
  <c r="L7" i="17"/>
  <c r="L13" i="17"/>
  <c r="L19" i="17"/>
  <c r="L25" i="17"/>
  <c r="L31" i="17"/>
  <c r="O31" i="17" s="1" a="1"/>
  <c r="O31" i="17" s="1"/>
  <c r="L37" i="17"/>
  <c r="L43" i="17"/>
  <c r="L49" i="17"/>
  <c r="L80" i="17"/>
  <c r="L81" i="17"/>
  <c r="N81" i="17" s="1" a="1"/>
  <c r="N81" i="17" s="1"/>
  <c r="L82" i="17"/>
  <c r="L83" i="17"/>
  <c r="L84" i="17"/>
  <c r="L85" i="17"/>
  <c r="M2" i="17" a="1"/>
  <c r="M2" i="17" s="1"/>
  <c r="M8" i="17" a="1"/>
  <c r="M8" i="17" s="1"/>
  <c r="M14" i="17" a="1"/>
  <c r="M14" i="17" s="1"/>
  <c r="M20" i="17" a="1"/>
  <c r="M20" i="17" s="1"/>
  <c r="M26" i="17" a="1"/>
  <c r="M26" i="17" s="1"/>
  <c r="M32" i="17" a="1"/>
  <c r="M32" i="17" s="1"/>
  <c r="M38" i="17" a="1"/>
  <c r="M38" i="17" s="1"/>
  <c r="M44" i="17" a="1"/>
  <c r="M44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" i="17" a="1"/>
  <c r="M3" i="17" s="1"/>
  <c r="M9" i="17" a="1"/>
  <c r="M9" i="17" s="1"/>
  <c r="M15" i="17" a="1"/>
  <c r="M15" i="17" s="1"/>
  <c r="M21" i="17" a="1"/>
  <c r="M21" i="17" s="1"/>
  <c r="M27" i="17" a="1"/>
  <c r="M27" i="17" s="1"/>
  <c r="M33" i="17" a="1"/>
  <c r="M33" i="17" s="1"/>
  <c r="M39" i="17" a="1"/>
  <c r="M39" i="17" s="1"/>
  <c r="M45" i="17" a="1"/>
  <c r="M45" i="17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4" i="17" a="1"/>
  <c r="M4" i="17" s="1"/>
  <c r="M10" i="17" a="1"/>
  <c r="M10" i="17" s="1"/>
  <c r="M16" i="17" a="1"/>
  <c r="M16" i="17" s="1"/>
  <c r="M22" i="17" a="1"/>
  <c r="M22" i="17" s="1"/>
  <c r="M28" i="17" a="1"/>
  <c r="M28" i="17" s="1"/>
  <c r="M34" i="17" a="1"/>
  <c r="M34" i="17" s="1"/>
  <c r="M40" i="17" a="1"/>
  <c r="M40" i="17" s="1"/>
  <c r="M46" i="17" a="1"/>
  <c r="M46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5" i="17" a="1"/>
  <c r="M5" i="17" s="1"/>
  <c r="M11" i="17" a="1"/>
  <c r="M11" i="17" s="1"/>
  <c r="M17" i="17" a="1"/>
  <c r="M17" i="17" s="1"/>
  <c r="M23" i="17" a="1"/>
  <c r="M23" i="17"/>
  <c r="M29" i="17" a="1"/>
  <c r="M29" i="17" s="1"/>
  <c r="M35" i="17" a="1"/>
  <c r="M35" i="17" s="1"/>
  <c r="M41" i="17" a="1"/>
  <c r="M41" i="17" s="1"/>
  <c r="M47" i="17" a="1"/>
  <c r="M47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6" i="17" a="1"/>
  <c r="M6" i="17" s="1"/>
  <c r="M12" i="17" a="1"/>
  <c r="M12" i="17" s="1"/>
  <c r="M18" i="17" a="1"/>
  <c r="M18" i="17" s="1"/>
  <c r="M24" i="17" a="1"/>
  <c r="M24" i="17" s="1"/>
  <c r="M30" i="17" a="1"/>
  <c r="M30" i="17" s="1"/>
  <c r="M36" i="17" a="1"/>
  <c r="M36" i="17"/>
  <c r="M42" i="17" a="1"/>
  <c r="M42" i="17" s="1"/>
  <c r="M48" i="17" a="1"/>
  <c r="M48" i="17" s="1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7" i="17" a="1"/>
  <c r="M7" i="17" s="1"/>
  <c r="M13" i="17" a="1"/>
  <c r="M13" i="17" s="1"/>
  <c r="M19" i="17" a="1"/>
  <c r="M19" i="17" s="1"/>
  <c r="M25" i="17" a="1"/>
  <c r="M25" i="17" s="1"/>
  <c r="M31" i="17" a="1"/>
  <c r="M31" i="17" s="1"/>
  <c r="M37" i="17" a="1"/>
  <c r="M37" i="17" s="1"/>
  <c r="M43" i="17" a="1"/>
  <c r="M43" i="17" s="1"/>
  <c r="M49" i="17" a="1"/>
  <c r="M49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O15" i="17" a="1"/>
  <c r="O15" i="17" s="1"/>
  <c r="P2" i="17" a="1"/>
  <c r="P2" i="17" s="1"/>
  <c r="P8" i="17" a="1"/>
  <c r="P8" i="17"/>
  <c r="P14" i="17" a="1"/>
  <c r="P14" i="17" s="1"/>
  <c r="P20" i="17" a="1"/>
  <c r="P20" i="17" s="1"/>
  <c r="P26" i="17" a="1"/>
  <c r="P26" i="17" s="1"/>
  <c r="P32" i="17" a="1"/>
  <c r="P32" i="17" s="1"/>
  <c r="P38" i="17" a="1"/>
  <c r="P38" i="17" s="1"/>
  <c r="P44" i="17" a="1"/>
  <c r="P44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" i="17" a="1"/>
  <c r="P3" i="17" s="1"/>
  <c r="P9" i="17" a="1"/>
  <c r="P9" i="17" s="1"/>
  <c r="P15" i="17" a="1"/>
  <c r="P15" i="17" s="1"/>
  <c r="P21" i="17" a="1"/>
  <c r="P21" i="17"/>
  <c r="P27" i="17" a="1"/>
  <c r="P27" i="17" s="1"/>
  <c r="P33" i="17" a="1"/>
  <c r="P33" i="17" s="1"/>
  <c r="P39" i="17" a="1"/>
  <c r="P39" i="17" s="1"/>
  <c r="P45" i="17" a="1"/>
  <c r="P45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4" i="17" a="1"/>
  <c r="P4" i="17" s="1"/>
  <c r="P10" i="17" a="1"/>
  <c r="P10" i="17" s="1"/>
  <c r="P16" i="17" a="1"/>
  <c r="P16" i="17" s="1"/>
  <c r="P22" i="17" a="1"/>
  <c r="P22" i="17" s="1"/>
  <c r="P28" i="17" a="1"/>
  <c r="P28" i="17" s="1"/>
  <c r="P34" i="17" a="1"/>
  <c r="P34" i="17" s="1"/>
  <c r="P40" i="17" a="1"/>
  <c r="P40" i="17" s="1"/>
  <c r="P46" i="17" a="1"/>
  <c r="P46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5" i="17" a="1"/>
  <c r="P5" i="17" s="1"/>
  <c r="P11" i="17" a="1"/>
  <c r="P11" i="17" s="1"/>
  <c r="P17" i="17" a="1"/>
  <c r="P17" i="17" s="1"/>
  <c r="P23" i="17" a="1"/>
  <c r="P23" i="17" s="1"/>
  <c r="P29" i="17" a="1"/>
  <c r="P29" i="17" s="1"/>
  <c r="P35" i="17" a="1"/>
  <c r="P35" i="17" s="1"/>
  <c r="P41" i="17" a="1"/>
  <c r="P41" i="17" s="1"/>
  <c r="P47" i="17" a="1"/>
  <c r="P47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6" i="17" a="1"/>
  <c r="P6" i="17" s="1"/>
  <c r="P12" i="17" a="1"/>
  <c r="P12" i="17" s="1"/>
  <c r="P18" i="17" a="1"/>
  <c r="P18" i="17" s="1"/>
  <c r="P24" i="17" a="1"/>
  <c r="P24" i="17" s="1"/>
  <c r="P30" i="17" a="1"/>
  <c r="P30" i="17" s="1"/>
  <c r="P36" i="17" a="1"/>
  <c r="P36" i="17" s="1"/>
  <c r="P42" i="17" a="1"/>
  <c r="P42" i="17" s="1"/>
  <c r="P48" i="17" a="1"/>
  <c r="P48" i="17" s="1"/>
  <c r="P74" i="17" a="1"/>
  <c r="P74" i="17" s="1"/>
  <c r="P75" i="17" a="1"/>
  <c r="P75" i="17"/>
  <c r="P76" i="17" a="1"/>
  <c r="P76" i="17" s="1"/>
  <c r="P77" i="17" a="1"/>
  <c r="P77" i="17" s="1"/>
  <c r="P78" i="17" a="1"/>
  <c r="P78" i="17" s="1"/>
  <c r="P79" i="17" a="1"/>
  <c r="P79" i="17" s="1"/>
  <c r="P7" i="17" a="1"/>
  <c r="P7" i="17" s="1"/>
  <c r="P13" i="17" a="1"/>
  <c r="P13" i="17" s="1"/>
  <c r="P19" i="17" a="1"/>
  <c r="P19" i="17"/>
  <c r="P25" i="17" a="1"/>
  <c r="P25" i="17" s="1"/>
  <c r="P31" i="17" a="1"/>
  <c r="P31" i="17" s="1"/>
  <c r="P37" i="17" a="1"/>
  <c r="P37" i="17" s="1"/>
  <c r="P43" i="17" a="1"/>
  <c r="P43" i="17" s="1"/>
  <c r="P49" i="17" a="1"/>
  <c r="P49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R7" i="17" a="1"/>
  <c r="R7" i="17" s="1"/>
  <c r="S44" i="17" a="1"/>
  <c r="S44" i="17" s="1"/>
  <c r="S58" i="17" a="1"/>
  <c r="S58" i="17" s="1"/>
  <c r="S67" i="17" a="1"/>
  <c r="S67" i="17" s="1"/>
  <c r="S12" i="17" a="1"/>
  <c r="S12" i="17" s="1"/>
  <c r="S13" i="17" a="1"/>
  <c r="S13" i="17" s="1"/>
  <c r="T14" i="17" a="1"/>
  <c r="T14" i="17" s="1"/>
  <c r="T21" i="17" a="1"/>
  <c r="T21" i="17" s="1"/>
  <c r="T28" i="17" a="1"/>
  <c r="T28" i="17" s="1"/>
  <c r="T29" i="17" a="1"/>
  <c r="T29" i="17" s="1"/>
  <c r="T24" i="17" a="1"/>
  <c r="T24" i="17" s="1"/>
  <c r="T25" i="17" a="1"/>
  <c r="T25" i="17" s="1"/>
  <c r="U20" i="17" a="1"/>
  <c r="U20" i="17" s="1"/>
  <c r="U21" i="17" a="1"/>
  <c r="U21" i="17" s="1"/>
  <c r="U28" i="17" a="1"/>
  <c r="U28" i="17" s="1"/>
  <c r="U35" i="17" a="1"/>
  <c r="U35" i="17" s="1"/>
  <c r="U48" i="17" a="1"/>
  <c r="U48" i="17" s="1"/>
  <c r="U49" i="17" a="1"/>
  <c r="U49" i="17" s="1"/>
  <c r="V44" i="17" a="1"/>
  <c r="V44" i="17" s="1"/>
  <c r="V45" i="17" a="1"/>
  <c r="V45" i="17" s="1"/>
  <c r="V46" i="17" a="1"/>
  <c r="V46" i="17" s="1"/>
  <c r="V69" i="17" a="1"/>
  <c r="V69" i="17" s="1"/>
  <c r="V74" i="17" a="1"/>
  <c r="V74" i="17" s="1"/>
  <c r="V80" i="17" a="1"/>
  <c r="V80" i="17" s="1"/>
  <c r="X54" i="17" a="1"/>
  <c r="X54" i="17" s="1"/>
  <c r="X45" i="17" a="1"/>
  <c r="X45" i="17" s="1"/>
  <c r="Y45" i="17" s="1"/>
  <c r="X60" i="17" a="1"/>
  <c r="X60" i="17" s="1"/>
  <c r="Y60" i="17" s="1"/>
  <c r="X65" i="17" a="1"/>
  <c r="X65" i="17" s="1"/>
  <c r="Y65" i="17" s="1"/>
  <c r="X41" i="17" a="1"/>
  <c r="X41" i="17" s="1"/>
  <c r="Y41" i="17" s="1"/>
  <c r="X71" i="17" a="1"/>
  <c r="X71" i="17" s="1"/>
  <c r="X74" i="17" a="1"/>
  <c r="X74" i="17" s="1"/>
  <c r="Y74" i="17" s="1"/>
  <c r="X79" i="17" a="1"/>
  <c r="X79" i="17" s="1"/>
  <c r="X80" i="17" a="1"/>
  <c r="X80" i="17" s="1"/>
  <c r="Y80" i="17" s="1"/>
  <c r="X84" i="17" a="1"/>
  <c r="X84" i="17" s="1"/>
  <c r="Y84" i="17" s="1"/>
  <c r="G2" i="16"/>
  <c r="N5" i="20" l="1"/>
  <c r="K17" i="20" a="1"/>
  <c r="K17" i="20" s="1"/>
  <c r="L16" i="20" a="1"/>
  <c r="L16" i="20" s="1"/>
  <c r="O10" i="20" a="1"/>
  <c r="O10" i="20" s="1"/>
  <c r="L13" i="20" a="1"/>
  <c r="L13" i="20" s="1"/>
  <c r="N13" i="20"/>
  <c r="K9" i="20" a="1"/>
  <c r="K9" i="20" s="1"/>
  <c r="L5" i="20" a="1"/>
  <c r="L5" i="20" s="1"/>
  <c r="K7" i="20" a="1"/>
  <c r="K7" i="20" s="1"/>
  <c r="N16" i="20"/>
  <c r="N2" i="20"/>
  <c r="N8" i="20"/>
  <c r="O5" i="20" a="1"/>
  <c r="O5" i="20" s="1"/>
  <c r="P14" i="20" a="1"/>
  <c r="P14" i="20" s="1"/>
  <c r="P13" i="20" a="1"/>
  <c r="P13" i="20" s="1"/>
  <c r="P5" i="20" a="1"/>
  <c r="P5" i="20" s="1"/>
  <c r="O15" i="20" a="1"/>
  <c r="O15" i="20" s="1"/>
  <c r="O7" i="20" a="1"/>
  <c r="O7" i="20" s="1"/>
  <c r="L12" i="20" a="1"/>
  <c r="L12" i="20" s="1"/>
  <c r="N12" i="20" s="1"/>
  <c r="L4" i="20" a="1"/>
  <c r="L4" i="20" s="1"/>
  <c r="N4" i="20" s="1"/>
  <c r="K14" i="20" a="1"/>
  <c r="K14" i="20" s="1"/>
  <c r="K6" i="20" a="1"/>
  <c r="K6" i="20" s="1"/>
  <c r="O14" i="20" a="1"/>
  <c r="O14" i="20" s="1"/>
  <c r="L3" i="20" a="1"/>
  <c r="L3" i="20" s="1"/>
  <c r="N3" i="20" s="1"/>
  <c r="K5" i="20" a="1"/>
  <c r="K5" i="20" s="1"/>
  <c r="O6" i="20" a="1"/>
  <c r="O6" i="20" s="1"/>
  <c r="L11" i="20" a="1"/>
  <c r="L11" i="20" s="1"/>
  <c r="N11" i="20" s="1"/>
  <c r="K13" i="20" a="1"/>
  <c r="K13" i="20" s="1"/>
  <c r="L2" i="20" a="1"/>
  <c r="L2" i="20" s="1"/>
  <c r="K4" i="20" a="1"/>
  <c r="K4" i="20" s="1"/>
  <c r="P4" i="20" a="1"/>
  <c r="P4" i="20" s="1"/>
  <c r="L10" i="20" a="1"/>
  <c r="L10" i="20" s="1"/>
  <c r="N10" i="20" s="1"/>
  <c r="K12" i="20" a="1"/>
  <c r="K12" i="20" s="1"/>
  <c r="P3" i="20" a="1"/>
  <c r="P3" i="20" s="1"/>
  <c r="O12" i="20" a="1"/>
  <c r="O12" i="20" s="1"/>
  <c r="L9" i="20" a="1"/>
  <c r="L9" i="20" s="1"/>
  <c r="N9" i="20" s="1"/>
  <c r="K11" i="20" a="1"/>
  <c r="K11" i="20" s="1"/>
  <c r="K3" i="20" a="1"/>
  <c r="K3" i="20" s="1"/>
  <c r="O13" i="20" a="1"/>
  <c r="O13" i="20" s="1"/>
  <c r="O4" i="20" a="1"/>
  <c r="O4" i="20" s="1"/>
  <c r="K19" i="20" a="1"/>
  <c r="K19" i="20" s="1"/>
  <c r="P19" i="20" a="1"/>
  <c r="P19" i="20" s="1"/>
  <c r="P18" i="20" a="1"/>
  <c r="P18" i="20" s="1"/>
  <c r="P2" i="20" a="1"/>
  <c r="P2" i="20" s="1"/>
  <c r="P9" i="20" a="1"/>
  <c r="P9" i="20" s="1"/>
  <c r="O3" i="20" a="1"/>
  <c r="O3" i="20" s="1"/>
  <c r="L8" i="20" a="1"/>
  <c r="L8" i="20" s="1"/>
  <c r="K2" i="20" a="1"/>
  <c r="K2" i="20" s="1"/>
  <c r="P11" i="20" a="1"/>
  <c r="P11" i="20" s="1"/>
  <c r="P10" i="20" a="1"/>
  <c r="P10" i="20" s="1"/>
  <c r="L17" i="20" a="1"/>
  <c r="L17" i="20" s="1"/>
  <c r="N17" i="20" s="1"/>
  <c r="P17" i="20" a="1"/>
  <c r="P17" i="20" s="1"/>
  <c r="O19" i="20" a="1"/>
  <c r="O19" i="20" s="1"/>
  <c r="O11" i="20" a="1"/>
  <c r="O11" i="20" s="1"/>
  <c r="K18" i="20" a="1"/>
  <c r="K18" i="20" s="1"/>
  <c r="K10" i="20" a="1"/>
  <c r="K10" i="20" s="1"/>
  <c r="L19" i="20" a="1"/>
  <c r="L19" i="20" s="1"/>
  <c r="N19" i="20" s="1"/>
  <c r="P8" i="20" a="1"/>
  <c r="P8" i="20" s="1"/>
  <c r="O18" i="20" a="1"/>
  <c r="O18" i="20" s="1"/>
  <c r="O2" i="20" a="1"/>
  <c r="O2" i="20" s="1"/>
  <c r="L15" i="20" a="1"/>
  <c r="L15" i="20" s="1"/>
  <c r="N15" i="20" s="1"/>
  <c r="L7" i="20" a="1"/>
  <c r="L7" i="20" s="1"/>
  <c r="N7" i="20" s="1"/>
  <c r="P16" i="20" a="1"/>
  <c r="P16" i="20" s="1"/>
  <c r="P7" i="20" a="1"/>
  <c r="P7" i="20" s="1"/>
  <c r="L6" i="20" a="1"/>
  <c r="L6" i="20" s="1"/>
  <c r="N6" i="20" s="1"/>
  <c r="O9" i="20" a="1"/>
  <c r="O9" i="20" s="1"/>
  <c r="L14" i="20" a="1"/>
  <c r="L14" i="20" s="1"/>
  <c r="N14" i="20" s="1"/>
  <c r="K16" i="20" a="1"/>
  <c r="K16" i="20" s="1"/>
  <c r="K8" i="20" a="1"/>
  <c r="K8" i="20" s="1"/>
  <c r="P12" i="20" a="1"/>
  <c r="P12" i="20" s="1"/>
  <c r="L18" i="20" a="1"/>
  <c r="L18" i="20" s="1"/>
  <c r="N18" i="20" s="1"/>
  <c r="P15" i="20" a="1"/>
  <c r="P15" i="20" s="1"/>
  <c r="O17" i="20" a="1"/>
  <c r="O17" i="20" s="1"/>
  <c r="P6" i="20" a="1"/>
  <c r="P6" i="20" s="1"/>
  <c r="O16" i="20" a="1"/>
  <c r="O16" i="20" s="1"/>
  <c r="O8" i="20" a="1"/>
  <c r="O8" i="20" s="1"/>
  <c r="O49" i="18" a="1"/>
  <c r="O49" i="18" s="1"/>
  <c r="O17" i="18" a="1"/>
  <c r="O17" i="18" s="1"/>
  <c r="O33" i="18" a="1"/>
  <c r="O33" i="18" s="1"/>
  <c r="O25" i="18" a="1"/>
  <c r="O25" i="18" s="1"/>
  <c r="T30" i="18" a="1"/>
  <c r="T30" i="18" s="1"/>
  <c r="O2" i="18" a="1"/>
  <c r="O2" i="18" s="1"/>
  <c r="O9" i="18" a="1"/>
  <c r="O9" i="18" s="1"/>
  <c r="T14" i="18" a="1"/>
  <c r="T14" i="18" s="1"/>
  <c r="T22" i="18" a="1"/>
  <c r="T22" i="18" s="1"/>
  <c r="T6" i="18" a="1"/>
  <c r="T6" i="18" s="1"/>
  <c r="S52" i="18" a="1"/>
  <c r="S52" i="18" s="1"/>
  <c r="S36" i="18" a="1"/>
  <c r="S36" i="18" s="1"/>
  <c r="T54" i="18" a="1"/>
  <c r="T54" i="18" s="1"/>
  <c r="R34" i="18"/>
  <c r="U34" i="18" s="1"/>
  <c r="P50" i="18" a="1"/>
  <c r="P50" i="18" s="1"/>
  <c r="R50" i="18" s="1"/>
  <c r="U50" i="18" s="1"/>
  <c r="P42" i="18" a="1"/>
  <c r="P42" i="18" s="1"/>
  <c r="R42" i="18" s="1"/>
  <c r="U42" i="18" s="1"/>
  <c r="P34" i="18" a="1"/>
  <c r="P34" i="18" s="1"/>
  <c r="P26" i="18" a="1"/>
  <c r="P26" i="18" s="1"/>
  <c r="R26" i="18" s="1"/>
  <c r="U26" i="18" s="1"/>
  <c r="P18" i="18" a="1"/>
  <c r="P18" i="18" s="1"/>
  <c r="R18" i="18" s="1"/>
  <c r="U18" i="18" s="1"/>
  <c r="P10" i="18" a="1"/>
  <c r="P10" i="18" s="1"/>
  <c r="R10" i="18" s="1"/>
  <c r="U10" i="18" s="1"/>
  <c r="P2" i="18" a="1"/>
  <c r="P2" i="18" s="1"/>
  <c r="R2" i="18" s="1"/>
  <c r="U2" i="18" s="1"/>
  <c r="O48" i="18" a="1"/>
  <c r="O48" i="18" s="1"/>
  <c r="O40" i="18" a="1"/>
  <c r="O40" i="18" s="1"/>
  <c r="O32" i="18" a="1"/>
  <c r="O32" i="18" s="1"/>
  <c r="O24" i="18" a="1"/>
  <c r="O24" i="18" s="1"/>
  <c r="O16" i="18" a="1"/>
  <c r="O16" i="18" s="1"/>
  <c r="O8" i="18" a="1"/>
  <c r="O8" i="18" s="1"/>
  <c r="S27" i="18" a="1"/>
  <c r="S27" i="18" s="1"/>
  <c r="T52" i="18" a="1"/>
  <c r="T52" i="18" s="1"/>
  <c r="T4" i="18" a="1"/>
  <c r="T4" i="18" s="1"/>
  <c r="S50" i="18" a="1"/>
  <c r="S50" i="18" s="1"/>
  <c r="S34" i="18" a="1"/>
  <c r="S34" i="18" s="1"/>
  <c r="S18" i="18" a="1"/>
  <c r="S18" i="18" s="1"/>
  <c r="S2" i="18" a="1"/>
  <c r="S2" i="18" s="1"/>
  <c r="P49" i="18" a="1"/>
  <c r="P49" i="18" s="1"/>
  <c r="R49" i="18" s="1"/>
  <c r="U49" i="18" s="1"/>
  <c r="P25" i="18" a="1"/>
  <c r="P25" i="18" s="1"/>
  <c r="R25" i="18" s="1"/>
  <c r="U25" i="18" s="1"/>
  <c r="P9" i="18" a="1"/>
  <c r="P9" i="18" s="1"/>
  <c r="R9" i="18" s="1"/>
  <c r="U9" i="18" s="1"/>
  <c r="O55" i="18" a="1"/>
  <c r="O55" i="18" s="1"/>
  <c r="O47" i="18" a="1"/>
  <c r="O47" i="18" s="1"/>
  <c r="O23" i="18" a="1"/>
  <c r="O23" i="18" s="1"/>
  <c r="O15" i="18" a="1"/>
  <c r="O15" i="18" s="1"/>
  <c r="O7" i="18" a="1"/>
  <c r="O7" i="18" s="1"/>
  <c r="T29" i="18" a="1"/>
  <c r="T29" i="18" s="1"/>
  <c r="T12" i="18" a="1"/>
  <c r="T12" i="18" s="1"/>
  <c r="S42" i="18" a="1"/>
  <c r="S42" i="18" s="1"/>
  <c r="S26" i="18" a="1"/>
  <c r="S26" i="18" s="1"/>
  <c r="S10" i="18" a="1"/>
  <c r="S10" i="18" s="1"/>
  <c r="P41" i="18" a="1"/>
  <c r="P41" i="18" s="1"/>
  <c r="R41" i="18" s="1"/>
  <c r="U41" i="18" s="1"/>
  <c r="P33" i="18" a="1"/>
  <c r="P33" i="18" s="1"/>
  <c r="R33" i="18" s="1"/>
  <c r="U33" i="18" s="1"/>
  <c r="P17" i="18" a="1"/>
  <c r="P17" i="18" s="1"/>
  <c r="R17" i="18" s="1"/>
  <c r="U17" i="18" s="1"/>
  <c r="O39" i="18" a="1"/>
  <c r="O39" i="18" s="1"/>
  <c r="O31" i="18" a="1"/>
  <c r="O31" i="18" s="1"/>
  <c r="T5" i="18" a="1"/>
  <c r="T5" i="18" s="1"/>
  <c r="T51" i="18" a="1"/>
  <c r="T51" i="18" s="1"/>
  <c r="T35" i="18" a="1"/>
  <c r="T35" i="18" s="1"/>
  <c r="T19" i="18" a="1"/>
  <c r="T19" i="18" s="1"/>
  <c r="T3" i="18" a="1"/>
  <c r="T3" i="18" s="1"/>
  <c r="S49" i="18" a="1"/>
  <c r="S49" i="18" s="1"/>
  <c r="S25" i="18" a="1"/>
  <c r="S25" i="18" s="1"/>
  <c r="S17" i="18" a="1"/>
  <c r="S17" i="18" s="1"/>
  <c r="P48" i="18" a="1"/>
  <c r="P48" i="18" s="1"/>
  <c r="R48" i="18" s="1"/>
  <c r="U48" i="18" s="1"/>
  <c r="P32" i="18" a="1"/>
  <c r="P32" i="18" s="1"/>
  <c r="R32" i="18" s="1"/>
  <c r="U32" i="18" s="1"/>
  <c r="P16" i="18" a="1"/>
  <c r="P16" i="18" s="1"/>
  <c r="R16" i="18" s="1"/>
  <c r="U16" i="18" s="1"/>
  <c r="O54" i="18" a="1"/>
  <c r="O54" i="18" s="1"/>
  <c r="O38" i="18" a="1"/>
  <c r="O38" i="18" s="1"/>
  <c r="O22" i="18" a="1"/>
  <c r="O22" i="18" s="1"/>
  <c r="O14" i="18" a="1"/>
  <c r="O14" i="18" s="1"/>
  <c r="S35" i="18" a="1"/>
  <c r="S35" i="18" s="1"/>
  <c r="T43" i="18" a="1"/>
  <c r="T43" i="18" s="1"/>
  <c r="T27" i="18" a="1"/>
  <c r="T27" i="18" s="1"/>
  <c r="T11" i="18" a="1"/>
  <c r="T11" i="18" s="1"/>
  <c r="S41" i="18" a="1"/>
  <c r="S41" i="18" s="1"/>
  <c r="S33" i="18" a="1"/>
  <c r="S33" i="18" s="1"/>
  <c r="S9" i="18" a="1"/>
  <c r="S9" i="18" s="1"/>
  <c r="P40" i="18" a="1"/>
  <c r="P40" i="18" s="1"/>
  <c r="R40" i="18" s="1"/>
  <c r="U40" i="18" s="1"/>
  <c r="P24" i="18" a="1"/>
  <c r="P24" i="18" s="1"/>
  <c r="R24" i="18" s="1"/>
  <c r="U24" i="18" s="1"/>
  <c r="P8" i="18" a="1"/>
  <c r="P8" i="18" s="1"/>
  <c r="R8" i="18" s="1"/>
  <c r="U8" i="18" s="1"/>
  <c r="O46" i="18" a="1"/>
  <c r="O46" i="18" s="1"/>
  <c r="O30" i="18" a="1"/>
  <c r="O30" i="18" s="1"/>
  <c r="O6" i="18" a="1"/>
  <c r="O6" i="18" s="1"/>
  <c r="R53" i="18"/>
  <c r="U53" i="18" s="1"/>
  <c r="S11" i="18" a="1"/>
  <c r="S11" i="18" s="1"/>
  <c r="T36" i="18" a="1"/>
  <c r="T36" i="18" s="1"/>
  <c r="T42" i="18" a="1"/>
  <c r="T42" i="18" s="1"/>
  <c r="T26" i="18" a="1"/>
  <c r="T26" i="18" s="1"/>
  <c r="T2" i="18" a="1"/>
  <c r="T2" i="18" s="1"/>
  <c r="S40" i="18" a="1"/>
  <c r="S40" i="18" s="1"/>
  <c r="S24" i="18" a="1"/>
  <c r="S24" i="18" s="1"/>
  <c r="S16" i="18" a="1"/>
  <c r="S16" i="18" s="1"/>
  <c r="P39" i="18" a="1"/>
  <c r="P39" i="18" s="1"/>
  <c r="R39" i="18" s="1"/>
  <c r="U39" i="18" s="1"/>
  <c r="P31" i="18" a="1"/>
  <c r="P31" i="18" s="1"/>
  <c r="R31" i="18" s="1"/>
  <c r="U31" i="18" s="1"/>
  <c r="P7" i="18" a="1"/>
  <c r="P7" i="18" s="1"/>
  <c r="R7" i="18" s="1"/>
  <c r="U7" i="18" s="1"/>
  <c r="O45" i="18" a="1"/>
  <c r="O45" i="18" s="1"/>
  <c r="O29" i="18" a="1"/>
  <c r="O29" i="18" s="1"/>
  <c r="O5" i="18" a="1"/>
  <c r="O5" i="18" s="1"/>
  <c r="S43" i="18" a="1"/>
  <c r="S43" i="18" s="1"/>
  <c r="T28" i="18" a="1"/>
  <c r="T28" i="18" s="1"/>
  <c r="T34" i="18" a="1"/>
  <c r="T34" i="18" s="1"/>
  <c r="T18" i="18" a="1"/>
  <c r="T18" i="18" s="1"/>
  <c r="T10" i="18" a="1"/>
  <c r="T10" i="18" s="1"/>
  <c r="S48" i="18" a="1"/>
  <c r="S48" i="18" s="1"/>
  <c r="S32" i="18" a="1"/>
  <c r="S32" i="18" s="1"/>
  <c r="S8" i="18" a="1"/>
  <c r="S8" i="18" s="1"/>
  <c r="P55" i="18" a="1"/>
  <c r="P55" i="18" s="1"/>
  <c r="R55" i="18" s="1"/>
  <c r="U55" i="18" s="1"/>
  <c r="P47" i="18" a="1"/>
  <c r="P47" i="18" s="1"/>
  <c r="R47" i="18" s="1"/>
  <c r="U47" i="18" s="1"/>
  <c r="P23" i="18" a="1"/>
  <c r="P23" i="18" s="1"/>
  <c r="R23" i="18" s="1"/>
  <c r="U23" i="18" s="1"/>
  <c r="P15" i="18" a="1"/>
  <c r="P15" i="18" s="1"/>
  <c r="R15" i="18" s="1"/>
  <c r="U15" i="18" s="1"/>
  <c r="O53" i="18" a="1"/>
  <c r="O53" i="18" s="1"/>
  <c r="O37" i="18" a="1"/>
  <c r="O37" i="18" s="1"/>
  <c r="O21" i="18" a="1"/>
  <c r="O21" i="18" s="1"/>
  <c r="O13" i="18" a="1"/>
  <c r="O13" i="18" s="1"/>
  <c r="S19" i="18" a="1"/>
  <c r="S19" i="18" s="1"/>
  <c r="T20" i="18" a="1"/>
  <c r="T20" i="18" s="1"/>
  <c r="T41" i="18" a="1"/>
  <c r="T41" i="18" s="1"/>
  <c r="T33" i="18" a="1"/>
  <c r="T33" i="18" s="1"/>
  <c r="T9" i="18" a="1"/>
  <c r="T9" i="18" s="1"/>
  <c r="S39" i="18" a="1"/>
  <c r="S39" i="18" s="1"/>
  <c r="S7" i="18" a="1"/>
  <c r="S7" i="18" s="1"/>
  <c r="P46" i="18" a="1"/>
  <c r="P46" i="18" s="1"/>
  <c r="R46" i="18" s="1"/>
  <c r="U46" i="18" s="1"/>
  <c r="P30" i="18" a="1"/>
  <c r="P30" i="18" s="1"/>
  <c r="R30" i="18" s="1"/>
  <c r="U30" i="18" s="1"/>
  <c r="P14" i="18" a="1"/>
  <c r="P14" i="18" s="1"/>
  <c r="R14" i="18" s="1"/>
  <c r="U14" i="18" s="1"/>
  <c r="O52" i="18" a="1"/>
  <c r="O52" i="18" s="1"/>
  <c r="O36" i="18" a="1"/>
  <c r="O36" i="18" s="1"/>
  <c r="O20" i="18" a="1"/>
  <c r="O20" i="18" s="1"/>
  <c r="O4" i="18" a="1"/>
  <c r="O4" i="18" s="1"/>
  <c r="T21" i="18" a="1"/>
  <c r="T21" i="18" s="1"/>
  <c r="T44" i="18" a="1"/>
  <c r="T44" i="18" s="1"/>
  <c r="T50" i="18" a="1"/>
  <c r="T50" i="18" s="1"/>
  <c r="T49" i="18" a="1"/>
  <c r="T49" i="18" s="1"/>
  <c r="T25" i="18" a="1"/>
  <c r="T25" i="18" s="1"/>
  <c r="T17" i="18" a="1"/>
  <c r="T17" i="18" s="1"/>
  <c r="S55" i="18" a="1"/>
  <c r="S55" i="18" s="1"/>
  <c r="S47" i="18" a="1"/>
  <c r="S47" i="18" s="1"/>
  <c r="S31" i="18" a="1"/>
  <c r="S31" i="18" s="1"/>
  <c r="S23" i="18" a="1"/>
  <c r="S23" i="18" s="1"/>
  <c r="S15" i="18" a="1"/>
  <c r="S15" i="18" s="1"/>
  <c r="P54" i="18" a="1"/>
  <c r="P54" i="18" s="1"/>
  <c r="R54" i="18" s="1"/>
  <c r="U54" i="18" s="1"/>
  <c r="P38" i="18" a="1"/>
  <c r="P38" i="18" s="1"/>
  <c r="R38" i="18" s="1"/>
  <c r="U38" i="18" s="1"/>
  <c r="P22" i="18" a="1"/>
  <c r="P22" i="18" s="1"/>
  <c r="R22" i="18" s="1"/>
  <c r="U22" i="18" s="1"/>
  <c r="P6" i="18" a="1"/>
  <c r="P6" i="18" s="1"/>
  <c r="R6" i="18" s="1"/>
  <c r="U6" i="18" s="1"/>
  <c r="O44" i="18" a="1"/>
  <c r="O44" i="18" s="1"/>
  <c r="O28" i="18" a="1"/>
  <c r="O28" i="18" s="1"/>
  <c r="O12" i="18" a="1"/>
  <c r="O12" i="18" s="1"/>
  <c r="S3" i="18" a="1"/>
  <c r="S3" i="18" s="1"/>
  <c r="T40" i="18" a="1"/>
  <c r="T40" i="18" s="1"/>
  <c r="T24" i="18" a="1"/>
  <c r="T24" i="18" s="1"/>
  <c r="S54" i="18" a="1"/>
  <c r="S54" i="18" s="1"/>
  <c r="S46" i="18" a="1"/>
  <c r="S46" i="18" s="1"/>
  <c r="S30" i="18" a="1"/>
  <c r="S30" i="18" s="1"/>
  <c r="S6" i="18" a="1"/>
  <c r="S6" i="18" s="1"/>
  <c r="P53" i="18" a="1"/>
  <c r="P53" i="18" s="1"/>
  <c r="P37" i="18" a="1"/>
  <c r="P37" i="18" s="1"/>
  <c r="R37" i="18" s="1"/>
  <c r="U37" i="18" s="1"/>
  <c r="P21" i="18" a="1"/>
  <c r="P21" i="18" s="1"/>
  <c r="R21" i="18" s="1"/>
  <c r="U21" i="18" s="1"/>
  <c r="P5" i="18" a="1"/>
  <c r="P5" i="18" s="1"/>
  <c r="R5" i="18" s="1"/>
  <c r="U5" i="18" s="1"/>
  <c r="O43" i="18" a="1"/>
  <c r="O43" i="18" s="1"/>
  <c r="O27" i="18" a="1"/>
  <c r="O27" i="18" s="1"/>
  <c r="O11" i="18" a="1"/>
  <c r="O11" i="18" s="1"/>
  <c r="T13" i="18" a="1"/>
  <c r="T13" i="18" s="1"/>
  <c r="T32" i="18" a="1"/>
  <c r="T32" i="18" s="1"/>
  <c r="T16" i="18" a="1"/>
  <c r="T16" i="18" s="1"/>
  <c r="T8" i="18" a="1"/>
  <c r="T8" i="18" s="1"/>
  <c r="S38" i="18" a="1"/>
  <c r="S38" i="18" s="1"/>
  <c r="S22" i="18" a="1"/>
  <c r="S22" i="18" s="1"/>
  <c r="S14" i="18" a="1"/>
  <c r="S14" i="18" s="1"/>
  <c r="P45" i="18" a="1"/>
  <c r="P45" i="18" s="1"/>
  <c r="R45" i="18" s="1"/>
  <c r="U45" i="18" s="1"/>
  <c r="P29" i="18" a="1"/>
  <c r="P29" i="18" s="1"/>
  <c r="R29" i="18" s="1"/>
  <c r="U29" i="18" s="1"/>
  <c r="P13" i="18" a="1"/>
  <c r="P13" i="18" s="1"/>
  <c r="R13" i="18" s="1"/>
  <c r="U13" i="18" s="1"/>
  <c r="O51" i="18" a="1"/>
  <c r="O51" i="18" s="1"/>
  <c r="O35" i="18" a="1"/>
  <c r="O35" i="18" s="1"/>
  <c r="O19" i="18" a="1"/>
  <c r="O19" i="18" s="1"/>
  <c r="O3" i="18" a="1"/>
  <c r="O3" i="18" s="1"/>
  <c r="T37" i="18" a="1"/>
  <c r="T37" i="18" s="1"/>
  <c r="T48" i="18" a="1"/>
  <c r="T48" i="18" s="1"/>
  <c r="T39" i="18" a="1"/>
  <c r="T39" i="18" s="1"/>
  <c r="T7" i="18" a="1"/>
  <c r="T7" i="18" s="1"/>
  <c r="S45" i="18" a="1"/>
  <c r="S45" i="18" s="1"/>
  <c r="S29" i="18" a="1"/>
  <c r="S29" i="18" s="1"/>
  <c r="S5" i="18" a="1"/>
  <c r="S5" i="18" s="1"/>
  <c r="P52" i="18" a="1"/>
  <c r="P52" i="18" s="1"/>
  <c r="R52" i="18" s="1"/>
  <c r="U52" i="18" s="1"/>
  <c r="P36" i="18" a="1"/>
  <c r="P36" i="18" s="1"/>
  <c r="R36" i="18" s="1"/>
  <c r="U36" i="18" s="1"/>
  <c r="P20" i="18" a="1"/>
  <c r="P20" i="18" s="1"/>
  <c r="R20" i="18" s="1"/>
  <c r="U20" i="18" s="1"/>
  <c r="P4" i="18" a="1"/>
  <c r="P4" i="18" s="1"/>
  <c r="R4" i="18" s="1"/>
  <c r="U4" i="18" s="1"/>
  <c r="O42" i="18" a="1"/>
  <c r="O42" i="18" s="1"/>
  <c r="O26" i="18" a="1"/>
  <c r="O26" i="18" s="1"/>
  <c r="O10" i="18" a="1"/>
  <c r="O10" i="18" s="1"/>
  <c r="S51" i="18" a="1"/>
  <c r="S51" i="18" s="1"/>
  <c r="T55" i="18" a="1"/>
  <c r="T55" i="18" s="1"/>
  <c r="T23" i="18" a="1"/>
  <c r="T23" i="18" s="1"/>
  <c r="T15" i="18" a="1"/>
  <c r="T15" i="18" s="1"/>
  <c r="S53" i="18" a="1"/>
  <c r="S53" i="18" s="1"/>
  <c r="S37" i="18" a="1"/>
  <c r="S37" i="18" s="1"/>
  <c r="S21" i="18" a="1"/>
  <c r="S21" i="18" s="1"/>
  <c r="S13" i="18" a="1"/>
  <c r="S13" i="18" s="1"/>
  <c r="P44" i="18" a="1"/>
  <c r="P44" i="18" s="1"/>
  <c r="R44" i="18" s="1"/>
  <c r="U44" i="18" s="1"/>
  <c r="P28" i="18" a="1"/>
  <c r="P28" i="18" s="1"/>
  <c r="R28" i="18" s="1"/>
  <c r="U28" i="18" s="1"/>
  <c r="P12" i="18" a="1"/>
  <c r="P12" i="18" s="1"/>
  <c r="R12" i="18" s="1"/>
  <c r="U12" i="18" s="1"/>
  <c r="O50" i="18" a="1"/>
  <c r="O50" i="18" s="1"/>
  <c r="O34" i="18" a="1"/>
  <c r="O34" i="18" s="1"/>
  <c r="O18" i="18" a="1"/>
  <c r="O18" i="18" s="1"/>
  <c r="S28" i="18" a="1"/>
  <c r="S28" i="18" s="1"/>
  <c r="S20" i="18" a="1"/>
  <c r="S20" i="18" s="1"/>
  <c r="S12" i="18" a="1"/>
  <c r="S12" i="18" s="1"/>
  <c r="S4" i="18" a="1"/>
  <c r="S4" i="18" s="1"/>
  <c r="P51" i="18" a="1"/>
  <c r="P51" i="18" s="1"/>
  <c r="R51" i="18" s="1"/>
  <c r="U51" i="18" s="1"/>
  <c r="P43" i="18" a="1"/>
  <c r="P43" i="18" s="1"/>
  <c r="R43" i="18" s="1"/>
  <c r="U43" i="18" s="1"/>
  <c r="P35" i="18" a="1"/>
  <c r="P35" i="18" s="1"/>
  <c r="R35" i="18" s="1"/>
  <c r="U35" i="18" s="1"/>
  <c r="P27" i="18" a="1"/>
  <c r="P27" i="18" s="1"/>
  <c r="R27" i="18" s="1"/>
  <c r="U27" i="18" s="1"/>
  <c r="P19" i="18" a="1"/>
  <c r="P19" i="18" s="1"/>
  <c r="R19" i="18" s="1"/>
  <c r="U19" i="18" s="1"/>
  <c r="P11" i="18" a="1"/>
  <c r="P11" i="18" s="1"/>
  <c r="R11" i="18" s="1"/>
  <c r="U11" i="18" s="1"/>
  <c r="P3" i="18" a="1"/>
  <c r="P3" i="18" s="1"/>
  <c r="R3" i="18" s="1"/>
  <c r="U3" i="18" s="1"/>
  <c r="O41" i="18" a="1"/>
  <c r="O41" i="18" s="1"/>
  <c r="R53" i="17" a="1"/>
  <c r="R53" i="17" s="1"/>
  <c r="X48" i="17" a="1"/>
  <c r="X48" i="17" s="1"/>
  <c r="Y48" i="17" s="1"/>
  <c r="X40" i="17" a="1"/>
  <c r="X40" i="17" s="1"/>
  <c r="Y40" i="17" s="1"/>
  <c r="X39" i="17" a="1"/>
  <c r="X39" i="17" s="1"/>
  <c r="X50" i="17" a="1"/>
  <c r="X50" i="17" s="1"/>
  <c r="Y50" i="17" s="1"/>
  <c r="V49" i="17" a="1"/>
  <c r="V49" i="17" s="1"/>
  <c r="V48" i="17" a="1"/>
  <c r="V48" i="17" s="1"/>
  <c r="V68" i="17" a="1"/>
  <c r="V68" i="17" s="1"/>
  <c r="V40" i="17" a="1"/>
  <c r="V40" i="17" s="1"/>
  <c r="V39" i="17" a="1"/>
  <c r="V39" i="17" s="1"/>
  <c r="V38" i="17" a="1"/>
  <c r="V38" i="17" s="1"/>
  <c r="U42" i="17" a="1"/>
  <c r="U42" i="17" s="1"/>
  <c r="U29" i="17" a="1"/>
  <c r="U29" i="17" s="1"/>
  <c r="U22" i="17" a="1"/>
  <c r="U22" i="17" s="1"/>
  <c r="U15" i="17" a="1"/>
  <c r="U15" i="17" s="1"/>
  <c r="U14" i="17" a="1"/>
  <c r="U14" i="17" s="1"/>
  <c r="T19" i="17" a="1"/>
  <c r="T19" i="17" s="1"/>
  <c r="T18" i="17" a="1"/>
  <c r="T18" i="17" s="1"/>
  <c r="T23" i="17" a="1"/>
  <c r="T23" i="17" s="1"/>
  <c r="T22" i="17" a="1"/>
  <c r="T22" i="17" s="1"/>
  <c r="T15" i="17" a="1"/>
  <c r="T15" i="17" s="1"/>
  <c r="T8" i="17" a="1"/>
  <c r="T8" i="17" s="1"/>
  <c r="S6" i="17" a="1"/>
  <c r="S6" i="17" s="1"/>
  <c r="S66" i="17" a="1"/>
  <c r="S66" i="17" s="1"/>
  <c r="S57" i="17" a="1"/>
  <c r="S57" i="17" s="1"/>
  <c r="S26" i="17" a="1"/>
  <c r="S26" i="17" s="1"/>
  <c r="R79" i="17" a="1"/>
  <c r="R79" i="17" s="1"/>
  <c r="R5" i="17" a="1"/>
  <c r="R5" i="17" s="1"/>
  <c r="O80" i="17" a="1"/>
  <c r="O80" i="17" s="1"/>
  <c r="N42" i="17" a="1"/>
  <c r="N42" i="17" s="1"/>
  <c r="N16" i="17" a="1"/>
  <c r="N16" i="17" s="1"/>
  <c r="N62" i="17" a="1"/>
  <c r="N62" i="17" s="1"/>
  <c r="O74" i="17" a="1"/>
  <c r="O74" i="17" s="1"/>
  <c r="X49" i="17" a="1"/>
  <c r="X49" i="17" s="1"/>
  <c r="Y49" i="17" s="1"/>
  <c r="X35" i="17" a="1"/>
  <c r="X35" i="17" s="1"/>
  <c r="Y35" i="17" s="1"/>
  <c r="X43" i="17" a="1"/>
  <c r="X43" i="17" s="1"/>
  <c r="Y43" i="17" s="1"/>
  <c r="X42" i="17" a="1"/>
  <c r="X42" i="17" s="1"/>
  <c r="Y42" i="17" s="1"/>
  <c r="X29" i="17" a="1"/>
  <c r="X29" i="17" s="1"/>
  <c r="Y29" i="17" s="1"/>
  <c r="X34" i="17" a="1"/>
  <c r="X34" i="17" s="1"/>
  <c r="Y34" i="17" s="1"/>
  <c r="X33" i="17" a="1"/>
  <c r="X33" i="17" s="1"/>
  <c r="Y33" i="17" s="1"/>
  <c r="X44" i="17" a="1"/>
  <c r="X44" i="17" s="1"/>
  <c r="Y44" i="17" s="1"/>
  <c r="V43" i="17" a="1"/>
  <c r="V43" i="17" s="1"/>
  <c r="V47" i="17" a="1"/>
  <c r="V47" i="17" s="1"/>
  <c r="V34" i="17" a="1"/>
  <c r="V34" i="17" s="1"/>
  <c r="V33" i="17" a="1"/>
  <c r="V33" i="17" s="1"/>
  <c r="V32" i="17" a="1"/>
  <c r="V32" i="17" s="1"/>
  <c r="U43" i="17" a="1"/>
  <c r="U43" i="17" s="1"/>
  <c r="U36" i="17" a="1"/>
  <c r="U36" i="17" s="1"/>
  <c r="U23" i="17" a="1"/>
  <c r="U23" i="17" s="1"/>
  <c r="U16" i="17" a="1"/>
  <c r="U16" i="17" s="1"/>
  <c r="U9" i="17" a="1"/>
  <c r="U9" i="17" s="1"/>
  <c r="U8" i="17" a="1"/>
  <c r="U8" i="17" s="1"/>
  <c r="T13" i="17" a="1"/>
  <c r="T13" i="17" s="1"/>
  <c r="T17" i="17" a="1"/>
  <c r="T17" i="17" s="1"/>
  <c r="T16" i="17" a="1"/>
  <c r="T16" i="17" s="1"/>
  <c r="T9" i="17" a="1"/>
  <c r="T9" i="17" s="1"/>
  <c r="T2" i="17" a="1"/>
  <c r="T2" i="17" s="1"/>
  <c r="S7" i="17" a="1"/>
  <c r="S7" i="17" s="1"/>
  <c r="S73" i="17" a="1"/>
  <c r="S73" i="17" s="1"/>
  <c r="S65" i="17" a="1"/>
  <c r="S65" i="17" s="1"/>
  <c r="S20" i="17" a="1"/>
  <c r="S20" i="17" s="1"/>
  <c r="R77" i="17" a="1"/>
  <c r="R77" i="17" s="1"/>
  <c r="R63" i="17" a="1"/>
  <c r="R63" i="17" s="1"/>
  <c r="N30" i="17" a="1"/>
  <c r="N30" i="17" s="1"/>
  <c r="X36" i="17" a="1"/>
  <c r="X36" i="17" s="1"/>
  <c r="Y36" i="17" s="1"/>
  <c r="V28" i="17" a="1"/>
  <c r="V28" i="17" s="1"/>
  <c r="V26" i="17" a="1"/>
  <c r="V26" i="17" s="1"/>
  <c r="U37" i="17" a="1"/>
  <c r="U37" i="17" s="1"/>
  <c r="U30" i="17" a="1"/>
  <c r="U30" i="17" s="1"/>
  <c r="U17" i="17" a="1"/>
  <c r="U17" i="17" s="1"/>
  <c r="U10" i="17" a="1"/>
  <c r="U10" i="17" s="1"/>
  <c r="U3" i="17" a="1"/>
  <c r="U3" i="17" s="1"/>
  <c r="U2" i="17" a="1"/>
  <c r="U2" i="17" s="1"/>
  <c r="T7" i="17" a="1"/>
  <c r="T7" i="17" s="1"/>
  <c r="T12" i="17" a="1"/>
  <c r="T12" i="17" s="1"/>
  <c r="T11" i="17" a="1"/>
  <c r="T11" i="17" s="1"/>
  <c r="T10" i="17" a="1"/>
  <c r="T10" i="17" s="1"/>
  <c r="T3" i="17" a="1"/>
  <c r="T3" i="17" s="1"/>
  <c r="S85" i="17" a="1"/>
  <c r="S85" i="17" s="1"/>
  <c r="S79" i="17" a="1"/>
  <c r="S79" i="17" s="1"/>
  <c r="S72" i="17" a="1"/>
  <c r="S72" i="17" s="1"/>
  <c r="S64" i="17" a="1"/>
  <c r="S64" i="17" s="1"/>
  <c r="S56" i="17" a="1"/>
  <c r="S56" i="17" s="1"/>
  <c r="S14" i="17" a="1"/>
  <c r="S14" i="17" s="1"/>
  <c r="R75" i="17" a="1"/>
  <c r="R75" i="17" s="1"/>
  <c r="R62" i="17" a="1"/>
  <c r="R62" i="17" s="1"/>
  <c r="N46" i="17" a="1"/>
  <c r="N46" i="17" s="1"/>
  <c r="X38" i="17" a="1"/>
  <c r="X38" i="17" s="1"/>
  <c r="Y38" i="17" s="1"/>
  <c r="V27" i="17" a="1"/>
  <c r="V27" i="17" s="1"/>
  <c r="X30" i="17" a="1"/>
  <c r="X30" i="17" s="1"/>
  <c r="Y30" i="17" s="1"/>
  <c r="X17" i="17" a="1"/>
  <c r="X17" i="17" s="1"/>
  <c r="Y17" i="17" s="1"/>
  <c r="X28" i="17" a="1"/>
  <c r="X28" i="17" s="1"/>
  <c r="Y28" i="17" s="1"/>
  <c r="X27" i="17" a="1"/>
  <c r="X27" i="17" s="1"/>
  <c r="Y27" i="17" s="1"/>
  <c r="X32" i="17" a="1"/>
  <c r="X32" i="17" s="1"/>
  <c r="V31" i="17" a="1"/>
  <c r="V31" i="17" s="1"/>
  <c r="V36" i="17" a="1"/>
  <c r="V36" i="17" s="1"/>
  <c r="V35" i="17" a="1"/>
  <c r="V35" i="17" s="1"/>
  <c r="V22" i="17" a="1"/>
  <c r="V22" i="17" s="1"/>
  <c r="V21" i="17" a="1"/>
  <c r="V21" i="17" s="1"/>
  <c r="V20" i="17" a="1"/>
  <c r="V20" i="17" s="1"/>
  <c r="U24" i="17" a="1"/>
  <c r="U24" i="17" s="1"/>
  <c r="U11" i="17" a="1"/>
  <c r="U11" i="17" s="1"/>
  <c r="U4" i="17" a="1"/>
  <c r="U4" i="17" s="1"/>
  <c r="U55" i="17" a="1"/>
  <c r="U55" i="17" s="1"/>
  <c r="T85" i="17" a="1"/>
  <c r="T85" i="17" s="1"/>
  <c r="T79" i="17" a="1"/>
  <c r="T79" i="17" s="1"/>
  <c r="T6" i="17" a="1"/>
  <c r="T6" i="17" s="1"/>
  <c r="T5" i="17" a="1"/>
  <c r="T5" i="17" s="1"/>
  <c r="T4" i="17" a="1"/>
  <c r="T4" i="17" s="1"/>
  <c r="T55" i="17" a="1"/>
  <c r="T55" i="17" s="1"/>
  <c r="S84" i="17" a="1"/>
  <c r="S84" i="17" s="1"/>
  <c r="S78" i="17" a="1"/>
  <c r="S78" i="17" s="1"/>
  <c r="S71" i="17" a="1"/>
  <c r="S71" i="17" s="1"/>
  <c r="S63" i="17" a="1"/>
  <c r="S63" i="17" s="1"/>
  <c r="S45" i="17" a="1"/>
  <c r="S45" i="17" s="1"/>
  <c r="S8" i="17" a="1"/>
  <c r="S8" i="17" s="1"/>
  <c r="R74" i="17" a="1"/>
  <c r="R74" i="17" s="1"/>
  <c r="R28" i="17" a="1"/>
  <c r="R28" i="17" s="1"/>
  <c r="X23" i="17" a="1"/>
  <c r="X23" i="17" s="1"/>
  <c r="Y23" i="17" s="1"/>
  <c r="X26" i="17" a="1"/>
  <c r="X26" i="17" s="1"/>
  <c r="V25" i="17" a="1"/>
  <c r="V25" i="17" s="1"/>
  <c r="V30" i="17" a="1"/>
  <c r="V30" i="17" s="1"/>
  <c r="V29" i="17" a="1"/>
  <c r="V29" i="17" s="1"/>
  <c r="V16" i="17" a="1"/>
  <c r="V16" i="17" s="1"/>
  <c r="V14" i="17" a="1"/>
  <c r="V14" i="17" s="1"/>
  <c r="U31" i="17" a="1"/>
  <c r="U31" i="17" s="1"/>
  <c r="U18" i="17" a="1"/>
  <c r="U18" i="17" s="1"/>
  <c r="U5" i="17" a="1"/>
  <c r="U5" i="17" s="1"/>
  <c r="U61" i="17" a="1"/>
  <c r="U61" i="17" s="1"/>
  <c r="U54" i="17" a="1"/>
  <c r="U54" i="17" s="1"/>
  <c r="T84" i="17" a="1"/>
  <c r="T84" i="17" s="1"/>
  <c r="T78" i="17" a="1"/>
  <c r="T78" i="17" s="1"/>
  <c r="T73" i="17" a="1"/>
  <c r="T73" i="17" s="1"/>
  <c r="T61" i="17" a="1"/>
  <c r="T61" i="17" s="1"/>
  <c r="T54" i="17" a="1"/>
  <c r="T54" i="17" s="1"/>
  <c r="S83" i="17" a="1"/>
  <c r="S83" i="17" s="1"/>
  <c r="S77" i="17" a="1"/>
  <c r="S77" i="17" s="1"/>
  <c r="S70" i="17" a="1"/>
  <c r="S70" i="17" s="1"/>
  <c r="S62" i="17" a="1"/>
  <c r="S62" i="17" s="1"/>
  <c r="S33" i="17" a="1"/>
  <c r="S33" i="17" s="1"/>
  <c r="S2" i="17" a="1"/>
  <c r="S2" i="17" s="1"/>
  <c r="R42" i="17" a="1"/>
  <c r="R42" i="17" s="1"/>
  <c r="R22" i="17" a="1"/>
  <c r="R22" i="17" s="1"/>
  <c r="Q74" i="17"/>
  <c r="W74" i="17" s="1"/>
  <c r="X37" i="17" a="1"/>
  <c r="X37" i="17" s="1"/>
  <c r="Y37" i="17" s="1"/>
  <c r="X24" i="17" a="1"/>
  <c r="X24" i="17" s="1"/>
  <c r="Y24" i="17" s="1"/>
  <c r="X16" i="17" a="1"/>
  <c r="X16" i="17" s="1"/>
  <c r="Y16" i="17" s="1"/>
  <c r="V10" i="17" a="1"/>
  <c r="V10" i="17" s="1"/>
  <c r="V15" i="17" a="1"/>
  <c r="V15" i="17" s="1"/>
  <c r="V8" i="17" a="1"/>
  <c r="V8" i="17" s="1"/>
  <c r="U25" i="17" a="1"/>
  <c r="U25" i="17" s="1"/>
  <c r="U12" i="17" a="1"/>
  <c r="U12" i="17" s="1"/>
  <c r="U67" i="17" a="1"/>
  <c r="U67" i="17" s="1"/>
  <c r="U60" i="17" a="1"/>
  <c r="U60" i="17" s="1"/>
  <c r="U53" i="17" a="1"/>
  <c r="U53" i="17" s="1"/>
  <c r="T72" i="17" a="1"/>
  <c r="T72" i="17" s="1"/>
  <c r="T67" i="17" a="1"/>
  <c r="T67" i="17" s="1"/>
  <c r="T60" i="17" a="1"/>
  <c r="T60" i="17" s="1"/>
  <c r="T53" i="17" a="1"/>
  <c r="T53" i="17" s="1"/>
  <c r="S82" i="17" a="1"/>
  <c r="S82" i="17" s="1"/>
  <c r="S76" i="17" a="1"/>
  <c r="S76" i="17" s="1"/>
  <c r="S69" i="17" a="1"/>
  <c r="S69" i="17" s="1"/>
  <c r="S46" i="17" a="1"/>
  <c r="S46" i="17" s="1"/>
  <c r="S27" i="17" a="1"/>
  <c r="S27" i="17" s="1"/>
  <c r="R83" i="17" a="1"/>
  <c r="R83" i="17" s="1"/>
  <c r="R24" i="17" a="1"/>
  <c r="R24" i="17" s="1"/>
  <c r="R10" i="17" a="1"/>
  <c r="R10" i="17" s="1"/>
  <c r="V42" i="17" a="1"/>
  <c r="V42" i="17" s="1"/>
  <c r="X21" i="17" a="1"/>
  <c r="X21" i="17" s="1"/>
  <c r="Y21" i="17" s="1"/>
  <c r="V24" i="17" a="1"/>
  <c r="V24" i="17" s="1"/>
  <c r="V23" i="17" a="1"/>
  <c r="V23" i="17" s="1"/>
  <c r="X12" i="17" a="1"/>
  <c r="X12" i="17" s="1"/>
  <c r="Y12" i="17" s="1"/>
  <c r="X5" i="17" a="1"/>
  <c r="X5" i="17" s="1"/>
  <c r="Y5" i="17" s="1"/>
  <c r="X10" i="17" a="1"/>
  <c r="X10" i="17" s="1"/>
  <c r="X15" i="17" a="1"/>
  <c r="X15" i="17" s="1"/>
  <c r="Y15" i="17" s="1"/>
  <c r="Q15" i="17" s="1"/>
  <c r="W15" i="17" s="1"/>
  <c r="X14" i="17" a="1"/>
  <c r="X14" i="17" s="1"/>
  <c r="Y14" i="17" s="1"/>
  <c r="V19" i="17" a="1"/>
  <c r="V19" i="17" s="1"/>
  <c r="V18" i="17" a="1"/>
  <c r="V18" i="17" s="1"/>
  <c r="V17" i="17" a="1"/>
  <c r="V17" i="17" s="1"/>
  <c r="V4" i="17" a="1"/>
  <c r="V4" i="17" s="1"/>
  <c r="V9" i="17" a="1"/>
  <c r="V9" i="17" s="1"/>
  <c r="U19" i="17" a="1"/>
  <c r="U19" i="17" s="1"/>
  <c r="U6" i="17" a="1"/>
  <c r="U6" i="17" s="1"/>
  <c r="U66" i="17" a="1"/>
  <c r="U66" i="17" s="1"/>
  <c r="U59" i="17" a="1"/>
  <c r="U59" i="17" s="1"/>
  <c r="U52" i="17" a="1"/>
  <c r="U52" i="17" s="1"/>
  <c r="T83" i="17" a="1"/>
  <c r="T83" i="17" s="1"/>
  <c r="T77" i="17" a="1"/>
  <c r="T77" i="17" s="1"/>
  <c r="T71" i="17" a="1"/>
  <c r="T71" i="17" s="1"/>
  <c r="T66" i="17" a="1"/>
  <c r="T66" i="17" s="1"/>
  <c r="T59" i="17" a="1"/>
  <c r="T59" i="17" s="1"/>
  <c r="T52" i="17" a="1"/>
  <c r="T52" i="17" s="1"/>
  <c r="S81" i="17" a="1"/>
  <c r="S81" i="17" s="1"/>
  <c r="S75" i="17" a="1"/>
  <c r="S75" i="17" s="1"/>
  <c r="S68" i="17" a="1"/>
  <c r="S68" i="17" s="1"/>
  <c r="S40" i="17" a="1"/>
  <c r="S40" i="17" s="1"/>
  <c r="S21" i="17" a="1"/>
  <c r="S21" i="17" s="1"/>
  <c r="R82" i="17" a="1"/>
  <c r="R82" i="17" s="1"/>
  <c r="R58" i="17" a="1"/>
  <c r="R58" i="17" s="1"/>
  <c r="V41" i="17" a="1"/>
  <c r="V41" i="17" s="1"/>
  <c r="X25" i="17" a="1"/>
  <c r="X25" i="17" s="1"/>
  <c r="Y25" i="17" s="1"/>
  <c r="X19" i="17" a="1"/>
  <c r="X19" i="17" s="1"/>
  <c r="Y19" i="17" s="1"/>
  <c r="X4" i="17" a="1"/>
  <c r="X4" i="17" s="1"/>
  <c r="Y4" i="17" s="1"/>
  <c r="X9" i="17" a="1"/>
  <c r="X9" i="17" s="1"/>
  <c r="Y9" i="17" s="1"/>
  <c r="V12" i="17" a="1"/>
  <c r="V12" i="17" s="1"/>
  <c r="V11" i="17" a="1"/>
  <c r="V11" i="17" s="1"/>
  <c r="V61" i="17" a="1"/>
  <c r="V61" i="17" s="1"/>
  <c r="V3" i="17" a="1"/>
  <c r="V3" i="17" s="1"/>
  <c r="V2" i="17" a="1"/>
  <c r="V2" i="17" s="1"/>
  <c r="U13" i="17" a="1"/>
  <c r="U13" i="17" s="1"/>
  <c r="U73" i="17" a="1"/>
  <c r="U73" i="17" s="1"/>
  <c r="U65" i="17" a="1"/>
  <c r="U65" i="17" s="1"/>
  <c r="U58" i="17" a="1"/>
  <c r="U58" i="17" s="1"/>
  <c r="U51" i="17" a="1"/>
  <c r="U51" i="17" s="1"/>
  <c r="T82" i="17" a="1"/>
  <c r="T82" i="17" s="1"/>
  <c r="T76" i="17" a="1"/>
  <c r="T76" i="17" s="1"/>
  <c r="T70" i="17" a="1"/>
  <c r="T70" i="17" s="1"/>
  <c r="T65" i="17" a="1"/>
  <c r="T65" i="17" s="1"/>
  <c r="T58" i="17" a="1"/>
  <c r="T58" i="17" s="1"/>
  <c r="S74" i="17" a="1"/>
  <c r="S74" i="17" s="1"/>
  <c r="S47" i="17" a="1"/>
  <c r="S47" i="17" s="1"/>
  <c r="S34" i="17" a="1"/>
  <c r="S34" i="17" s="1"/>
  <c r="S15" i="17" a="1"/>
  <c r="S15" i="17" s="1"/>
  <c r="R81" i="17" a="1"/>
  <c r="R81" i="17" s="1"/>
  <c r="R18" i="17" a="1"/>
  <c r="R18" i="17" s="1"/>
  <c r="R57" i="17" a="1"/>
  <c r="R57" i="17" s="1"/>
  <c r="O82" i="17" a="1"/>
  <c r="O82" i="17" s="1"/>
  <c r="N13" i="17" a="1"/>
  <c r="N13" i="17" s="1"/>
  <c r="O73" i="17" a="1"/>
  <c r="O73" i="17" s="1"/>
  <c r="N65" i="17" a="1"/>
  <c r="N65" i="17" s="1"/>
  <c r="O44" i="17" a="1"/>
  <c r="O44" i="17" s="1"/>
  <c r="V37" i="17" a="1"/>
  <c r="V37" i="17" s="1"/>
  <c r="X11" i="17" a="1"/>
  <c r="X11" i="17" s="1"/>
  <c r="Y11" i="17" s="1"/>
  <c r="X22" i="17" a="1"/>
  <c r="X22" i="17" s="1"/>
  <c r="Y22" i="17" s="1"/>
  <c r="X20" i="17" a="1"/>
  <c r="X20" i="17" s="1"/>
  <c r="Y20" i="17" s="1"/>
  <c r="X67" i="17" a="1"/>
  <c r="X67" i="17" s="1"/>
  <c r="Y67" i="17" s="1"/>
  <c r="V13" i="17" a="1"/>
  <c r="V13" i="17" s="1"/>
  <c r="X13" i="17" a="1"/>
  <c r="X13" i="17" s="1"/>
  <c r="Y13" i="17" s="1"/>
  <c r="X61" i="17" a="1"/>
  <c r="X61" i="17" s="1"/>
  <c r="Y61" i="17" s="1"/>
  <c r="X3" i="17" a="1"/>
  <c r="X3" i="17" s="1"/>
  <c r="Y3" i="17" s="1"/>
  <c r="X2" i="17" a="1"/>
  <c r="X2" i="17" s="1"/>
  <c r="Y2" i="17" s="1"/>
  <c r="V7" i="17" a="1"/>
  <c r="V7" i="17" s="1"/>
  <c r="V5" i="17" a="1"/>
  <c r="V5" i="17" s="1"/>
  <c r="V60" i="17" a="1"/>
  <c r="V60" i="17" s="1"/>
  <c r="V55" i="17" a="1"/>
  <c r="V55" i="17" s="1"/>
  <c r="U85" i="17" a="1"/>
  <c r="U85" i="17" s="1"/>
  <c r="U7" i="17" a="1"/>
  <c r="U7" i="17" s="1"/>
  <c r="U72" i="17" a="1"/>
  <c r="U72" i="17" s="1"/>
  <c r="U64" i="17" a="1"/>
  <c r="U64" i="17" s="1"/>
  <c r="U57" i="17" a="1"/>
  <c r="U57" i="17" s="1"/>
  <c r="U50" i="17" a="1"/>
  <c r="U50" i="17" s="1"/>
  <c r="T81" i="17" a="1"/>
  <c r="T81" i="17" s="1"/>
  <c r="T75" i="17" a="1"/>
  <c r="T75" i="17" s="1"/>
  <c r="T64" i="17" a="1"/>
  <c r="T64" i="17" s="1"/>
  <c r="T57" i="17" a="1"/>
  <c r="T57" i="17" s="1"/>
  <c r="T51" i="17" a="1"/>
  <c r="T51" i="17" s="1"/>
  <c r="S80" i="17" a="1"/>
  <c r="S80" i="17" s="1"/>
  <c r="S41" i="17" a="1"/>
  <c r="S41" i="17" s="1"/>
  <c r="S28" i="17" a="1"/>
  <c r="S28" i="17" s="1"/>
  <c r="S9" i="17" a="1"/>
  <c r="S9" i="17" s="1"/>
  <c r="R80" i="17" a="1"/>
  <c r="R80" i="17" s="1"/>
  <c r="R12" i="17" a="1"/>
  <c r="R12" i="17" s="1"/>
  <c r="R21" i="17" a="1"/>
  <c r="R21" i="17" s="1"/>
  <c r="O81" i="17" a="1"/>
  <c r="O81" i="17" s="1"/>
  <c r="X31" i="17" a="1"/>
  <c r="X31" i="17" s="1"/>
  <c r="Y31" i="17" s="1"/>
  <c r="Q31" i="17" s="1"/>
  <c r="W31" i="17" s="1"/>
  <c r="X18" i="17" a="1"/>
  <c r="X18" i="17" s="1"/>
  <c r="Y18" i="17" s="1"/>
  <c r="X6" i="17" a="1"/>
  <c r="X6" i="17" s="1"/>
  <c r="Y6" i="17" s="1"/>
  <c r="X8" i="17" a="1"/>
  <c r="X8" i="17" s="1"/>
  <c r="Y8" i="17" s="1"/>
  <c r="X85" i="17" a="1"/>
  <c r="X85" i="17" s="1"/>
  <c r="Y85" i="17" s="1"/>
  <c r="X73" i="17" a="1"/>
  <c r="X73" i="17" s="1"/>
  <c r="Y73" i="17" s="1"/>
  <c r="X7" i="17" a="1"/>
  <c r="X7" i="17" s="1"/>
  <c r="Y7" i="17" s="1"/>
  <c r="X72" i="17" a="1"/>
  <c r="X72" i="17" s="1"/>
  <c r="Y72" i="17" s="1"/>
  <c r="X66" i="17" a="1"/>
  <c r="X66" i="17" s="1"/>
  <c r="Y66" i="17" s="1"/>
  <c r="X55" i="17" a="1"/>
  <c r="X55" i="17" s="1"/>
  <c r="V85" i="17" a="1"/>
  <c r="V85" i="17" s="1"/>
  <c r="V79" i="17" a="1"/>
  <c r="V79" i="17" s="1"/>
  <c r="V6" i="17" a="1"/>
  <c r="V6" i="17" s="1"/>
  <c r="V67" i="17" a="1"/>
  <c r="V67" i="17" s="1"/>
  <c r="V59" i="17" a="1"/>
  <c r="V59" i="17" s="1"/>
  <c r="V54" i="17" a="1"/>
  <c r="V54" i="17" s="1"/>
  <c r="U79" i="17" a="1"/>
  <c r="U79" i="17" s="1"/>
  <c r="U71" i="17" a="1"/>
  <c r="U71" i="17" s="1"/>
  <c r="U56" i="17" a="1"/>
  <c r="U56" i="17" s="1"/>
  <c r="T80" i="17" a="1"/>
  <c r="T80" i="17" s="1"/>
  <c r="T74" i="17" a="1"/>
  <c r="T74" i="17" s="1"/>
  <c r="T69" i="17" a="1"/>
  <c r="T69" i="17" s="1"/>
  <c r="T63" i="17" a="1"/>
  <c r="T63" i="17" s="1"/>
  <c r="T56" i="17" a="1"/>
  <c r="T56" i="17" s="1"/>
  <c r="T50" i="17" a="1"/>
  <c r="T50" i="17" s="1"/>
  <c r="S49" i="17" a="1"/>
  <c r="S49" i="17" s="1"/>
  <c r="S48" i="17" a="1"/>
  <c r="S48" i="17" s="1"/>
  <c r="S35" i="17" a="1"/>
  <c r="S35" i="17" s="1"/>
  <c r="S22" i="17" a="1"/>
  <c r="S22" i="17" s="1"/>
  <c r="S3" i="17" a="1"/>
  <c r="S3" i="17" s="1"/>
  <c r="R49" i="17" a="1"/>
  <c r="R49" i="17" s="1"/>
  <c r="R6" i="17" a="1"/>
  <c r="R6" i="17" s="1"/>
  <c r="V84" i="17" a="1"/>
  <c r="V84" i="17" s="1"/>
  <c r="V78" i="17" a="1"/>
  <c r="V78" i="17" s="1"/>
  <c r="V73" i="17" a="1"/>
  <c r="V73" i="17" s="1"/>
  <c r="V66" i="17" a="1"/>
  <c r="V66" i="17" s="1"/>
  <c r="V53" i="17" a="1"/>
  <c r="V53" i="17" s="1"/>
  <c r="U84" i="17" a="1"/>
  <c r="U84" i="17" s="1"/>
  <c r="U78" i="17" a="1"/>
  <c r="U78" i="17" s="1"/>
  <c r="U70" i="17" a="1"/>
  <c r="U70" i="17" s="1"/>
  <c r="U63" i="17" a="1"/>
  <c r="U63" i="17" s="1"/>
  <c r="U44" i="17" a="1"/>
  <c r="U44" i="17" s="1"/>
  <c r="T49" i="17" a="1"/>
  <c r="T49" i="17" s="1"/>
  <c r="T68" i="17" a="1"/>
  <c r="T68" i="17" s="1"/>
  <c r="T62" i="17" a="1"/>
  <c r="T62" i="17" s="1"/>
  <c r="T45" i="17" a="1"/>
  <c r="T45" i="17" s="1"/>
  <c r="T44" i="17" a="1"/>
  <c r="T44" i="17" s="1"/>
  <c r="S43" i="17" a="1"/>
  <c r="S43" i="17" s="1"/>
  <c r="S42" i="17" a="1"/>
  <c r="S42" i="17" s="1"/>
  <c r="S29" i="17" a="1"/>
  <c r="S29" i="17" s="1"/>
  <c r="S16" i="17" a="1"/>
  <c r="S16" i="17" s="1"/>
  <c r="S54" i="17" a="1"/>
  <c r="S54" i="17" s="1"/>
  <c r="R43" i="17" a="1"/>
  <c r="R43" i="17" s="1"/>
  <c r="R51" i="17" a="1"/>
  <c r="R51" i="17" s="1"/>
  <c r="O77" i="17" a="1"/>
  <c r="O77" i="17" s="1"/>
  <c r="X64" i="17" a="1"/>
  <c r="X64" i="17" s="1"/>
  <c r="Y64" i="17" s="1"/>
  <c r="V77" i="17" a="1"/>
  <c r="V77" i="17" s="1"/>
  <c r="V65" i="17" a="1"/>
  <c r="V65" i="17" s="1"/>
  <c r="V58" i="17" a="1"/>
  <c r="V58" i="17" s="1"/>
  <c r="V52" i="17" a="1"/>
  <c r="V52" i="17" s="1"/>
  <c r="U83" i="17" a="1"/>
  <c r="U83" i="17" s="1"/>
  <c r="U77" i="17" a="1"/>
  <c r="U77" i="17" s="1"/>
  <c r="U69" i="17" a="1"/>
  <c r="U69" i="17" s="1"/>
  <c r="U62" i="17" a="1"/>
  <c r="U62" i="17" s="1"/>
  <c r="U45" i="17" a="1"/>
  <c r="U45" i="17" s="1"/>
  <c r="U38" i="17" a="1"/>
  <c r="U38" i="17" s="1"/>
  <c r="T43" i="17" a="1"/>
  <c r="T43" i="17" s="1"/>
  <c r="T42" i="17" a="1"/>
  <c r="T42" i="17" s="1"/>
  <c r="T46" i="17" a="1"/>
  <c r="T46" i="17" s="1"/>
  <c r="T39" i="17" a="1"/>
  <c r="T39" i="17" s="1"/>
  <c r="T38" i="17" a="1"/>
  <c r="T38" i="17" s="1"/>
  <c r="S37" i="17" a="1"/>
  <c r="S37" i="17" s="1"/>
  <c r="S36" i="17" a="1"/>
  <c r="S36" i="17" s="1"/>
  <c r="S23" i="17" a="1"/>
  <c r="S23" i="17" s="1"/>
  <c r="S10" i="17" a="1"/>
  <c r="S10" i="17" s="1"/>
  <c r="S53" i="17" a="1"/>
  <c r="S53" i="17" s="1"/>
  <c r="R31" i="17" a="1"/>
  <c r="R31" i="17" s="1"/>
  <c r="R69" i="17" a="1"/>
  <c r="R69" i="17" s="1"/>
  <c r="R20" i="17" a="1"/>
  <c r="R20" i="17" s="1"/>
  <c r="O76" i="17" a="1"/>
  <c r="O76" i="17" s="1"/>
  <c r="X83" i="17" a="1"/>
  <c r="X83" i="17" s="1"/>
  <c r="Y83" i="17" s="1"/>
  <c r="X53" i="17" a="1"/>
  <c r="X53" i="17" s="1"/>
  <c r="Y53" i="17" s="1"/>
  <c r="X69" i="17" a="1"/>
  <c r="X69" i="17" s="1"/>
  <c r="Y69" i="17" s="1"/>
  <c r="Q69" i="17" s="1"/>
  <c r="W69" i="17" s="1"/>
  <c r="V72" i="17" a="1"/>
  <c r="V72" i="17" s="1"/>
  <c r="V64" i="17" a="1"/>
  <c r="V64" i="17" s="1"/>
  <c r="V57" i="17" a="1"/>
  <c r="V57" i="17" s="1"/>
  <c r="V51" i="17" a="1"/>
  <c r="V51" i="17" s="1"/>
  <c r="U82" i="17" a="1"/>
  <c r="U82" i="17" s="1"/>
  <c r="U76" i="17" a="1"/>
  <c r="U76" i="17" s="1"/>
  <c r="U68" i="17" a="1"/>
  <c r="U68" i="17" s="1"/>
  <c r="U46" i="17" a="1"/>
  <c r="U46" i="17" s="1"/>
  <c r="U39" i="17" a="1"/>
  <c r="U39" i="17" s="1"/>
  <c r="T37" i="17" a="1"/>
  <c r="T37" i="17" s="1"/>
  <c r="T36" i="17" a="1"/>
  <c r="T36" i="17" s="1"/>
  <c r="T47" i="17" a="1"/>
  <c r="T47" i="17" s="1"/>
  <c r="T40" i="17" a="1"/>
  <c r="T40" i="17" s="1"/>
  <c r="T32" i="17" a="1"/>
  <c r="T32" i="17" s="1"/>
  <c r="S31" i="17" a="1"/>
  <c r="S31" i="17" s="1"/>
  <c r="S30" i="17" a="1"/>
  <c r="S30" i="17" s="1"/>
  <c r="S17" i="17" a="1"/>
  <c r="S17" i="17" s="1"/>
  <c r="S4" i="17" a="1"/>
  <c r="S4" i="17" s="1"/>
  <c r="S52" i="17" a="1"/>
  <c r="S52" i="17" s="1"/>
  <c r="R25" i="17" a="1"/>
  <c r="R25" i="17" s="1"/>
  <c r="R23" i="17" a="1"/>
  <c r="R23" i="17" s="1"/>
  <c r="O69" i="17" a="1"/>
  <c r="O69" i="17" s="1"/>
  <c r="X78" i="17" a="1"/>
  <c r="X78" i="17" s="1"/>
  <c r="Y78" i="17" s="1"/>
  <c r="X59" i="17" a="1"/>
  <c r="X59" i="17" s="1"/>
  <c r="Y59" i="17" s="1"/>
  <c r="X77" i="17" a="1"/>
  <c r="X77" i="17" s="1"/>
  <c r="Y77" i="17" s="1"/>
  <c r="Q77" i="17" s="1"/>
  <c r="W77" i="17" s="1"/>
  <c r="X58" i="17" a="1"/>
  <c r="X58" i="17" s="1"/>
  <c r="Y58" i="17" s="1"/>
  <c r="X82" i="17" a="1"/>
  <c r="X82" i="17" s="1"/>
  <c r="Y82" i="17" s="1"/>
  <c r="Q82" i="17" s="1"/>
  <c r="W82" i="17" s="1"/>
  <c r="X68" i="17" a="1"/>
  <c r="X68" i="17" s="1"/>
  <c r="Y68" i="17" s="1"/>
  <c r="X62" i="17" a="1"/>
  <c r="X62" i="17" s="1"/>
  <c r="Y62" i="17" s="1"/>
  <c r="X57" i="17" a="1"/>
  <c r="X57" i="17" s="1"/>
  <c r="Y57" i="17" s="1"/>
  <c r="X52" i="17" a="1"/>
  <c r="X52" i="17" s="1"/>
  <c r="Y52" i="17" s="1"/>
  <c r="V82" i="17" a="1"/>
  <c r="V82" i="17" s="1"/>
  <c r="V75" i="17" a="1"/>
  <c r="V75" i="17" s="1"/>
  <c r="V71" i="17" a="1"/>
  <c r="V71" i="17" s="1"/>
  <c r="V63" i="17" a="1"/>
  <c r="V63" i="17" s="1"/>
  <c r="U81" i="17" a="1"/>
  <c r="U81" i="17" s="1"/>
  <c r="U75" i="17" a="1"/>
  <c r="U75" i="17" s="1"/>
  <c r="U47" i="17" a="1"/>
  <c r="U47" i="17" s="1"/>
  <c r="U40" i="17" a="1"/>
  <c r="U40" i="17" s="1"/>
  <c r="U33" i="17" a="1"/>
  <c r="U33" i="17" s="1"/>
  <c r="U32" i="17" a="1"/>
  <c r="U32" i="17" s="1"/>
  <c r="T31" i="17" a="1"/>
  <c r="T31" i="17" s="1"/>
  <c r="T30" i="17" a="1"/>
  <c r="T30" i="17" s="1"/>
  <c r="T41" i="17" a="1"/>
  <c r="T41" i="17" s="1"/>
  <c r="T33" i="17" a="1"/>
  <c r="T33" i="17" s="1"/>
  <c r="T26" i="17" a="1"/>
  <c r="T26" i="17" s="1"/>
  <c r="S25" i="17" a="1"/>
  <c r="S25" i="17" s="1"/>
  <c r="S24" i="17" a="1"/>
  <c r="S24" i="17" s="1"/>
  <c r="S11" i="17" a="1"/>
  <c r="S11" i="17" s="1"/>
  <c r="S60" i="17" a="1"/>
  <c r="S60" i="17" s="1"/>
  <c r="S51" i="17" a="1"/>
  <c r="S51" i="17" s="1"/>
  <c r="R19" i="17" a="1"/>
  <c r="R19" i="17" s="1"/>
  <c r="R17" i="17" a="1"/>
  <c r="R17" i="17" s="1"/>
  <c r="O68" i="17" a="1"/>
  <c r="O68" i="17" s="1"/>
  <c r="V83" i="17" a="1"/>
  <c r="V83" i="17" s="1"/>
  <c r="X63" i="17" a="1"/>
  <c r="X63" i="17" s="1"/>
  <c r="V76" i="17" a="1"/>
  <c r="V76" i="17" s="1"/>
  <c r="X76" i="17" a="1"/>
  <c r="X76" i="17" s="1"/>
  <c r="Y76" i="17" s="1"/>
  <c r="Q76" i="17" s="1"/>
  <c r="W76" i="17" s="1"/>
  <c r="X81" i="17" a="1"/>
  <c r="X81" i="17" s="1"/>
  <c r="Y81" i="17" s="1"/>
  <c r="Q81" i="17" s="1"/>
  <c r="W81" i="17" s="1"/>
  <c r="X75" i="17" a="1"/>
  <c r="X75" i="17" s="1"/>
  <c r="Y75" i="17" s="1"/>
  <c r="X47" i="17" a="1"/>
  <c r="X47" i="17" s="1"/>
  <c r="Y47" i="17" s="1"/>
  <c r="X46" i="17" a="1"/>
  <c r="X46" i="17" s="1"/>
  <c r="Y46" i="17" s="1"/>
  <c r="X56" i="17" a="1"/>
  <c r="X56" i="17" s="1"/>
  <c r="Y56" i="17" s="1"/>
  <c r="X51" i="17" a="1"/>
  <c r="X51" i="17" s="1"/>
  <c r="Y51" i="17" s="1"/>
  <c r="V81" i="17" a="1"/>
  <c r="V81" i="17" s="1"/>
  <c r="V70" i="17" a="1"/>
  <c r="V70" i="17" s="1"/>
  <c r="V62" i="17" a="1"/>
  <c r="V62" i="17" s="1"/>
  <c r="V56" i="17" a="1"/>
  <c r="V56" i="17" s="1"/>
  <c r="V50" i="17" a="1"/>
  <c r="V50" i="17" s="1"/>
  <c r="U80" i="17" a="1"/>
  <c r="U80" i="17" s="1"/>
  <c r="U74" i="17" a="1"/>
  <c r="U74" i="17" s="1"/>
  <c r="U41" i="17" a="1"/>
  <c r="U41" i="17" s="1"/>
  <c r="U34" i="17" a="1"/>
  <c r="U34" i="17" s="1"/>
  <c r="U27" i="17" a="1"/>
  <c r="U27" i="17" s="1"/>
  <c r="U26" i="17" a="1"/>
  <c r="U26" i="17" s="1"/>
  <c r="T34" i="17" a="1"/>
  <c r="T34" i="17" s="1"/>
  <c r="T27" i="17" a="1"/>
  <c r="T27" i="17" s="1"/>
  <c r="T20" i="17" a="1"/>
  <c r="T20" i="17" s="1"/>
  <c r="S19" i="17" a="1"/>
  <c r="S19" i="17" s="1"/>
  <c r="S18" i="17" a="1"/>
  <c r="S18" i="17" s="1"/>
  <c r="S5" i="17" a="1"/>
  <c r="S5" i="17" s="1"/>
  <c r="S59" i="17" a="1"/>
  <c r="S59" i="17" s="1"/>
  <c r="S50" i="17" a="1"/>
  <c r="S50" i="17" s="1"/>
  <c r="R13" i="17" a="1"/>
  <c r="R13" i="17" s="1"/>
  <c r="R11" i="17" a="1"/>
  <c r="R11" i="17" s="1"/>
  <c r="O34" i="17" a="1"/>
  <c r="O34" i="17" s="1"/>
  <c r="O8" i="17" a="1"/>
  <c r="O8" i="17" s="1"/>
  <c r="O46" i="17" a="1"/>
  <c r="O46" i="17" s="1"/>
  <c r="N4" i="17" a="1"/>
  <c r="N4" i="17" s="1"/>
  <c r="Q73" i="17"/>
  <c r="W73" i="17" s="1"/>
  <c r="Y10" i="17"/>
  <c r="O28" i="17" a="1"/>
  <c r="O28" i="17" s="1"/>
  <c r="O9" i="17" a="1"/>
  <c r="O9" i="17" s="1"/>
  <c r="N80" i="17" a="1"/>
  <c r="N80" i="17" s="1"/>
  <c r="N40" i="17" a="1"/>
  <c r="N40" i="17" s="1"/>
  <c r="R48" i="17" a="1"/>
  <c r="R48" i="17" s="1"/>
  <c r="R68" i="17" a="1"/>
  <c r="R68" i="17" s="1"/>
  <c r="R56" i="17" a="1"/>
  <c r="R56" i="17" s="1"/>
  <c r="R50" i="17" a="1"/>
  <c r="R50" i="17" s="1"/>
  <c r="O75" i="17" a="1"/>
  <c r="O75" i="17" s="1"/>
  <c r="Q75" i="17" s="1"/>
  <c r="W75" i="17" s="1"/>
  <c r="O47" i="17" a="1"/>
  <c r="O47" i="17" s="1"/>
  <c r="Q47" i="17" s="1"/>
  <c r="W47" i="17" s="1"/>
  <c r="O22" i="17" a="1"/>
  <c r="O22" i="17" s="1"/>
  <c r="O3" i="17" a="1"/>
  <c r="O3" i="17" s="1"/>
  <c r="N49" i="17" a="1"/>
  <c r="N49" i="17" s="1"/>
  <c r="N12" i="17" a="1"/>
  <c r="N12" i="17" s="1"/>
  <c r="Q9" i="17"/>
  <c r="W9" i="17" s="1"/>
  <c r="R47" i="17" a="1"/>
  <c r="R47" i="17" s="1"/>
  <c r="R46" i="17" a="1"/>
  <c r="R46" i="17" s="1"/>
  <c r="R45" i="17" a="1"/>
  <c r="R45" i="17" s="1"/>
  <c r="R44" i="17" a="1"/>
  <c r="R44" i="17" s="1"/>
  <c r="O48" i="17" a="1"/>
  <c r="O48" i="17" s="1"/>
  <c r="O41" i="17" a="1"/>
  <c r="O41" i="17" s="1"/>
  <c r="Q41" i="17" s="1"/>
  <c r="W41" i="17" s="1"/>
  <c r="O16" i="17" a="1"/>
  <c r="O16" i="17" s="1"/>
  <c r="Q16" i="17" s="1"/>
  <c r="W16" i="17" s="1"/>
  <c r="N43" i="17" a="1"/>
  <c r="N43" i="17" s="1"/>
  <c r="N6" i="17" a="1"/>
  <c r="N6" i="17" s="1"/>
  <c r="N28" i="17" a="1"/>
  <c r="N28" i="17" s="1"/>
  <c r="Y71" i="17"/>
  <c r="Q80" i="17"/>
  <c r="W80" i="17" s="1"/>
  <c r="Q8" i="17"/>
  <c r="W8" i="17" s="1"/>
  <c r="S39" i="17" a="1"/>
  <c r="S39" i="17" s="1"/>
  <c r="S38" i="17" a="1"/>
  <c r="S38" i="17" s="1"/>
  <c r="R37" i="17" a="1"/>
  <c r="R37" i="17" s="1"/>
  <c r="R36" i="17" a="1"/>
  <c r="R36" i="17" s="1"/>
  <c r="R41" i="17" a="1"/>
  <c r="R41" i="17" s="1"/>
  <c r="R39" i="17" a="1"/>
  <c r="R39" i="17" s="1"/>
  <c r="R38" i="17" a="1"/>
  <c r="R38" i="17" s="1"/>
  <c r="O49" i="17" a="1"/>
  <c r="O49" i="17" s="1"/>
  <c r="Q49" i="17" s="1"/>
  <c r="W49" i="17" s="1"/>
  <c r="O42" i="17" a="1"/>
  <c r="O42" i="17" s="1"/>
  <c r="O35" i="17" a="1"/>
  <c r="O35" i="17" s="1"/>
  <c r="Q35" i="17" s="1"/>
  <c r="W35" i="17" s="1"/>
  <c r="O10" i="17" a="1"/>
  <c r="O10" i="17" s="1"/>
  <c r="O54" i="17" a="1"/>
  <c r="O54" i="17" s="1"/>
  <c r="N31" i="17" a="1"/>
  <c r="N31" i="17" s="1"/>
  <c r="N71" i="17" a="1"/>
  <c r="N71" i="17" s="1"/>
  <c r="Y55" i="17"/>
  <c r="S32" i="17" a="1"/>
  <c r="S32" i="17" s="1"/>
  <c r="R30" i="17" a="1"/>
  <c r="R30" i="17" s="1"/>
  <c r="R35" i="17" a="1"/>
  <c r="R35" i="17" s="1"/>
  <c r="R40" i="17" a="1"/>
  <c r="R40" i="17" s="1"/>
  <c r="R32" i="17" a="1"/>
  <c r="R32" i="17" s="1"/>
  <c r="O36" i="17" a="1"/>
  <c r="O36" i="17" s="1"/>
  <c r="Q36" i="17" s="1"/>
  <c r="W36" i="17" s="1"/>
  <c r="O23" i="17" a="1"/>
  <c r="O23" i="17" s="1"/>
  <c r="O52" i="17" a="1"/>
  <c r="O52" i="17" s="1"/>
  <c r="N69" i="17" a="1"/>
  <c r="N69" i="17" s="1"/>
  <c r="N61" i="17" a="1"/>
  <c r="N61" i="17" s="1"/>
  <c r="N18" i="17" a="1"/>
  <c r="N18" i="17" s="1"/>
  <c r="Y54" i="17"/>
  <c r="R29" i="17" a="1"/>
  <c r="R29" i="17" s="1"/>
  <c r="R34" i="17" a="1"/>
  <c r="R34" i="17" s="1"/>
  <c r="R33" i="17" a="1"/>
  <c r="R33" i="17" s="1"/>
  <c r="R26" i="17" a="1"/>
  <c r="R26" i="17" s="1"/>
  <c r="O43" i="17" a="1"/>
  <c r="O43" i="17" s="1"/>
  <c r="O4" i="17" a="1"/>
  <c r="O4" i="17" s="1"/>
  <c r="Q4" i="17" s="1"/>
  <c r="W4" i="17" s="1"/>
  <c r="N25" i="17" a="1"/>
  <c r="N25" i="17" s="1"/>
  <c r="N68" i="17" a="1"/>
  <c r="N68" i="17" s="1"/>
  <c r="Y63" i="17"/>
  <c r="R27" i="17" a="1"/>
  <c r="R27" i="17" s="1"/>
  <c r="O37" i="17" a="1"/>
  <c r="O37" i="17" s="1"/>
  <c r="Q37" i="17" s="1"/>
  <c r="W37" i="17" s="1"/>
  <c r="O30" i="17" a="1"/>
  <c r="O30" i="17" s="1"/>
  <c r="Q30" i="17" s="1"/>
  <c r="W30" i="17" s="1"/>
  <c r="O17" i="17" a="1"/>
  <c r="O17" i="17" s="1"/>
  <c r="O61" i="17" a="1"/>
  <c r="O61" i="17" s="1"/>
  <c r="Q61" i="17" s="1"/>
  <c r="W61" i="17" s="1"/>
  <c r="O38" i="17" a="1"/>
  <c r="O38" i="17" s="1"/>
  <c r="Q38" i="17" s="1"/>
  <c r="W38" i="17" s="1"/>
  <c r="N47" i="17" a="1"/>
  <c r="N47" i="17" s="1"/>
  <c r="N59" i="17" a="1"/>
  <c r="N59" i="17" s="1"/>
  <c r="Q42" i="17"/>
  <c r="W42" i="17" s="1"/>
  <c r="Q52" i="17"/>
  <c r="W52" i="17" s="1"/>
  <c r="O24" i="17" a="1"/>
  <c r="O24" i="17" s="1"/>
  <c r="Q24" i="17" s="1"/>
  <c r="W24" i="17" s="1"/>
  <c r="O11" i="17" a="1"/>
  <c r="O11" i="17" s="1"/>
  <c r="O59" i="17" a="1"/>
  <c r="O59" i="17" s="1"/>
  <c r="Q59" i="17" s="1"/>
  <c r="W59" i="17" s="1"/>
  <c r="N7" i="17" a="1"/>
  <c r="N7" i="17" s="1"/>
  <c r="N56" i="17" a="1"/>
  <c r="N56" i="17" s="1"/>
  <c r="Y26" i="17"/>
  <c r="Q46" i="17"/>
  <c r="W46" i="17" s="1"/>
  <c r="R16" i="17" a="1"/>
  <c r="R16" i="17" s="1"/>
  <c r="R15" i="17" a="1"/>
  <c r="R15" i="17" s="1"/>
  <c r="R14" i="17" a="1"/>
  <c r="R14" i="17" s="1"/>
  <c r="O25" i="17" a="1"/>
  <c r="O25" i="17" s="1"/>
  <c r="O18" i="17" a="1"/>
  <c r="O18" i="17" s="1"/>
  <c r="Q18" i="17" s="1"/>
  <c r="W18" i="17" s="1"/>
  <c r="O5" i="17" a="1"/>
  <c r="O5" i="17" s="1"/>
  <c r="O58" i="17" a="1"/>
  <c r="O58" i="17" s="1"/>
  <c r="Q58" i="17" s="1"/>
  <c r="W58" i="17" s="1"/>
  <c r="O32" i="17" a="1"/>
  <c r="O32" i="17" s="1"/>
  <c r="N78" i="17" a="1"/>
  <c r="N78" i="17" s="1"/>
  <c r="N41" i="17" a="1"/>
  <c r="N41" i="17" s="1"/>
  <c r="N27" i="17" a="1"/>
  <c r="N27" i="17" s="1"/>
  <c r="Q48" i="17"/>
  <c r="W48" i="17" s="1"/>
  <c r="R9" i="17" a="1"/>
  <c r="R9" i="17" s="1"/>
  <c r="R8" i="17" a="1"/>
  <c r="R8" i="17" s="1"/>
  <c r="O19" i="17" a="1"/>
  <c r="O19" i="17" s="1"/>
  <c r="O12" i="17" a="1"/>
  <c r="O12" i="17" s="1"/>
  <c r="Q12" i="17" s="1"/>
  <c r="W12" i="17" s="1"/>
  <c r="O67" i="17" a="1"/>
  <c r="O67" i="17" s="1"/>
  <c r="Q67" i="17" s="1"/>
  <c r="W67" i="17" s="1"/>
  <c r="O56" i="17" a="1"/>
  <c r="O56" i="17" s="1"/>
  <c r="O26" i="17" a="1"/>
  <c r="O26" i="17" s="1"/>
  <c r="N23" i="17" a="1"/>
  <c r="N23" i="17" s="1"/>
  <c r="N55" i="17" a="1"/>
  <c r="N55" i="17" s="1"/>
  <c r="Q43" i="17"/>
  <c r="W43" i="17" s="1"/>
  <c r="Q56" i="17"/>
  <c r="W56" i="17" s="1"/>
  <c r="Q19" i="17"/>
  <c r="W19" i="17" s="1"/>
  <c r="R4" i="17" a="1"/>
  <c r="R4" i="17" s="1"/>
  <c r="R3" i="17" a="1"/>
  <c r="R3" i="17" s="1"/>
  <c r="R2" i="17" a="1"/>
  <c r="R2" i="17" s="1"/>
  <c r="O13" i="17" a="1"/>
  <c r="O13" i="17" s="1"/>
  <c r="O6" i="17" a="1"/>
  <c r="O6" i="17" s="1"/>
  <c r="Q6" i="17" s="1"/>
  <c r="W6" i="17" s="1"/>
  <c r="O66" i="17" a="1"/>
  <c r="O66" i="17" s="1"/>
  <c r="Q66" i="17" s="1"/>
  <c r="W66" i="17" s="1"/>
  <c r="O20" i="17" a="1"/>
  <c r="O20" i="17" s="1"/>
  <c r="Q20" i="17" s="1"/>
  <c r="W20" i="17" s="1"/>
  <c r="N75" i="17" a="1"/>
  <c r="N75" i="17" s="1"/>
  <c r="N17" i="17" a="1"/>
  <c r="N17" i="17" s="1"/>
  <c r="Q83" i="17"/>
  <c r="W83" i="17" s="1"/>
  <c r="Q34" i="17"/>
  <c r="W34" i="17" s="1"/>
  <c r="Y39" i="17"/>
  <c r="Q39" i="17" s="1"/>
  <c r="W39" i="17" s="1"/>
  <c r="S61" i="17" a="1"/>
  <c r="S61" i="17" s="1"/>
  <c r="S55" i="17" a="1"/>
  <c r="S55" i="17" s="1"/>
  <c r="R85" i="17" a="1"/>
  <c r="R85" i="17" s="1"/>
  <c r="R78" i="17" a="1"/>
  <c r="R78" i="17" s="1"/>
  <c r="R73" i="17" a="1"/>
  <c r="R73" i="17" s="1"/>
  <c r="R67" i="17" a="1"/>
  <c r="R67" i="17" s="1"/>
  <c r="R61" i="17" a="1"/>
  <c r="R61" i="17" s="1"/>
  <c r="R55" i="17" a="1"/>
  <c r="R55" i="17" s="1"/>
  <c r="O7" i="17" a="1"/>
  <c r="O7" i="17" s="1"/>
  <c r="Q7" i="17" s="1"/>
  <c r="W7" i="17" s="1"/>
  <c r="O65" i="17" a="1"/>
  <c r="O65" i="17" s="1"/>
  <c r="Q65" i="17" s="1"/>
  <c r="W65" i="17" s="1"/>
  <c r="O39" i="17" a="1"/>
  <c r="O39" i="17" s="1"/>
  <c r="O14" i="17" a="1"/>
  <c r="O14" i="17" s="1"/>
  <c r="Q14" i="17" s="1"/>
  <c r="W14" i="17" s="1"/>
  <c r="N5" i="17" a="1"/>
  <c r="N5" i="17" s="1"/>
  <c r="Q25" i="17"/>
  <c r="W25" i="17" s="1"/>
  <c r="Q23" i="17"/>
  <c r="W23" i="17" s="1"/>
  <c r="Q28" i="17"/>
  <c r="W28" i="17" s="1"/>
  <c r="Q44" i="17"/>
  <c r="W44" i="17" s="1"/>
  <c r="R84" i="17" a="1"/>
  <c r="R84" i="17" s="1"/>
  <c r="R72" i="17" a="1"/>
  <c r="R72" i="17" s="1"/>
  <c r="R66" i="17" a="1"/>
  <c r="R66" i="17" s="1"/>
  <c r="R54" i="17" a="1"/>
  <c r="R54" i="17" s="1"/>
  <c r="O85" i="17" a="1"/>
  <c r="O85" i="17" s="1"/>
  <c r="O72" i="17" a="1"/>
  <c r="O72" i="17" s="1"/>
  <c r="O33" i="17" a="1"/>
  <c r="O33" i="17" s="1"/>
  <c r="Q33" i="17" s="1"/>
  <c r="W33" i="17" s="1"/>
  <c r="N85" i="17" a="1"/>
  <c r="N85" i="17" s="1"/>
  <c r="N74" i="17" a="1"/>
  <c r="N74" i="17" s="1"/>
  <c r="Q5" i="17"/>
  <c r="W5" i="17" s="1"/>
  <c r="Q13" i="17"/>
  <c r="W13" i="17" s="1"/>
  <c r="R71" i="17" a="1"/>
  <c r="R71" i="17" s="1"/>
  <c r="R65" i="17" a="1"/>
  <c r="R65" i="17" s="1"/>
  <c r="R60" i="17" a="1"/>
  <c r="R60" i="17" s="1"/>
  <c r="O84" i="17" a="1"/>
  <c r="O84" i="17" s="1"/>
  <c r="Q84" i="17" s="1"/>
  <c r="W84" i="17" s="1"/>
  <c r="O79" i="17" a="1"/>
  <c r="O79" i="17" s="1"/>
  <c r="O63" i="17" a="1"/>
  <c r="O63" i="17" s="1"/>
  <c r="O27" i="17" a="1"/>
  <c r="O27" i="17" s="1"/>
  <c r="Q27" i="17" s="1"/>
  <c r="W27" i="17" s="1"/>
  <c r="N84" i="17" a="1"/>
  <c r="N84" i="17" s="1"/>
  <c r="N64" i="17" a="1"/>
  <c r="N64" i="17" s="1"/>
  <c r="Q85" i="17"/>
  <c r="W85" i="17" s="1"/>
  <c r="Q17" i="17"/>
  <c r="W17" i="17" s="1"/>
  <c r="Y79" i="17"/>
  <c r="Q11" i="17"/>
  <c r="W11" i="17" s="1"/>
  <c r="Q22" i="17"/>
  <c r="W22" i="17" s="1"/>
  <c r="Y32" i="17"/>
  <c r="R76" i="17" a="1"/>
  <c r="R76" i="17" s="1"/>
  <c r="R70" i="17" a="1"/>
  <c r="R70" i="17" s="1"/>
  <c r="R64" i="17" a="1"/>
  <c r="R64" i="17" s="1"/>
  <c r="R59" i="17" a="1"/>
  <c r="R59" i="17" s="1"/>
  <c r="O83" i="17" a="1"/>
  <c r="O83" i="17" s="1"/>
  <c r="O78" i="17" a="1"/>
  <c r="O78" i="17" s="1"/>
  <c r="Q78" i="17" s="1"/>
  <c r="W78" i="17" s="1"/>
  <c r="O71" i="17" a="1"/>
  <c r="O71" i="17" s="1"/>
  <c r="O62" i="17" a="1"/>
  <c r="O62" i="17" s="1"/>
  <c r="Q62" i="17" s="1"/>
  <c r="W62" i="17" s="1"/>
  <c r="O21" i="17" a="1"/>
  <c r="O21" i="17" s="1"/>
  <c r="Q21" i="17" s="1"/>
  <c r="W21" i="17" s="1"/>
  <c r="N83" i="17" a="1"/>
  <c r="N83" i="17" s="1"/>
  <c r="N36" i="17" a="1"/>
  <c r="N36" i="17" s="1"/>
  <c r="N8" i="17" a="1"/>
  <c r="N8" i="17" s="1"/>
  <c r="N70" i="17" a="1"/>
  <c r="N70" i="17" s="1"/>
  <c r="N66" i="17" a="1"/>
  <c r="N66" i="17" s="1"/>
  <c r="N60" i="17" a="1"/>
  <c r="N60" i="17" s="1"/>
  <c r="N54" i="17" a="1"/>
  <c r="N54" i="17" s="1"/>
  <c r="N53" i="17" a="1"/>
  <c r="N53" i="17" s="1"/>
  <c r="N52" i="17" a="1"/>
  <c r="N52" i="17" s="1"/>
  <c r="N37" i="17" a="1"/>
  <c r="N37" i="17" s="1"/>
  <c r="N48" i="17" a="1"/>
  <c r="N48" i="17" s="1"/>
  <c r="N63" i="17" a="1"/>
  <c r="N63" i="17" s="1"/>
  <c r="N58" i="17" a="1"/>
  <c r="N58" i="17" s="1"/>
  <c r="N57" i="17" a="1"/>
  <c r="N57" i="17" s="1"/>
  <c r="N51" i="17" a="1"/>
  <c r="N51" i="17" s="1"/>
  <c r="N14" i="17" a="1"/>
  <c r="N14" i="17" s="1"/>
  <c r="N50" i="17" a="1"/>
  <c r="N50" i="17" s="1"/>
  <c r="N45" i="17" a="1"/>
  <c r="N45" i="17" s="1"/>
  <c r="N44" i="17" a="1"/>
  <c r="N44" i="17" s="1"/>
  <c r="N24" i="17" a="1"/>
  <c r="N24" i="17" s="1"/>
  <c r="N35" i="17" a="1"/>
  <c r="N35" i="17" s="1"/>
  <c r="N39" i="17" a="1"/>
  <c r="N39" i="17" s="1"/>
  <c r="N38" i="17" a="1"/>
  <c r="N38" i="17" s="1"/>
  <c r="O70" i="17" a="1"/>
  <c r="O70" i="17" s="1"/>
  <c r="Q70" i="17" s="1"/>
  <c r="W70" i="17" s="1"/>
  <c r="O64" i="17" a="1"/>
  <c r="O64" i="17" s="1"/>
  <c r="O60" i="17" a="1"/>
  <c r="O60" i="17" s="1"/>
  <c r="Q60" i="17" s="1"/>
  <c r="W60" i="17" s="1"/>
  <c r="O55" i="17" a="1"/>
  <c r="O55" i="17" s="1"/>
  <c r="Q55" i="17" s="1"/>
  <c r="W55" i="17" s="1"/>
  <c r="O2" i="17" a="1"/>
  <c r="O2" i="17" s="1"/>
  <c r="Q2" i="17" s="1"/>
  <c r="W2" i="17" s="1"/>
  <c r="N19" i="17" a="1"/>
  <c r="N19" i="17" s="1"/>
  <c r="N29" i="17" a="1"/>
  <c r="N29" i="17" s="1"/>
  <c r="N34" i="17" a="1"/>
  <c r="N34" i="17" s="1"/>
  <c r="N33" i="17" a="1"/>
  <c r="N33" i="17" s="1"/>
  <c r="N2" i="17" a="1"/>
  <c r="N2" i="17" s="1"/>
  <c r="O57" i="17" a="1"/>
  <c r="O57" i="17" s="1"/>
  <c r="Q57" i="17" s="1"/>
  <c r="W57" i="17" s="1"/>
  <c r="O53" i="17" a="1"/>
  <c r="O53" i="17" s="1"/>
  <c r="Q53" i="17" s="1"/>
  <c r="W53" i="17" s="1"/>
  <c r="N79" i="17" a="1"/>
  <c r="N79" i="17" s="1"/>
  <c r="N11" i="17" a="1"/>
  <c r="N11" i="17" s="1"/>
  <c r="N22" i="17" a="1"/>
  <c r="N22" i="17" s="1"/>
  <c r="N21" i="17" a="1"/>
  <c r="N21" i="17" s="1"/>
  <c r="N15" i="17" a="1"/>
  <c r="N15" i="17" s="1"/>
  <c r="O51" i="17" a="1"/>
  <c r="O51" i="17" s="1"/>
  <c r="Q51" i="17" s="1"/>
  <c r="W51" i="17" s="1"/>
  <c r="N77" i="17" a="1"/>
  <c r="N77" i="17" s="1"/>
  <c r="N73" i="17" a="1"/>
  <c r="N73" i="17" s="1"/>
  <c r="N10" i="17" a="1"/>
  <c r="N10" i="17" s="1"/>
  <c r="N9" i="17" a="1"/>
  <c r="N9" i="17" s="1"/>
  <c r="O29" i="17" a="1"/>
  <c r="O29" i="17" s="1"/>
  <c r="Q29" i="17" s="1"/>
  <c r="W29" i="17" s="1"/>
  <c r="O40" i="17" a="1"/>
  <c r="O40" i="17" s="1"/>
  <c r="Q40" i="17" s="1"/>
  <c r="W40" i="17" s="1"/>
  <c r="O45" i="17" a="1"/>
  <c r="O45" i="17" s="1"/>
  <c r="Q45" i="17" s="1"/>
  <c r="W45" i="17" s="1"/>
  <c r="O50" i="17" a="1"/>
  <c r="O50" i="17" s="1"/>
  <c r="Q50" i="17" s="1"/>
  <c r="W50" i="17" s="1"/>
  <c r="N82" i="17" a="1"/>
  <c r="N82" i="17" s="1"/>
  <c r="N76" i="17" a="1"/>
  <c r="N76" i="17" s="1"/>
  <c r="N72" i="17" a="1"/>
  <c r="N72" i="17" s="1"/>
  <c r="N67" i="17" a="1"/>
  <c r="N67" i="17" s="1"/>
  <c r="N3" i="17" a="1"/>
  <c r="N3" i="17" s="1"/>
  <c r="N32" i="17" a="1"/>
  <c r="N32" i="17" s="1"/>
  <c r="N26" i="17" a="1"/>
  <c r="N26" i="17" s="1"/>
  <c r="N20" i="17" a="1"/>
  <c r="N20" i="17" s="1"/>
  <c r="Q79" i="17" l="1"/>
  <c r="W79" i="17" s="1"/>
  <c r="Q72" i="17"/>
  <c r="W72" i="17" s="1"/>
  <c r="Q68" i="17"/>
  <c r="W68" i="17" s="1"/>
  <c r="Q3" i="17"/>
  <c r="W3" i="17" s="1"/>
  <c r="Q64" i="17"/>
  <c r="W64" i="17" s="1"/>
  <c r="Q32" i="17"/>
  <c r="W32" i="17" s="1"/>
  <c r="Q54" i="17"/>
  <c r="W54" i="17" s="1"/>
  <c r="Q10" i="17"/>
  <c r="W10" i="17" s="1"/>
  <c r="Q26" i="17"/>
  <c r="W26" i="17" s="1"/>
  <c r="Q71" i="17"/>
  <c r="W71" i="17" s="1"/>
  <c r="Q63" i="17"/>
  <c r="W6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zhiyuan\documents\masters\cs5233_simulation\assignment2\bicyclerenting_variabl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<sst xmlns="http://schemas.openxmlformats.org/spreadsheetml/2006/main" count="1020" uniqueCount="96">
  <si>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</si>
  <si>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</si>
  <si>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</si>
  <si>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</si>
  <si>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</si>
  <si>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</si>
  <si>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</si>
  <si>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</si>
  <si>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</si>
  <si>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</si>
  <si>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</si>
  <si>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</si>
  <si>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</si>
  <si>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</si>
  <si>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</si>
  <si>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</si>
  <si>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</si>
  <si>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</si>
  <si>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</si>
  <si>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</si>
  <si>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</si>
  <si>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</si>
  <si>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</si>
  <si>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</si>
  <si>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</si>
  <si>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</si>
  <si>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</si>
  <si>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</si>
  <si>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</si>
  <si>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</si>
  <si>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</si>
  <si>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</si>
  <si>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</si>
  <si>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</si>
  <si>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</si>
  <si>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</si>
  <si>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</si>
  <si>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</si>
  <si>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</si>
  <si>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</si>
  <si>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</si>
  <si>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</si>
  <si>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</si>
  <si>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</si>
  <si>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</si>
  <si>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</si>
  <si>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</si>
  <si>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</si>
  <si>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</si>
  <si>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</si>
  <si>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</si>
  <si>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</si>
  <si>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</si>
  <si>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</si>
  <si>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</si>
  <si>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</si>
  <si>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</si>
  <si>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</si>
  <si>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</si>
  <si>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</si>
  <si>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</si>
  <si>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</si>
  <si>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</si>
  <si>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</si>
  <si>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</si>
  <si>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</si>
  <si>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</si>
  <si>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</si>
  <si>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C:\Users\zhiyuan\Documents\masters\CS5233_Simulation\Assignment2\BicycleRenting_Variables.p</t>
  </si>
  <si>
    <t>2025-03-22 19:51:35</t>
  </si>
  <si>
    <t>Queue Bicycle A.Queue</t>
  </si>
  <si>
    <t>Waiting Time</t>
  </si>
  <si>
    <t>Queue</t>
  </si>
  <si>
    <t>Queue Bicycle B.Queue</t>
  </si>
  <si>
    <t>Queue Bicycle C.Queue</t>
  </si>
  <si>
    <t>Queue Bicycle D.Queue</t>
  </si>
  <si>
    <t>Queue for Docking at A.Queue</t>
  </si>
  <si>
    <t>Queue for Docking at B.Queue</t>
  </si>
  <si>
    <t>Queue for Docking at C.Queue</t>
  </si>
  <si>
    <t>Queue for Docking at D.Queue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</si>
  <si>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</si>
  <si>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</si>
  <si>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</si>
  <si>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</si>
  <si>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</si>
  <si>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</si>
  <si>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</si>
  <si>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</si>
  <si>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</si>
  <si>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</si>
  <si>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System.NumberOut</t>
  </si>
  <si>
    <t>Number Out</t>
  </si>
  <si>
    <t>System</t>
  </si>
  <si>
    <t>Tourist.NumberIn</t>
  </si>
  <si>
    <t>Number 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</si>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</sst>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27568865738" createdVersion="7" refreshedVersion="8" minRefreshableVersion="3" recordCount="8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108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51.35989184627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85.361118965420005"/>
    </cacheField>
    <cacheField name="Maximum" numFmtId="0">
      <sharedItems containsSemiMixedTypes="0" containsString="0" containsNumber="1" minValue="0" maxValue="550.38404454841998"/>
    </cacheField>
    <cacheField name="NumberObservations" numFmtId="0">
      <sharedItems containsSemiMixedTypes="0" containsString="0" containsNumber="1" containsInteger="1" minValue="481" maxValue="758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OfAverage" numFmtId="0">
      <sharedItems containsSemiMixedTypes="0" containsString="0" containsNumber="1" minValue="0" maxValue="211.07550048138819"/>
    </cacheField>
    <cacheField name="StDevOfAverage" numFmtId="0">
      <sharedItems containsSemiMixedTypes="0" containsString="0" containsNumber="1" minValue="0" maxValue="57.11895215833025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9.942664108465443"/>
    </cacheField>
    <cacheField name="MinimumAverage" numFmtId="0">
      <sharedItems containsSemiMixedTypes="0" containsString="0" containsNumber="1" minValue="0" maxValue="179.863083236368"/>
    </cacheField>
    <cacheField name="MaximumAverage" numFmtId="0">
      <sharedItems containsSemiMixedTypes="0" containsString="0" containsNumber="1" minValue="0" maxValue="251.359891846279"/>
    </cacheField>
    <cacheField name="OverallMinimum" numFmtId="0">
      <sharedItems containsSemiMixedTypes="0" containsString="0" containsNumber="1" minValue="0" maxValue="75.738103637758201"/>
    </cacheField>
    <cacheField name="OverallMaximum" numFmtId="0">
      <sharedItems containsSemiMixedTypes="0" containsString="0" containsNumber="1" minValue="0" maxValue="550.38404454841998"/>
    </cacheField>
    <cacheField name="AverageNumberObservations" numFmtId="0">
      <sharedItems containsSemiMixedTypes="0" containsString="0" containsNumber="1" minValue="526.66666666666663" maxValue="680.16666666666663"/>
    </cacheField>
    <cacheField name="SummaryHalfWidth" numFmtId="0">
      <sharedItems containsSemiMixedTypes="0" containsString="0" containsNumber="1" minValue="0" maxValue="59.942664108465443"/>
    </cacheField>
    <cacheField name="RepsWithStatObserved" numFmtId="0">
      <sharedItems containsSemiMixedTypes="0" containsString="0" containsNumber="1" containsInteger="1" minValue="6" maxValue="6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27568981484" createdVersion="7" refreshedVersion="8" minRefreshableVersion="3" recordCount="18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81"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System"/>
        <s v="Entity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628" maxValue="83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" numFmtId="0">
      <sharedItems containsSemiMixedTypes="0" containsString="0" containsNumber="1" minValue="680.16666666666663" maxValue="778.33333333333337"/>
    </cacheField>
    <cacheField name="StandardDeviation" numFmtId="0">
      <sharedItems containsSemiMixedTypes="0" containsString="0" containsNumber="1" minValue="30.813416991087934" maxValue="45.81011533129628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2.336697977424173" maxValue="48.074767696407768"/>
    </cacheField>
    <cacheField name="Minimum" numFmtId="0">
      <sharedItems containsSemiMixedTypes="0" containsString="0" containsNumber="1" containsInteger="1" minValue="628" maxValue="751"/>
    </cacheField>
    <cacheField name="Maximum" numFmtId="0">
      <sharedItems containsSemiMixedTypes="0" containsString="0" containsNumber="1" containsInteger="1" minValue="758" maxValue="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2756932870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27569675923" createdVersion="7" refreshedVersion="8" minRefreshableVersion="3" recordCount="5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6"/>
    </cacheField>
    <cacheField name="Name" numFmtId="0">
      <sharedItems containsBlank="1" count="133">
        <s v="Queue Bicycle A.Queue"/>
        <s v="Queue Bicycle B.Queue"/>
        <s v="Queue Bicycle C.Queue"/>
        <s v="Queue Bicycle D.Queue"/>
        <s v="Queue for Docking at A.Queue"/>
        <s v="Queue for Docking at B.Queue"/>
        <s v="Queue for Docking at C.Queue"/>
        <s v="Queue for Docking at D.Queue"/>
        <s v="Touris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m u="1"/>
        <s v="Number Scheduled" u="1"/>
        <s v="Number Busy" u="1"/>
        <s v="Levels" u="1"/>
        <s v="Instantaneous Utilization" u="1"/>
      </sharedItems>
    </cacheField>
    <cacheField name="Source" numFmtId="0">
      <sharedItems containsBlank="1" count="5">
        <s v="Queue"/>
        <s v="Entity"/>
        <m u="1"/>
        <s v="Resource" u="1"/>
        <s v="User Specified" u="1"/>
      </sharedItems>
    </cacheField>
    <cacheField name="Average" numFmtId="0">
      <sharedItems containsSemiMixedTypes="0" containsString="0" containsNumber="1" minValue="0" maxValue="84.8623030031805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126"/>
    </cacheField>
    <cacheField name="LastRecordedValue" numFmtId="0">
      <sharedItems containsSemiMixedTypes="0" containsString="0" containsNumber="1" containsInteger="1" minValue="0" maxValue="12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6" maxValue="6"/>
    </cacheField>
    <cacheField name="AverageOfAverage" numFmtId="0">
      <sharedItems containsSemiMixedTypes="0" containsString="0" containsNumber="1" minValue="0" maxValue="73.428010105270019"/>
    </cacheField>
    <cacheField name="StDevOfAverage" numFmtId="0">
      <sharedItems containsSemiMixedTypes="0" containsString="0" containsNumber="1" minValue="0" maxValue="14.64725836414934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5.371354954102877"/>
    </cacheField>
    <cacheField name="MinimumAverage" numFmtId="0">
      <sharedItems containsSemiMixedTypes="0" containsString="0" containsNumber="1" minValue="0" maxValue="62.819573565301503"/>
    </cacheField>
    <cacheField name="MaximumAverage" numFmtId="0">
      <sharedItems containsSemiMixedTypes="0" containsString="0" containsNumber="1" minValue="0" maxValue="84.8623030031805"/>
    </cacheField>
    <cacheField name="SummaryHalfWidth" numFmtId="0">
      <sharedItems containsSemiMixedTypes="0" containsString="0" containsNumber="1" minValue="0" maxValue="15.3713549541028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iyuan" refreshedDate="45738.827569907407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s v="2025-03-22 19:51:35"/>
    <n v="1"/>
    <x v="0"/>
    <x v="0"/>
    <x v="0"/>
    <n v="0"/>
    <n v="0"/>
    <n v="0"/>
    <n v="0"/>
    <n v="577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2"/>
    <x v="0"/>
    <x v="0"/>
    <x v="0"/>
    <n v="0"/>
    <n v="0"/>
    <n v="0"/>
    <n v="0"/>
    <n v="568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3"/>
    <x v="0"/>
    <x v="0"/>
    <x v="0"/>
    <n v="0"/>
    <n v="0"/>
    <n v="0"/>
    <n v="0"/>
    <n v="510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4"/>
    <x v="0"/>
    <x v="0"/>
    <x v="0"/>
    <n v="0"/>
    <n v="0"/>
    <n v="0"/>
    <n v="0"/>
    <n v="544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5"/>
    <x v="0"/>
    <x v="0"/>
    <x v="0"/>
    <n v="0"/>
    <n v="0"/>
    <n v="0"/>
    <n v="0"/>
    <n v="542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6"/>
    <x v="0"/>
    <x v="0"/>
    <x v="0"/>
    <n v="0"/>
    <n v="0"/>
    <n v="0"/>
    <n v="0"/>
    <n v="594"/>
    <s v="Unnamed ProjectQueue Bicycle A.QueueWaiting TimeQueue"/>
    <n v="6"/>
    <n v="0"/>
    <n v="0"/>
    <n v="0.95"/>
    <n v="0"/>
    <n v="0"/>
    <n v="0"/>
    <n v="0"/>
    <n v="0"/>
    <n v="555.83333333333337"/>
    <n v="0"/>
    <n v="6"/>
    <n v="1"/>
  </r>
  <r>
    <x v="0"/>
    <s v="2025-03-22 19:51:35"/>
    <n v="1"/>
    <x v="1"/>
    <x v="0"/>
    <x v="0"/>
    <n v="0"/>
    <n v="0"/>
    <n v="0"/>
    <n v="0"/>
    <n v="546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2"/>
    <x v="1"/>
    <x v="0"/>
    <x v="0"/>
    <n v="0"/>
    <n v="0"/>
    <n v="0"/>
    <n v="0"/>
    <n v="510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3"/>
    <x v="1"/>
    <x v="0"/>
    <x v="0"/>
    <n v="0"/>
    <n v="0"/>
    <n v="0"/>
    <n v="0"/>
    <n v="547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4"/>
    <x v="1"/>
    <x v="0"/>
    <x v="0"/>
    <n v="0"/>
    <n v="0"/>
    <n v="0"/>
    <n v="0"/>
    <n v="559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5"/>
    <x v="1"/>
    <x v="0"/>
    <x v="0"/>
    <n v="0"/>
    <n v="0"/>
    <n v="0"/>
    <n v="0"/>
    <n v="581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6"/>
    <x v="1"/>
    <x v="0"/>
    <x v="0"/>
    <n v="0"/>
    <n v="0"/>
    <n v="0"/>
    <n v="0"/>
    <n v="608"/>
    <s v="Unnamed ProjectQueue Bicycle B.QueueWaiting TimeQueue"/>
    <n v="6"/>
    <n v="0"/>
    <n v="0"/>
    <n v="0.95"/>
    <n v="0"/>
    <n v="0"/>
    <n v="0"/>
    <n v="0"/>
    <n v="0"/>
    <n v="558.5"/>
    <n v="0"/>
    <n v="6"/>
    <n v="1"/>
  </r>
  <r>
    <x v="0"/>
    <s v="2025-03-22 19:51:35"/>
    <n v="1"/>
    <x v="2"/>
    <x v="0"/>
    <x v="0"/>
    <n v="0"/>
    <n v="0"/>
    <n v="0"/>
    <n v="0"/>
    <n v="542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2"/>
    <x v="2"/>
    <x v="0"/>
    <x v="0"/>
    <n v="0"/>
    <n v="0"/>
    <n v="0"/>
    <n v="0"/>
    <n v="527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3"/>
    <x v="2"/>
    <x v="0"/>
    <x v="0"/>
    <n v="0"/>
    <n v="0"/>
    <n v="0"/>
    <n v="0"/>
    <n v="483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4"/>
    <x v="2"/>
    <x v="0"/>
    <x v="0"/>
    <n v="0"/>
    <n v="0"/>
    <n v="0"/>
    <n v="0"/>
    <n v="492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5"/>
    <x v="2"/>
    <x v="0"/>
    <x v="0"/>
    <n v="0"/>
    <n v="0"/>
    <n v="0"/>
    <n v="0"/>
    <n v="553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6"/>
    <x v="2"/>
    <x v="0"/>
    <x v="0"/>
    <n v="0"/>
    <n v="0"/>
    <n v="0"/>
    <n v="0"/>
    <n v="614"/>
    <s v="Unnamed ProjectQueue Bicycle C.QueueWaiting TimeQueue"/>
    <n v="6"/>
    <n v="0"/>
    <n v="0"/>
    <n v="0.95"/>
    <n v="0"/>
    <n v="0"/>
    <n v="0"/>
    <n v="0"/>
    <n v="0"/>
    <n v="535.16666666666663"/>
    <n v="0"/>
    <n v="6"/>
    <n v="1"/>
  </r>
  <r>
    <x v="0"/>
    <s v="2025-03-22 19:51:35"/>
    <n v="1"/>
    <x v="3"/>
    <x v="0"/>
    <x v="0"/>
    <n v="0"/>
    <n v="0"/>
    <n v="0"/>
    <n v="0"/>
    <n v="544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2"/>
    <x v="3"/>
    <x v="0"/>
    <x v="0"/>
    <n v="0"/>
    <n v="0"/>
    <n v="0"/>
    <n v="0"/>
    <n v="556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3"/>
    <x v="3"/>
    <x v="0"/>
    <x v="0"/>
    <n v="0"/>
    <n v="0"/>
    <n v="0"/>
    <n v="0"/>
    <n v="526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4"/>
    <x v="3"/>
    <x v="0"/>
    <x v="0"/>
    <n v="0"/>
    <n v="0"/>
    <n v="0"/>
    <n v="0"/>
    <n v="502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5"/>
    <x v="3"/>
    <x v="0"/>
    <x v="0"/>
    <n v="0"/>
    <n v="0"/>
    <n v="0"/>
    <n v="0"/>
    <n v="540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6"/>
    <x v="3"/>
    <x v="0"/>
    <x v="0"/>
    <n v="0"/>
    <n v="0"/>
    <n v="0"/>
    <n v="0"/>
    <n v="582"/>
    <s v="Unnamed ProjectQueue Bicycle D.QueueWaiting TimeQueue"/>
    <n v="6"/>
    <n v="0"/>
    <n v="0"/>
    <n v="0.95"/>
    <n v="0"/>
    <n v="0"/>
    <n v="0"/>
    <n v="0"/>
    <n v="0"/>
    <n v="541.66666666666663"/>
    <n v="0"/>
    <n v="6"/>
    <n v="1"/>
  </r>
  <r>
    <x v="0"/>
    <s v="2025-03-22 19:51:35"/>
    <n v="1"/>
    <x v="4"/>
    <x v="0"/>
    <x v="0"/>
    <n v="0"/>
    <n v="0"/>
    <n v="0"/>
    <n v="0"/>
    <n v="544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2"/>
    <x v="4"/>
    <x v="0"/>
    <x v="0"/>
    <n v="25.0863108007925"/>
    <n v="3E+20"/>
    <n v="0"/>
    <n v="98.344688457029207"/>
    <n v="555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3"/>
    <x v="4"/>
    <x v="0"/>
    <x v="0"/>
    <n v="53.839244484964098"/>
    <n v="3E+20"/>
    <n v="0"/>
    <n v="199.8029613718"/>
    <n v="510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4"/>
    <x v="4"/>
    <x v="0"/>
    <x v="0"/>
    <n v="2.3332684614563899"/>
    <n v="3E+20"/>
    <n v="0"/>
    <n v="63.8878232651929"/>
    <n v="501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5"/>
    <x v="4"/>
    <x v="0"/>
    <x v="0"/>
    <n v="9.57378364790031"/>
    <n v="3E+20"/>
    <n v="0"/>
    <n v="96.020770468159"/>
    <n v="539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6"/>
    <x v="4"/>
    <x v="0"/>
    <x v="0"/>
    <n v="2.6962385259572001"/>
    <n v="3E+20"/>
    <n v="0"/>
    <n v="51.1237281719647"/>
    <n v="580"/>
    <s v="Unnamed ProjectQueue for Docking at A.QueueWaiting TimeQueue"/>
    <n v="6"/>
    <n v="15.588140986845083"/>
    <n v="20.853860923052228"/>
    <n v="0.95"/>
    <n v="21.884784882085182"/>
    <n v="0"/>
    <n v="53.839244484964098"/>
    <n v="0"/>
    <n v="199.8029613718"/>
    <n v="538.16666666666663"/>
    <n v="21.884784882085182"/>
    <n v="6"/>
    <n v="1"/>
  </r>
  <r>
    <x v="0"/>
    <s v="2025-03-22 19:51:35"/>
    <n v="1"/>
    <x v="5"/>
    <x v="0"/>
    <x v="0"/>
    <n v="40.750758417583697"/>
    <n v="3E+20"/>
    <n v="0"/>
    <n v="134.91731097626001"/>
    <n v="546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2"/>
    <x v="5"/>
    <x v="0"/>
    <x v="0"/>
    <n v="25.9382682069926"/>
    <n v="3E+20"/>
    <n v="0"/>
    <n v="191.856268017698"/>
    <n v="510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3"/>
    <x v="5"/>
    <x v="0"/>
    <x v="0"/>
    <n v="0.52490255581437195"/>
    <n v="3E+20"/>
    <n v="0"/>
    <n v="15.1725106760146"/>
    <n v="507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4"/>
    <x v="5"/>
    <x v="0"/>
    <x v="0"/>
    <n v="0.24751721730910201"/>
    <n v="3E+20"/>
    <n v="0"/>
    <n v="19.208994530528599"/>
    <n v="541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5"/>
    <x v="5"/>
    <x v="0"/>
    <x v="0"/>
    <n v="2.8662175262434801E-3"/>
    <n v="3E+20"/>
    <n v="0"/>
    <n v="1.54775746417148"/>
    <n v="540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6"/>
    <x v="5"/>
    <x v="0"/>
    <x v="0"/>
    <n v="2.2701293118959202E-3"/>
    <n v="3E+20"/>
    <n v="0"/>
    <n v="1.3484568112661699"/>
    <n v="594"/>
    <s v="Unnamed ProjectQueue for Docking at B.QueueWaiting TimeQueue"/>
    <n v="6"/>
    <n v="11.244430457422986"/>
    <n v="17.748980658899125"/>
    <n v="0.95"/>
    <n v="18.626412875273257"/>
    <n v="2.2701293118959202E-3"/>
    <n v="40.750758417583697"/>
    <n v="0"/>
    <n v="191.856268017698"/>
    <n v="539.66666666666663"/>
    <n v="18.626412875273257"/>
    <n v="6"/>
    <n v="1"/>
  </r>
  <r>
    <x v="0"/>
    <s v="2025-03-22 19:51:35"/>
    <n v="1"/>
    <x v="6"/>
    <x v="0"/>
    <x v="0"/>
    <n v="19.9278603531728"/>
    <n v="3E+20"/>
    <n v="0"/>
    <n v="108.479049143764"/>
    <n v="542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2"/>
    <x v="6"/>
    <x v="0"/>
    <x v="0"/>
    <n v="4.6581134128016997"/>
    <n v="3E+20"/>
    <n v="0"/>
    <n v="47.371696847495201"/>
    <n v="509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3"/>
    <x v="6"/>
    <x v="0"/>
    <x v="0"/>
    <n v="106.037259547673"/>
    <n v="3E+20"/>
    <n v="0"/>
    <n v="217.225637355841"/>
    <n v="483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4"/>
    <x v="6"/>
    <x v="0"/>
    <x v="0"/>
    <n v="134.44315161642999"/>
    <n v="3E+20"/>
    <n v="0"/>
    <n v="230.07635426370001"/>
    <n v="492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5"/>
    <x v="6"/>
    <x v="0"/>
    <x v="0"/>
    <n v="82.881045585938793"/>
    <n v="3E+20"/>
    <n v="0"/>
    <n v="221.17558788925001"/>
    <n v="553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6"/>
    <x v="6"/>
    <x v="0"/>
    <x v="0"/>
    <n v="1.00893865404783"/>
    <n v="3E+20"/>
    <n v="0"/>
    <n v="21.631818728086099"/>
    <n v="605"/>
    <s v="Unnamed ProjectQueue for Docking at C.QueueWaiting TimeQueue"/>
    <n v="6"/>
    <n v="58.159394861677356"/>
    <n v="57.118952158330259"/>
    <n v="0.95"/>
    <n v="59.942664108465443"/>
    <n v="1.00893865404783"/>
    <n v="134.44315161642999"/>
    <n v="0"/>
    <n v="230.07635426370001"/>
    <n v="530.66666666666663"/>
    <n v="59.942664108465443"/>
    <n v="6"/>
    <n v="1"/>
  </r>
  <r>
    <x v="0"/>
    <s v="2025-03-22 19:51:35"/>
    <n v="1"/>
    <x v="7"/>
    <x v="0"/>
    <x v="0"/>
    <n v="11.2253557830637"/>
    <n v="3E+20"/>
    <n v="0"/>
    <n v="85.671254225865596"/>
    <n v="54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2"/>
    <x v="7"/>
    <x v="0"/>
    <x v="0"/>
    <n v="1.172409798291"/>
    <n v="3E+20"/>
    <n v="0"/>
    <n v="21.7787575826374"/>
    <n v="525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3"/>
    <x v="7"/>
    <x v="0"/>
    <x v="0"/>
    <n v="3.03263013636017"/>
    <n v="3E+20"/>
    <n v="0"/>
    <n v="47.247584638715303"/>
    <n v="48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4"/>
    <x v="7"/>
    <x v="0"/>
    <x v="0"/>
    <n v="0.33893512316246599"/>
    <n v="3E+20"/>
    <n v="0"/>
    <n v="11.077219917569201"/>
    <n v="491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5"/>
    <x v="7"/>
    <x v="0"/>
    <x v="0"/>
    <n v="3.2340370029126002"/>
    <n v="3E+20"/>
    <n v="0"/>
    <n v="31.139217915442298"/>
    <n v="540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6"/>
    <x v="7"/>
    <x v="0"/>
    <x v="0"/>
    <n v="79.511079148315702"/>
    <n v="3E+20"/>
    <n v="0"/>
    <n v="202.09687479487201"/>
    <n v="582"/>
    <s v="Unnamed ProjectQueue for Docking at D.QueueWaiting TimeQueue"/>
    <n v="6"/>
    <n v="16.419074498684271"/>
    <n v="31.15011890204925"/>
    <n v="0.95"/>
    <n v="32.690044962808059"/>
    <n v="0.33893512316246599"/>
    <n v="79.511079148315702"/>
    <n v="0"/>
    <n v="202.09687479487201"/>
    <n v="526.66666666666663"/>
    <n v="32.690044962808059"/>
    <n v="6"/>
    <n v="1"/>
  </r>
  <r>
    <x v="0"/>
    <s v="2025-03-22 19:51:35"/>
    <n v="1"/>
    <x v="8"/>
    <x v="1"/>
    <x v="1"/>
    <n v="0"/>
    <n v="0"/>
    <n v="0"/>
    <n v="0"/>
    <n v="692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1"/>
    <x v="8"/>
    <x v="2"/>
    <x v="1"/>
    <n v="118.465396306461"/>
    <n v="1.9076761548621"/>
    <n v="64.305278892697601"/>
    <n v="187.13107854005801"/>
    <n v="692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1"/>
    <x v="8"/>
    <x v="3"/>
    <x v="1"/>
    <n v="190.31702643268801"/>
    <n v="3E+20"/>
    <n v="79.827822628032393"/>
    <n v="388.73330205316398"/>
    <n v="692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1"/>
    <x v="8"/>
    <x v="4"/>
    <x v="1"/>
    <n v="19.752279368772498"/>
    <n v="0.62303367978319901"/>
    <n v="6.9189393323833901"/>
    <n v="48.524443063083801"/>
    <n v="692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1"/>
    <x v="8"/>
    <x v="5"/>
    <x v="1"/>
    <n v="0"/>
    <n v="0"/>
    <n v="0"/>
    <n v="0"/>
    <n v="692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1"/>
    <x v="8"/>
    <x v="6"/>
    <x v="1"/>
    <n v="52.099350757453998"/>
    <n v="3E+20"/>
    <n v="0"/>
    <n v="189.02734486536201"/>
    <n v="692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19:51:35"/>
    <n v="2"/>
    <x v="8"/>
    <x v="1"/>
    <x v="1"/>
    <n v="0"/>
    <n v="0"/>
    <n v="0"/>
    <n v="0"/>
    <n v="66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2"/>
    <x v="8"/>
    <x v="2"/>
    <x v="1"/>
    <n v="118.562809100659"/>
    <n v="1.7361958095866801"/>
    <n v="55.773522793583801"/>
    <n v="173.11840589936199"/>
    <n v="66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2"/>
    <x v="8"/>
    <x v="3"/>
    <x v="1"/>
    <n v="179.863083236368"/>
    <n v="3E+20"/>
    <n v="82.175437616857593"/>
    <n v="365.97568442113601"/>
    <n v="66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2"/>
    <x v="8"/>
    <x v="4"/>
    <x v="1"/>
    <n v="19.700011899004298"/>
    <n v="0.59968770730430998"/>
    <n v="6.61068877610683"/>
    <n v="46.7798398862817"/>
    <n v="66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2"/>
    <x v="8"/>
    <x v="5"/>
    <x v="1"/>
    <n v="0"/>
    <n v="0"/>
    <n v="0"/>
    <n v="0"/>
    <n v="66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2"/>
    <x v="8"/>
    <x v="6"/>
    <x v="1"/>
    <n v="41.600262236705198"/>
    <n v="3E+20"/>
    <n v="0"/>
    <n v="191.856268017698"/>
    <n v="66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19:51:35"/>
    <n v="3"/>
    <x v="8"/>
    <x v="1"/>
    <x v="1"/>
    <n v="0"/>
    <n v="0"/>
    <n v="0"/>
    <n v="0"/>
    <n v="62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3"/>
    <x v="8"/>
    <x v="2"/>
    <x v="1"/>
    <n v="117.191625821298"/>
    <n v="2.20142344016078"/>
    <n v="66.588698394028398"/>
    <n v="175.877967910064"/>
    <n v="62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3"/>
    <x v="8"/>
    <x v="3"/>
    <x v="1"/>
    <n v="251.359891846279"/>
    <n v="3E+20"/>
    <n v="85.361118965420005"/>
    <n v="550.38404454841998"/>
    <n v="62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3"/>
    <x v="8"/>
    <x v="4"/>
    <x v="1"/>
    <n v="19.1857398398508"/>
    <n v="0.57250769421116798"/>
    <n v="6.6397826729214602"/>
    <n v="45.659324848129501"/>
    <n v="62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3"/>
    <x v="8"/>
    <x v="5"/>
    <x v="1"/>
    <n v="0"/>
    <n v="0"/>
    <n v="0"/>
    <n v="0"/>
    <n v="62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3"/>
    <x v="8"/>
    <x v="6"/>
    <x v="1"/>
    <n v="114.98252618513099"/>
    <n v="3E+20"/>
    <n v="0"/>
    <n v="382.26122678645902"/>
    <n v="62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19:51:35"/>
    <n v="4"/>
    <x v="8"/>
    <x v="1"/>
    <x v="1"/>
    <n v="0"/>
    <n v="0"/>
    <n v="0"/>
    <n v="0"/>
    <n v="644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4"/>
    <x v="8"/>
    <x v="2"/>
    <x v="1"/>
    <n v="116.877699464787"/>
    <n v="2.5382984370725001"/>
    <n v="64.795746725124303"/>
    <n v="177.34257810323001"/>
    <n v="644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4"/>
    <x v="8"/>
    <x v="3"/>
    <x v="1"/>
    <n v="237.02236533279299"/>
    <n v="3E+20"/>
    <n v="75.738103637758201"/>
    <n v="419.57622927480702"/>
    <n v="644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4"/>
    <x v="8"/>
    <x v="4"/>
    <x v="1"/>
    <n v="19.625109419236701"/>
    <n v="0.67673935011503195"/>
    <n v="6.4051840405065796"/>
    <n v="49.133216198834397"/>
    <n v="644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4"/>
    <x v="8"/>
    <x v="5"/>
    <x v="1"/>
    <n v="0"/>
    <n v="0"/>
    <n v="0"/>
    <n v="0"/>
    <n v="644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4"/>
    <x v="8"/>
    <x v="6"/>
    <x v="1"/>
    <n v="100.51955644877"/>
    <n v="3E+20"/>
    <n v="0"/>
    <n v="230.07635426370001"/>
    <n v="644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19:51:35"/>
    <n v="5"/>
    <x v="8"/>
    <x v="1"/>
    <x v="1"/>
    <n v="0"/>
    <n v="0"/>
    <n v="0"/>
    <n v="0"/>
    <n v="691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5"/>
    <x v="8"/>
    <x v="2"/>
    <x v="1"/>
    <n v="119.13871888067"/>
    <n v="2.5820515981077201"/>
    <n v="68.735364694904803"/>
    <n v="188.12068151584799"/>
    <n v="691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5"/>
    <x v="8"/>
    <x v="3"/>
    <x v="1"/>
    <n v="207.90699102956901"/>
    <n v="3E+20"/>
    <n v="82.745736993129896"/>
    <n v="399.09983856909099"/>
    <n v="691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5"/>
    <x v="8"/>
    <x v="4"/>
    <x v="1"/>
    <n v="20.011148830794099"/>
    <n v="0.72071183989690202"/>
    <n v="6.9847956078670004"/>
    <n v="48.981613974225397"/>
    <n v="691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5"/>
    <x v="8"/>
    <x v="5"/>
    <x v="1"/>
    <n v="0"/>
    <n v="0"/>
    <n v="0"/>
    <n v="0"/>
    <n v="691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5"/>
    <x v="8"/>
    <x v="6"/>
    <x v="1"/>
    <n v="68.757123318104107"/>
    <n v="3E+20"/>
    <n v="0"/>
    <n v="221.17558788925001"/>
    <n v="691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  <r>
    <x v="0"/>
    <s v="2025-03-22 19:51:35"/>
    <n v="6"/>
    <x v="8"/>
    <x v="1"/>
    <x v="1"/>
    <n v="0"/>
    <n v="0"/>
    <n v="0"/>
    <n v="0"/>
    <n v="758"/>
    <s v="Unnamed ProjectTouristN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6"/>
    <x v="8"/>
    <x v="2"/>
    <x v="1"/>
    <n v="119.124985720422"/>
    <n v="2.3526318128281098"/>
    <n v="68.282368224566099"/>
    <n v="180.80109216877301"/>
    <n v="758"/>
    <s v="Unnamed ProjectTouristOther TimeEntity"/>
    <n v="6"/>
    <n v="118.2268725490495"/>
    <n v="0.96951758614870753"/>
    <n v="0.95"/>
    <n v="1.0174463084103793"/>
    <n v="116.877699464787"/>
    <n v="119.13871888067"/>
    <n v="55.773522793583801"/>
    <n v="188.12068151584799"/>
    <n v="680.16666666666663"/>
    <n v="1.0174463084103793"/>
    <n v="6"/>
    <n v="1"/>
  </r>
  <r>
    <x v="0"/>
    <s v="2025-03-22 19:51:35"/>
    <n v="6"/>
    <x v="8"/>
    <x v="3"/>
    <x v="1"/>
    <n v="199.98364501063199"/>
    <n v="3E+20"/>
    <n v="78.979775942843304"/>
    <n v="392.00720497628799"/>
    <n v="758"/>
    <s v="Unnamed ProjectTouristTotal TimeEntity"/>
    <n v="6"/>
    <n v="211.07550048138819"/>
    <n v="27.692128586639679"/>
    <n v="0.95"/>
    <n v="29.061106683402102"/>
    <n v="179.863083236368"/>
    <n v="251.359891846279"/>
    <n v="75.738103637758201"/>
    <n v="550.38404454841998"/>
    <n v="680.16666666666663"/>
    <n v="29.061106683402102"/>
    <n v="6"/>
    <n v="1"/>
  </r>
  <r>
    <x v="0"/>
    <s v="2025-03-22 19:51:35"/>
    <n v="6"/>
    <x v="8"/>
    <x v="4"/>
    <x v="1"/>
    <n v="20.1872707445347"/>
    <n v="0.70798489699179601"/>
    <n v="6.4358235587569697"/>
    <n v="46.9345749654209"/>
    <n v="758"/>
    <s v="Unnamed ProjectTouristTransfer TimeEntity"/>
    <n v="6"/>
    <n v="19.743593350365519"/>
    <n v="0.34515194803215987"/>
    <n v="0.95"/>
    <n v="0.36221475544447534"/>
    <n v="19.1857398398508"/>
    <n v="20.1872707445347"/>
    <n v="6.4051840405065796"/>
    <n v="49.133216198834397"/>
    <n v="680.16666666666663"/>
    <n v="0.36221475544447534"/>
    <n v="6"/>
    <n v="1"/>
  </r>
  <r>
    <x v="0"/>
    <s v="2025-03-22 19:51:35"/>
    <n v="6"/>
    <x v="8"/>
    <x v="5"/>
    <x v="1"/>
    <n v="0"/>
    <n v="0"/>
    <n v="0"/>
    <n v="0"/>
    <n v="758"/>
    <s v="Unnamed ProjectTouristVA TimeEntity"/>
    <n v="6"/>
    <n v="0"/>
    <n v="0"/>
    <n v="0.95"/>
    <n v="0"/>
    <n v="0"/>
    <n v="0"/>
    <n v="0"/>
    <n v="0"/>
    <n v="680.16666666666663"/>
    <n v="0"/>
    <n v="6"/>
    <n v="1"/>
  </r>
  <r>
    <x v="0"/>
    <s v="2025-03-22 19:51:35"/>
    <n v="6"/>
    <x v="8"/>
    <x v="6"/>
    <x v="1"/>
    <n v="60.671388545675399"/>
    <n v="3E+20"/>
    <n v="0"/>
    <n v="202.09687479487201"/>
    <n v="758"/>
    <s v="Unnamed ProjectTouristWait TimeEntity"/>
    <n v="6"/>
    <n v="73.105034581973271"/>
    <n v="28.679503593105959"/>
    <n v="0.95"/>
    <n v="30.097293205130342"/>
    <n v="41.600262236705198"/>
    <n v="114.98252618513099"/>
    <n v="0"/>
    <n v="382.26122678645902"/>
    <n v="680.16666666666663"/>
    <n v="30.097293205130342"/>
    <n v="6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s v="2025-03-22 19:51:35"/>
    <n v="1"/>
    <x v="0"/>
    <x v="0"/>
    <x v="0"/>
    <n v="692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1"/>
    <x v="1"/>
    <x v="1"/>
    <x v="1"/>
    <n v="781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1"/>
    <x v="2"/>
    <x v="0"/>
    <x v="1"/>
    <n v="692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19:51:35"/>
    <n v="2"/>
    <x v="0"/>
    <x v="0"/>
    <x v="0"/>
    <n v="66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2"/>
    <x v="1"/>
    <x v="1"/>
    <x v="1"/>
    <n v="764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2"/>
    <x v="2"/>
    <x v="0"/>
    <x v="1"/>
    <n v="668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19:51:35"/>
    <n v="3"/>
    <x v="0"/>
    <x v="0"/>
    <x v="0"/>
    <n v="62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3"/>
    <x v="1"/>
    <x v="1"/>
    <x v="1"/>
    <n v="751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3"/>
    <x v="2"/>
    <x v="0"/>
    <x v="1"/>
    <n v="628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19:51:35"/>
    <n v="4"/>
    <x v="0"/>
    <x v="0"/>
    <x v="0"/>
    <n v="644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4"/>
    <x v="1"/>
    <x v="1"/>
    <x v="1"/>
    <n v="755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4"/>
    <x v="2"/>
    <x v="0"/>
    <x v="1"/>
    <n v="644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19:51:35"/>
    <n v="5"/>
    <x v="0"/>
    <x v="0"/>
    <x v="0"/>
    <n v="691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5"/>
    <x v="1"/>
    <x v="1"/>
    <x v="1"/>
    <n v="784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5"/>
    <x v="2"/>
    <x v="0"/>
    <x v="1"/>
    <n v="691"/>
    <n v="0"/>
    <s v="Unnamed ProjectTourist.NumberOutNumber OutEntity"/>
    <n v="6"/>
    <n v="680.16666666666663"/>
    <n v="45.810115331296281"/>
    <n v="0.95"/>
    <n v="48.074767696407768"/>
    <n v="628"/>
    <n v="758"/>
  </r>
  <r>
    <x v="0"/>
    <s v="2025-03-22 19:51:35"/>
    <n v="6"/>
    <x v="0"/>
    <x v="0"/>
    <x v="0"/>
    <n v="758"/>
    <n v="0"/>
    <s v="Unnamed ProjectSystem.NumberOutNumber OutSystem"/>
    <n v="6"/>
    <n v="680.16666666666663"/>
    <n v="45.810115331296281"/>
    <n v="0.95"/>
    <n v="48.074767696407768"/>
    <n v="628"/>
    <n v="758"/>
  </r>
  <r>
    <x v="0"/>
    <s v="2025-03-22 19:51:35"/>
    <n v="6"/>
    <x v="1"/>
    <x v="1"/>
    <x v="1"/>
    <n v="835"/>
    <n v="0"/>
    <s v="Unnamed ProjectTourist.NumberInNumber InEntity"/>
    <n v="6"/>
    <n v="778.33333333333337"/>
    <n v="30.813416991087934"/>
    <n v="0.95"/>
    <n v="32.336697977424173"/>
    <n v="751"/>
    <n v="835"/>
  </r>
  <r>
    <x v="0"/>
    <s v="2025-03-22 19:51:35"/>
    <n v="6"/>
    <x v="2"/>
    <x v="0"/>
    <x v="1"/>
    <n v="758"/>
    <n v="0"/>
    <s v="Unnamed ProjectTourist.NumberOutNumber OutEntity"/>
    <n v="6"/>
    <n v="680.16666666666663"/>
    <n v="45.810115331296281"/>
    <n v="0.95"/>
    <n v="48.074767696407768"/>
    <n v="628"/>
    <n v="75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2025-03-22 19:51:35"/>
    <n v="1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1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1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1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1"/>
    <x v="4"/>
    <x v="0"/>
    <x v="0"/>
    <n v="0"/>
    <n v="2E+20"/>
    <n v="0"/>
    <n v="0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1"/>
    <x v="5"/>
    <x v="0"/>
    <x v="0"/>
    <n v="10.7783398635915"/>
    <n v="3E+20"/>
    <n v="0"/>
    <n v="34"/>
    <n v="25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1"/>
    <x v="6"/>
    <x v="0"/>
    <x v="0"/>
    <n v="5.0037147502107997"/>
    <n v="3E+20"/>
    <n v="0"/>
    <n v="30"/>
    <n v="2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1"/>
    <x v="7"/>
    <x v="0"/>
    <x v="0"/>
    <n v="2.81153586973956"/>
    <n v="2E+20"/>
    <n v="0"/>
    <n v="21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1"/>
    <x v="8"/>
    <x v="1"/>
    <x v="1"/>
    <n v="65.921363270599898"/>
    <n v="3E+20"/>
    <n v="0"/>
    <n v="97"/>
    <n v="89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19:51:35"/>
    <n v="2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2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2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2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2"/>
    <x v="4"/>
    <x v="0"/>
    <x v="0"/>
    <n v="6.4457881918703004"/>
    <n v="3E+20"/>
    <n v="0"/>
    <n v="30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2"/>
    <x v="5"/>
    <x v="0"/>
    <x v="0"/>
    <n v="9.0541173630449894"/>
    <n v="3E+20"/>
    <n v="0"/>
    <n v="59"/>
    <n v="57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2"/>
    <x v="6"/>
    <x v="0"/>
    <x v="0"/>
    <n v="1.09767579959077"/>
    <n v="2E+20"/>
    <n v="0"/>
    <n v="12"/>
    <n v="0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2"/>
    <x v="7"/>
    <x v="0"/>
    <x v="0"/>
    <n v="0.28496071486239599"/>
    <n v="2E+20"/>
    <n v="0"/>
    <n v="6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2"/>
    <x v="8"/>
    <x v="1"/>
    <x v="1"/>
    <n v="62.819573565301503"/>
    <n v="3E+20"/>
    <n v="0"/>
    <n v="97"/>
    <n v="96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19:51:35"/>
    <n v="3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3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3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3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3"/>
    <x v="4"/>
    <x v="0"/>
    <x v="0"/>
    <n v="13.0230562536926"/>
    <n v="3E+20"/>
    <n v="0"/>
    <n v="48"/>
    <n v="15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3"/>
    <x v="5"/>
    <x v="0"/>
    <x v="0"/>
    <n v="0.12320629435087301"/>
    <n v="2E+20"/>
    <n v="0"/>
    <n v="7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3"/>
    <x v="6"/>
    <x v="0"/>
    <x v="0"/>
    <n v="27.258736402581899"/>
    <n v="3E+20"/>
    <n v="0"/>
    <n v="63"/>
    <n v="63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3"/>
    <x v="7"/>
    <x v="0"/>
    <x v="0"/>
    <n v="0.67532180351353599"/>
    <n v="2E+20"/>
    <n v="0"/>
    <n v="13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3"/>
    <x v="8"/>
    <x v="1"/>
    <x v="1"/>
    <n v="84.8623030031805"/>
    <n v="3E+20"/>
    <n v="0"/>
    <n v="126"/>
    <n v="123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19:51:35"/>
    <n v="4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4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4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4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4"/>
    <x v="4"/>
    <x v="0"/>
    <x v="0"/>
    <n v="0.54118865703224595"/>
    <n v="2E+20"/>
    <n v="0"/>
    <n v="13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4"/>
    <x v="5"/>
    <x v="0"/>
    <x v="0"/>
    <n v="6.1993895631585298E-2"/>
    <n v="2E+20"/>
    <n v="0"/>
    <n v="6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4"/>
    <x v="6"/>
    <x v="0"/>
    <x v="0"/>
    <n v="34.036846707370998"/>
    <n v="3E+20"/>
    <n v="0"/>
    <n v="68"/>
    <n v="67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4"/>
    <x v="7"/>
    <x v="0"/>
    <x v="0"/>
    <n v="7.7044974755912404E-2"/>
    <n v="2E+20"/>
    <n v="0"/>
    <n v="4"/>
    <n v="0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4"/>
    <x v="8"/>
    <x v="1"/>
    <x v="1"/>
    <n v="79.225981755891397"/>
    <n v="3E+20"/>
    <n v="0"/>
    <n v="123"/>
    <n v="111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19:51:35"/>
    <n v="5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5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5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5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5"/>
    <x v="4"/>
    <x v="0"/>
    <x v="0"/>
    <n v="2.38901360473068"/>
    <n v="2E+20"/>
    <n v="0"/>
    <n v="27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5"/>
    <x v="5"/>
    <x v="0"/>
    <x v="0"/>
    <n v="7.16554381560871E-4"/>
    <n v="2E+20"/>
    <n v="0"/>
    <n v="1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5"/>
    <x v="6"/>
    <x v="0"/>
    <x v="0"/>
    <n v="22.0879780290004"/>
    <n v="3E+20"/>
    <n v="0"/>
    <n v="56"/>
    <n v="27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5"/>
    <x v="7"/>
    <x v="0"/>
    <x v="0"/>
    <n v="0.84856154276066098"/>
    <n v="2E+20"/>
    <n v="0"/>
    <n v="10"/>
    <n v="9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5"/>
    <x v="8"/>
    <x v="1"/>
    <x v="1"/>
    <n v="72.829308783335506"/>
    <n v="3E+20"/>
    <n v="0"/>
    <n v="111"/>
    <n v="93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  <r>
    <x v="0"/>
    <s v="2025-03-22 19:51:35"/>
    <n v="6"/>
    <x v="0"/>
    <x v="0"/>
    <x v="0"/>
    <n v="0"/>
    <n v="2E+20"/>
    <n v="0"/>
    <n v="0"/>
    <n v="0"/>
    <n v="0"/>
    <s v="Unnamed ProjectQueue Bicycle A.QueueNumber WaitingQueue"/>
    <n v="6"/>
    <n v="0"/>
    <n v="0"/>
    <n v="0.95"/>
    <n v="0"/>
    <n v="0"/>
    <n v="0"/>
    <n v="0"/>
  </r>
  <r>
    <x v="0"/>
    <s v="2025-03-22 19:51:35"/>
    <n v="6"/>
    <x v="1"/>
    <x v="0"/>
    <x v="0"/>
    <n v="0"/>
    <n v="2E+20"/>
    <n v="0"/>
    <n v="0"/>
    <n v="0"/>
    <n v="0"/>
    <s v="Unnamed ProjectQueue Bicycle B.QueueNumber WaitingQueue"/>
    <n v="6"/>
    <n v="0"/>
    <n v="0"/>
    <n v="0.95"/>
    <n v="0"/>
    <n v="0"/>
    <n v="0"/>
    <n v="0"/>
  </r>
  <r>
    <x v="0"/>
    <s v="2025-03-22 19:51:35"/>
    <n v="6"/>
    <x v="2"/>
    <x v="0"/>
    <x v="0"/>
    <n v="0"/>
    <n v="2E+20"/>
    <n v="0"/>
    <n v="0"/>
    <n v="0"/>
    <n v="0"/>
    <s v="Unnamed ProjectQueue Bicycle C.QueueNumber WaitingQueue"/>
    <n v="6"/>
    <n v="0"/>
    <n v="0"/>
    <n v="0.95"/>
    <n v="0"/>
    <n v="0"/>
    <n v="0"/>
    <n v="0"/>
  </r>
  <r>
    <x v="0"/>
    <s v="2025-03-22 19:51:35"/>
    <n v="6"/>
    <x v="3"/>
    <x v="0"/>
    <x v="0"/>
    <n v="0"/>
    <n v="2E+20"/>
    <n v="0"/>
    <n v="0"/>
    <n v="0"/>
    <n v="0"/>
    <s v="Unnamed ProjectQueue Bicycle D.QueueNumber WaitingQueue"/>
    <n v="6"/>
    <n v="0"/>
    <n v="0"/>
    <n v="0.95"/>
    <n v="0"/>
    <n v="0"/>
    <n v="0"/>
    <n v="0"/>
  </r>
  <r>
    <x v="0"/>
    <s v="2025-03-22 19:51:35"/>
    <n v="6"/>
    <x v="4"/>
    <x v="0"/>
    <x v="0"/>
    <n v="0.72398997456257996"/>
    <n v="2E+20"/>
    <n v="0"/>
    <n v="15"/>
    <n v="0"/>
    <n v="0"/>
    <s v="Unnamed ProjectQueue for Docking at A.QueueNumber WaitingQueue"/>
    <n v="6"/>
    <n v="3.8538394469814019"/>
    <n v="5.0707029365166481"/>
    <n v="0.95"/>
    <n v="5.3213763809057966"/>
    <n v="0"/>
    <n v="13.0230562536926"/>
    <n v="5.3213763809057966"/>
  </r>
  <r>
    <x v="0"/>
    <s v="2025-03-22 19:51:35"/>
    <n v="6"/>
    <x v="5"/>
    <x v="0"/>
    <x v="0"/>
    <n v="6.2428556077137598E-4"/>
    <n v="2E+20"/>
    <n v="0"/>
    <n v="1"/>
    <n v="0"/>
    <n v="0"/>
    <s v="Unnamed ProjectQueue for Docking at B.QueueNumber WaitingQueue"/>
    <n v="6"/>
    <n v="3.3364997094268798"/>
    <n v="5.1259202785468743"/>
    <n v="0.95"/>
    <n v="5.3793234275726425"/>
    <n v="6.2428556077137598E-4"/>
    <n v="10.7783398635915"/>
    <n v="5.3793234275726425"/>
  </r>
  <r>
    <x v="0"/>
    <s v="2025-03-22 19:51:35"/>
    <n v="6"/>
    <x v="6"/>
    <x v="0"/>
    <x v="0"/>
    <n v="0.28259624337913702"/>
    <n v="2E+20"/>
    <n v="0"/>
    <n v="7"/>
    <n v="0"/>
    <n v="0"/>
    <s v="Unnamed ProjectQueue for Docking at C.QueueNumber WaitingQueue"/>
    <n v="6"/>
    <n v="14.961257988688999"/>
    <n v="14.647258364149341"/>
    <n v="0.95"/>
    <n v="15.371354954102877"/>
    <n v="0.28259624337913702"/>
    <n v="34.036846707370998"/>
    <n v="15.371354954102877"/>
  </r>
  <r>
    <x v="0"/>
    <s v="2025-03-22 19:51:35"/>
    <n v="6"/>
    <x v="7"/>
    <x v="0"/>
    <x v="0"/>
    <n v="22.328191986373401"/>
    <n v="3E+20"/>
    <n v="0"/>
    <n v="57"/>
    <n v="31"/>
    <n v="0"/>
    <s v="Unnamed ProjectQueue for Docking at D.QueueNumber WaitingQueue"/>
    <n v="6"/>
    <n v="4.504269482000911"/>
    <n v="8.7861878502064386"/>
    <n v="0.95"/>
    <n v="9.2205386688277198"/>
    <n v="7.7044974755912404E-2"/>
    <n v="22.328191986373401"/>
    <n v="9.2205386688277198"/>
  </r>
  <r>
    <x v="0"/>
    <s v="2025-03-22 19:51:35"/>
    <n v="6"/>
    <x v="8"/>
    <x v="1"/>
    <x v="1"/>
    <n v="74.909530253311303"/>
    <n v="3E+20"/>
    <n v="0"/>
    <n v="119"/>
    <n v="77"/>
    <n v="0"/>
    <s v="Unnamed ProjectTouristWIPEntity"/>
    <n v="6"/>
    <n v="73.428010105270019"/>
    <n v="8.1951393774792543"/>
    <n v="0.95"/>
    <n v="8.6002713366417218"/>
    <n v="62.819573565301503"/>
    <n v="84.8623030031805"/>
    <n v="8.600271336641721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0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1"/>
        <item x="2"/>
      </items>
    </pivotField>
    <pivotField axis="axisRow" compact="0" outline="0" showAll="0" defaultSubtotal="0">
      <items count="7">
        <item x="1"/>
        <item x="0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1"/>
        <item m="1" x="3"/>
        <item x="0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3">
        <item m="1" x="24"/>
        <item m="1" x="15"/>
        <item m="1" x="31"/>
        <item m="1" x="40"/>
        <item m="1" x="53"/>
        <item m="1" x="52"/>
        <item m="1" x="16"/>
        <item m="1" x="117"/>
        <item m="1" x="95"/>
        <item m="1" x="58"/>
        <item m="1" x="45"/>
        <item m="1" x="49"/>
        <item m="1" x="131"/>
        <item m="1" x="34"/>
        <item m="1" x="116"/>
        <item m="1" x="38"/>
        <item m="1" x="89"/>
        <item m="1" x="103"/>
        <item m="1" x="13"/>
        <item m="1" x="39"/>
        <item m="1" x="126"/>
        <item m="1" x="28"/>
        <item m="1" x="118"/>
        <item m="1" x="17"/>
        <item m="1" x="44"/>
        <item m="1" x="70"/>
        <item m="1" x="14"/>
        <item m="1" x="20"/>
        <item m="1" x="90"/>
        <item m="1" x="71"/>
        <item m="1" x="105"/>
        <item m="1" x="61"/>
        <item m="1" x="25"/>
        <item m="1" x="55"/>
        <item m="1" x="91"/>
        <item m="1" x="76"/>
        <item m="1" x="26"/>
        <item m="1" x="36"/>
        <item m="1" x="98"/>
        <item m="1" x="12"/>
        <item m="1" x="125"/>
        <item m="1" x="83"/>
        <item m="1" x="23"/>
        <item m="1" x="108"/>
        <item m="1" x="54"/>
        <item m="1" x="127"/>
        <item m="1" x="88"/>
        <item m="1" x="30"/>
        <item m="1" x="75"/>
        <item m="1" x="94"/>
        <item m="1" x="107"/>
        <item m="1" x="115"/>
        <item m="1" x="124"/>
        <item m="1" x="11"/>
        <item m="1" x="29"/>
        <item m="1" x="43"/>
        <item m="1" x="32"/>
        <item m="1" x="10"/>
        <item m="1" x="104"/>
        <item m="1" x="121"/>
        <item m="1" x="47"/>
        <item m="1" x="82"/>
        <item m="1" x="35"/>
        <item m="1" x="56"/>
        <item m="1" x="41"/>
        <item m="1" x="65"/>
        <item m="1" x="50"/>
        <item m="1" x="72"/>
        <item m="1" x="57"/>
        <item m="1" x="84"/>
        <item m="1" x="66"/>
        <item m="1" x="92"/>
        <item m="1" x="73"/>
        <item m="1" x="101"/>
        <item m="1" x="85"/>
        <item m="1" x="106"/>
        <item m="1" x="93"/>
        <item m="1" x="110"/>
        <item m="1" x="122"/>
        <item m="1" x="112"/>
        <item m="1" x="96"/>
        <item m="1" x="69"/>
        <item m="1" x="48"/>
        <item m="1" x="63"/>
        <item m="1" x="27"/>
        <item m="1" x="33"/>
        <item m="1" x="42"/>
        <item m="1" x="46"/>
        <item m="1" x="78"/>
        <item m="1" x="123"/>
        <item m="1" x="113"/>
        <item m="1" x="97"/>
        <item m="1" x="64"/>
        <item m="1" x="132"/>
        <item m="1" x="80"/>
        <item m="1" x="68"/>
        <item m="1" x="100"/>
        <item m="1" x="81"/>
        <item m="1" x="60"/>
        <item m="1" x="67"/>
        <item m="1" x="21"/>
        <item m="1" x="86"/>
        <item m="1" x="102"/>
        <item m="1" x="111"/>
        <item m="1" x="119"/>
        <item m="1" x="130"/>
        <item m="1" x="18"/>
        <item m="1" x="37"/>
        <item m="1" x="129"/>
        <item m="1" x="19"/>
        <item m="1" x="87"/>
        <item m="1" x="62"/>
        <item m="1" x="77"/>
        <item m="1" x="22"/>
        <item m="1" x="128"/>
        <item m="1" x="109"/>
        <item m="1" x="59"/>
        <item m="1" x="120"/>
        <item m="1" x="79"/>
        <item m="1" x="99"/>
        <item m="1" x="114"/>
        <item m="1" x="51"/>
        <item m="1" x="74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7">
        <item m="1" x="6"/>
        <item m="1" x="4"/>
        <item m="1" x="3"/>
        <item x="0"/>
        <item x="1"/>
        <item m="1" x="5"/>
        <item m="1" x="2"/>
      </items>
    </pivotField>
    <pivotField axis="axisRow" compact="0" outline="0" showAll="0" defaultSubtotal="0">
      <items count="5">
        <item x="1"/>
        <item x="0"/>
        <item m="1" x="3"/>
        <item m="1" x="4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5" tableType="queryTable" totalsRowShown="0">
  <autoFilter ref="A1:Y85" xr:uid="{C3D003CA-1AFF-426C-A03D-D3AF5760DF1A}"/>
  <sortState xmlns:xlrd2="http://schemas.microsoft.com/office/spreadsheetml/2017/richdata2" ref="A2:Y85">
    <sortCondition ref="D1:D8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55" tableType="queryTable" totalsRowShown="0">
  <autoFilter ref="A1:U5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9" tableType="queryTable" totalsRowShown="0">
  <autoFilter ref="A1:P19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6" x14ac:dyDescent="0.4"/>
  <cols>
    <col min="1" max="1" width="15.23046875" bestFit="1" customWidth="1"/>
    <col min="2" max="2" width="80.61328125" bestFit="1" customWidth="1"/>
    <col min="3" max="3" width="17.765625" bestFit="1" customWidth="1"/>
    <col min="4" max="4" width="11.4609375" bestFit="1" customWidth="1"/>
    <col min="5" max="5" width="22.07421875" bestFit="1" customWidth="1"/>
    <col min="6" max="6" width="23.53515625" bestFit="1" customWidth="1"/>
    <col min="7" max="7" width="18.84375" bestFit="1" customWidth="1"/>
    <col min="8" max="10" width="19.4609375" bestFit="1" customWidth="1"/>
    <col min="11" max="11" width="19.4609375" customWidth="1"/>
  </cols>
  <sheetData>
    <row r="1" spans="1:7" x14ac:dyDescent="0.4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4">
      <c r="A2" t="s">
        <v>67</v>
      </c>
      <c r="B2" t="s">
        <v>68</v>
      </c>
      <c r="C2" t="s">
        <v>69</v>
      </c>
      <c r="D2">
        <v>2</v>
      </c>
      <c r="E2">
        <v>6</v>
      </c>
      <c r="F2">
        <v>2160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6"/>
  <sheetViews>
    <sheetView tabSelected="1" workbookViewId="0"/>
  </sheetViews>
  <sheetFormatPr defaultRowHeight="14.6" x14ac:dyDescent="0.4"/>
  <cols>
    <col min="1" max="1" width="33.23046875" customWidth="1"/>
    <col min="2" max="2" width="28.69140625" bestFit="1" customWidth="1"/>
    <col min="3" max="3" width="12.53515625" bestFit="1" customWidth="1"/>
    <col min="4" max="4" width="8.69140625" bestFit="1" customWidth="1"/>
    <col min="5" max="5" width="28.15234375" bestFit="1" customWidth="1"/>
    <col min="6" max="6" width="19.23046875" bestFit="1" customWidth="1"/>
    <col min="7" max="7" width="11.84375" bestFit="1" customWidth="1"/>
    <col min="8" max="8" width="26.15234375" bestFit="1" customWidth="1"/>
    <col min="9" max="9" width="26.23046875" bestFit="1" customWidth="1"/>
    <col min="10" max="10" width="26.61328125" bestFit="1" customWidth="1"/>
    <col min="11" max="11" width="15.765625" bestFit="1" customWidth="1"/>
    <col min="12" max="12" width="16.15234375" bestFit="1" customWidth="1"/>
    <col min="13" max="13" width="28.61328125" bestFit="1" customWidth="1"/>
    <col min="14" max="14" width="27.69140625" bestFit="1" customWidth="1"/>
    <col min="15" max="15" width="18.69140625" bestFit="1" customWidth="1"/>
    <col min="16" max="16" width="12" bestFit="1" customWidth="1"/>
    <col min="17" max="17" width="12.53515625" bestFit="1" customWidth="1"/>
    <col min="18" max="18" width="8.69140625" bestFit="1" customWidth="1"/>
    <col min="19" max="19" width="28.15234375" bestFit="1" customWidth="1"/>
    <col min="20" max="20" width="11.84375" bestFit="1" customWidth="1"/>
    <col min="21" max="21" width="26.15234375" bestFit="1" customWidth="1"/>
    <col min="22" max="22" width="21.3828125" bestFit="1" customWidth="1"/>
    <col min="23" max="23" width="21.765625" bestFit="1" customWidth="1"/>
    <col min="24" max="24" width="15.765625" bestFit="1" customWidth="1"/>
    <col min="25" max="25" width="16.15234375" bestFit="1" customWidth="1"/>
    <col min="26" max="26" width="16.3046875" bestFit="1" customWidth="1"/>
    <col min="27" max="27" width="20.69140625" bestFit="1" customWidth="1"/>
    <col min="28" max="28" width="24.69140625" bestFit="1" customWidth="1"/>
    <col min="29" max="29" width="12" bestFit="1" customWidth="1"/>
    <col min="30" max="30" width="8.69140625" bestFit="1" customWidth="1"/>
    <col min="31" max="31" width="24.23046875" bestFit="1" customWidth="1"/>
    <col min="32" max="32" width="9.921875" bestFit="1" customWidth="1"/>
    <col min="33" max="33" width="28.69140625" bestFit="1" customWidth="1"/>
    <col min="34" max="34" width="19.23046875" bestFit="1" customWidth="1"/>
    <col min="35" max="35" width="19.61328125" bestFit="1" customWidth="1"/>
    <col min="36" max="36" width="19.84375" bestFit="1" customWidth="1"/>
    <col min="37" max="37" width="32.3046875" bestFit="1" customWidth="1"/>
    <col min="38" max="38" width="24.69140625" bestFit="1" customWidth="1"/>
    <col min="39" max="39" width="12" bestFit="1" customWidth="1"/>
    <col min="40" max="40" width="8.69140625" bestFit="1" customWidth="1"/>
    <col min="41" max="41" width="24.23046875" bestFit="1" customWidth="1"/>
    <col min="42" max="42" width="11.84375" bestFit="1" customWidth="1"/>
    <col min="43" max="43" width="28.69140625" bestFit="1" customWidth="1"/>
    <col min="44" max="44" width="19.23046875" bestFit="1" customWidth="1"/>
    <col min="45" max="45" width="19.61328125" bestFit="1" customWidth="1"/>
    <col min="46" max="46" width="19.84375" bestFit="1" customWidth="1"/>
    <col min="47" max="47" width="14.84375" bestFit="1" customWidth="1"/>
    <col min="48" max="48" width="20.69140625" bestFit="1" customWidth="1"/>
    <col min="49" max="49" width="26.3046875" bestFit="1" customWidth="1"/>
    <col min="50" max="50" width="8.69140625" bestFit="1" customWidth="1"/>
    <col min="51" max="51" width="25.69140625" bestFit="1" customWidth="1"/>
    <col min="52" max="52" width="26.53515625" bestFit="1" customWidth="1"/>
    <col min="53" max="53" width="27" bestFit="1" customWidth="1"/>
    <col min="54" max="54" width="24.84375" bestFit="1" customWidth="1"/>
    <col min="55" max="55" width="29.23046875" bestFit="1" customWidth="1"/>
    <col min="56" max="56" width="31.84375" bestFit="1" customWidth="1"/>
    <col min="57" max="57" width="21.765625" bestFit="1" customWidth="1"/>
  </cols>
  <sheetData>
    <row r="1" spans="1:52" ht="18.45" x14ac:dyDescent="0.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4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4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555.83333333333337</v>
      </c>
      <c r="O3" t="s">
        <v>67</v>
      </c>
      <c r="P3" t="s">
        <v>70</v>
      </c>
      <c r="Q3" t="s">
        <v>88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90</v>
      </c>
      <c r="AM3" t="s">
        <v>91</v>
      </c>
      <c r="AN3" t="s">
        <v>92</v>
      </c>
      <c r="AO3" s="5">
        <v>680.16666666666663</v>
      </c>
      <c r="AP3" s="5">
        <v>48.074767696407768</v>
      </c>
      <c r="AQ3" s="5">
        <v>45.810115331296281</v>
      </c>
      <c r="AR3" s="5">
        <v>628</v>
      </c>
      <c r="AS3" s="5">
        <v>758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4">
      <c r="B4" t="s">
        <v>73</v>
      </c>
      <c r="C4" t="s">
        <v>71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558.5</v>
      </c>
      <c r="P4" t="s">
        <v>73</v>
      </c>
      <c r="Q4" t="s">
        <v>88</v>
      </c>
      <c r="R4" t="s">
        <v>72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L4" t="s">
        <v>93</v>
      </c>
      <c r="AM4" t="s">
        <v>94</v>
      </c>
      <c r="AN4" t="s">
        <v>82</v>
      </c>
      <c r="AO4" s="5">
        <v>778.33333333333337</v>
      </c>
      <c r="AP4" s="5">
        <v>32.336697977424173</v>
      </c>
      <c r="AQ4" s="5">
        <v>30.813416991087934</v>
      </c>
      <c r="AR4" s="5">
        <v>751</v>
      </c>
      <c r="AS4" s="5">
        <v>835</v>
      </c>
    </row>
    <row r="5" spans="1:52" x14ac:dyDescent="0.4">
      <c r="B5" t="s">
        <v>74</v>
      </c>
      <c r="C5" t="s">
        <v>71</v>
      </c>
      <c r="D5" t="s">
        <v>72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535.16666666666663</v>
      </c>
      <c r="P5" t="s">
        <v>74</v>
      </c>
      <c r="Q5" t="s">
        <v>88</v>
      </c>
      <c r="R5" t="s">
        <v>72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L5" t="s">
        <v>95</v>
      </c>
      <c r="AM5" t="s">
        <v>91</v>
      </c>
      <c r="AN5" t="s">
        <v>82</v>
      </c>
      <c r="AO5" s="5">
        <v>680.16666666666663</v>
      </c>
      <c r="AP5" s="5">
        <v>48.074767696407768</v>
      </c>
      <c r="AQ5" s="5">
        <v>45.810115331296281</v>
      </c>
      <c r="AR5" s="5">
        <v>628</v>
      </c>
      <c r="AS5" s="5">
        <v>758</v>
      </c>
    </row>
    <row r="6" spans="1:52" x14ac:dyDescent="0.4">
      <c r="B6" t="s">
        <v>75</v>
      </c>
      <c r="C6" t="s">
        <v>71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541.66666666666663</v>
      </c>
      <c r="P6" t="s">
        <v>75</v>
      </c>
      <c r="Q6" t="s">
        <v>88</v>
      </c>
      <c r="R6" t="s">
        <v>72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</row>
    <row r="7" spans="1:52" x14ac:dyDescent="0.4">
      <c r="B7" t="s">
        <v>76</v>
      </c>
      <c r="C7" t="s">
        <v>71</v>
      </c>
      <c r="D7" t="s">
        <v>72</v>
      </c>
      <c r="E7" s="5">
        <v>15.588140986845083</v>
      </c>
      <c r="F7" s="5">
        <v>1</v>
      </c>
      <c r="G7" s="5">
        <v>21.884784882085182</v>
      </c>
      <c r="H7" s="5">
        <v>20.853860923052228</v>
      </c>
      <c r="I7" s="5">
        <v>0</v>
      </c>
      <c r="J7" s="5">
        <v>53.839244484964098</v>
      </c>
      <c r="K7" s="5">
        <v>0</v>
      </c>
      <c r="L7" s="5">
        <v>199.8029613718</v>
      </c>
      <c r="M7" s="5">
        <v>538.16666666666663</v>
      </c>
      <c r="P7" t="s">
        <v>76</v>
      </c>
      <c r="Q7" t="s">
        <v>88</v>
      </c>
      <c r="R7" t="s">
        <v>72</v>
      </c>
      <c r="S7" s="5">
        <v>3.8538394469814019</v>
      </c>
      <c r="T7" s="5">
        <v>5.3213763809057966</v>
      </c>
      <c r="U7" s="5">
        <v>5.0707029365166481</v>
      </c>
      <c r="V7" s="5">
        <v>0</v>
      </c>
      <c r="W7" s="5">
        <v>13.0230562536926</v>
      </c>
      <c r="X7" s="5">
        <v>0</v>
      </c>
      <c r="Y7" s="5">
        <v>48</v>
      </c>
    </row>
    <row r="8" spans="1:52" x14ac:dyDescent="0.4">
      <c r="B8" t="s">
        <v>77</v>
      </c>
      <c r="C8" t="s">
        <v>71</v>
      </c>
      <c r="D8" t="s">
        <v>72</v>
      </c>
      <c r="E8" s="5">
        <v>11.244430457422986</v>
      </c>
      <c r="F8" s="5">
        <v>1</v>
      </c>
      <c r="G8" s="5">
        <v>18.626412875273257</v>
      </c>
      <c r="H8" s="5">
        <v>17.748980658899125</v>
      </c>
      <c r="I8" s="5">
        <v>2.2701293118959202E-3</v>
      </c>
      <c r="J8" s="5">
        <v>40.750758417583697</v>
      </c>
      <c r="K8" s="5">
        <v>0</v>
      </c>
      <c r="L8" s="5">
        <v>191.856268017698</v>
      </c>
      <c r="M8" s="5">
        <v>539.66666666666663</v>
      </c>
      <c r="P8" t="s">
        <v>77</v>
      </c>
      <c r="Q8" t="s">
        <v>88</v>
      </c>
      <c r="R8" t="s">
        <v>72</v>
      </c>
      <c r="S8" s="5">
        <v>3.3364997094268798</v>
      </c>
      <c r="T8" s="5">
        <v>5.3793234275726425</v>
      </c>
      <c r="U8" s="5">
        <v>5.1259202785468743</v>
      </c>
      <c r="V8" s="5">
        <v>6.2428556077137598E-4</v>
      </c>
      <c r="W8" s="5">
        <v>10.7783398635915</v>
      </c>
      <c r="X8" s="5">
        <v>0</v>
      </c>
      <c r="Y8" s="5">
        <v>59</v>
      </c>
    </row>
    <row r="9" spans="1:52" x14ac:dyDescent="0.4">
      <c r="B9" t="s">
        <v>78</v>
      </c>
      <c r="C9" t="s">
        <v>71</v>
      </c>
      <c r="D9" t="s">
        <v>72</v>
      </c>
      <c r="E9" s="5">
        <v>58.159394861677356</v>
      </c>
      <c r="F9" s="5">
        <v>1</v>
      </c>
      <c r="G9" s="5">
        <v>59.942664108465443</v>
      </c>
      <c r="H9" s="5">
        <v>57.118952158330259</v>
      </c>
      <c r="I9" s="5">
        <v>1.00893865404783</v>
      </c>
      <c r="J9" s="5">
        <v>134.44315161642999</v>
      </c>
      <c r="K9" s="5">
        <v>0</v>
      </c>
      <c r="L9" s="5">
        <v>230.07635426370001</v>
      </c>
      <c r="M9" s="5">
        <v>530.66666666666663</v>
      </c>
      <c r="P9" t="s">
        <v>78</v>
      </c>
      <c r="Q9" t="s">
        <v>88</v>
      </c>
      <c r="R9" t="s">
        <v>72</v>
      </c>
      <c r="S9" s="5">
        <v>14.961257988688999</v>
      </c>
      <c r="T9" s="5">
        <v>15.371354954102877</v>
      </c>
      <c r="U9" s="5">
        <v>14.647258364149341</v>
      </c>
      <c r="V9" s="5">
        <v>0.28259624337913702</v>
      </c>
      <c r="W9" s="5">
        <v>34.036846707370998</v>
      </c>
      <c r="X9" s="5">
        <v>0</v>
      </c>
      <c r="Y9" s="5">
        <v>68</v>
      </c>
    </row>
    <row r="10" spans="1:52" x14ac:dyDescent="0.4">
      <c r="B10" t="s">
        <v>79</v>
      </c>
      <c r="C10" t="s">
        <v>71</v>
      </c>
      <c r="D10" t="s">
        <v>72</v>
      </c>
      <c r="E10" s="5">
        <v>16.419074498684271</v>
      </c>
      <c r="F10" s="5">
        <v>1</v>
      </c>
      <c r="G10" s="5">
        <v>32.690044962808059</v>
      </c>
      <c r="H10" s="5">
        <v>31.15011890204925</v>
      </c>
      <c r="I10" s="5">
        <v>0.33893512316246599</v>
      </c>
      <c r="J10" s="5">
        <v>79.511079148315702</v>
      </c>
      <c r="K10" s="5">
        <v>0</v>
      </c>
      <c r="L10" s="5">
        <v>202.09687479487201</v>
      </c>
      <c r="M10" s="5">
        <v>526.66666666666663</v>
      </c>
      <c r="P10" t="s">
        <v>79</v>
      </c>
      <c r="Q10" t="s">
        <v>88</v>
      </c>
      <c r="R10" t="s">
        <v>72</v>
      </c>
      <c r="S10" s="5">
        <v>4.504269482000911</v>
      </c>
      <c r="T10" s="5">
        <v>9.2205386688277198</v>
      </c>
      <c r="U10" s="5">
        <v>8.7861878502064386</v>
      </c>
      <c r="V10" s="5">
        <v>7.7044974755912404E-2</v>
      </c>
      <c r="W10" s="5">
        <v>22.328191986373401</v>
      </c>
      <c r="X10" s="5">
        <v>0</v>
      </c>
      <c r="Y10" s="5">
        <v>57</v>
      </c>
    </row>
    <row r="11" spans="1:52" x14ac:dyDescent="0.4">
      <c r="B11" t="s">
        <v>80</v>
      </c>
      <c r="C11" t="s">
        <v>81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680.16666666666663</v>
      </c>
      <c r="P11" t="s">
        <v>80</v>
      </c>
      <c r="Q11" t="s">
        <v>89</v>
      </c>
      <c r="R11" t="s">
        <v>82</v>
      </c>
      <c r="S11" s="5">
        <v>73.428010105270019</v>
      </c>
      <c r="T11" s="5">
        <v>8.6002713366417218</v>
      </c>
      <c r="U11" s="5">
        <v>8.1951393774792543</v>
      </c>
      <c r="V11" s="5">
        <v>62.819573565301503</v>
      </c>
      <c r="W11" s="5">
        <v>84.8623030031805</v>
      </c>
      <c r="X11" s="5">
        <v>0</v>
      </c>
      <c r="Y11" s="5">
        <v>126</v>
      </c>
    </row>
    <row r="12" spans="1:52" x14ac:dyDescent="0.4">
      <c r="C12" t="s">
        <v>83</v>
      </c>
      <c r="D12" t="s">
        <v>82</v>
      </c>
      <c r="E12" s="5">
        <v>118.2268725490495</v>
      </c>
      <c r="F12" s="5">
        <v>1</v>
      </c>
      <c r="G12" s="5">
        <v>1.0174463084103793</v>
      </c>
      <c r="H12" s="5">
        <v>0.96951758614870753</v>
      </c>
      <c r="I12" s="5">
        <v>116.877699464787</v>
      </c>
      <c r="J12" s="5">
        <v>119.13871888067</v>
      </c>
      <c r="K12" s="5">
        <v>55.773522793583801</v>
      </c>
      <c r="L12" s="5">
        <v>188.12068151584799</v>
      </c>
      <c r="M12" s="5">
        <v>680.16666666666663</v>
      </c>
    </row>
    <row r="13" spans="1:52" x14ac:dyDescent="0.4">
      <c r="C13" t="s">
        <v>84</v>
      </c>
      <c r="D13" t="s">
        <v>82</v>
      </c>
      <c r="E13" s="5">
        <v>211.07550048138819</v>
      </c>
      <c r="F13" s="5">
        <v>1</v>
      </c>
      <c r="G13" s="5">
        <v>29.061106683402102</v>
      </c>
      <c r="H13" s="5">
        <v>27.692128586639679</v>
      </c>
      <c r="I13" s="5">
        <v>179.863083236368</v>
      </c>
      <c r="J13" s="5">
        <v>251.359891846279</v>
      </c>
      <c r="K13" s="5">
        <v>75.738103637758201</v>
      </c>
      <c r="L13" s="5">
        <v>550.38404454841998</v>
      </c>
      <c r="M13" s="5">
        <v>680.16666666666663</v>
      </c>
    </row>
    <row r="14" spans="1:52" x14ac:dyDescent="0.4">
      <c r="C14" t="s">
        <v>85</v>
      </c>
      <c r="D14" t="s">
        <v>82</v>
      </c>
      <c r="E14" s="5">
        <v>19.743593350365519</v>
      </c>
      <c r="F14" s="5">
        <v>1</v>
      </c>
      <c r="G14" s="5">
        <v>0.36221475544447534</v>
      </c>
      <c r="H14" s="5">
        <v>0.34515194803215987</v>
      </c>
      <c r="I14" s="5">
        <v>19.1857398398508</v>
      </c>
      <c r="J14" s="5">
        <v>20.1872707445347</v>
      </c>
      <c r="K14" s="5">
        <v>6.4051840405065796</v>
      </c>
      <c r="L14" s="5">
        <v>49.133216198834397</v>
      </c>
      <c r="M14" s="5">
        <v>680.16666666666663</v>
      </c>
    </row>
    <row r="15" spans="1:52" x14ac:dyDescent="0.4">
      <c r="C15" t="s">
        <v>86</v>
      </c>
      <c r="D15" t="s">
        <v>82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680.16666666666663</v>
      </c>
    </row>
    <row r="16" spans="1:52" x14ac:dyDescent="0.4">
      <c r="C16" t="s">
        <v>87</v>
      </c>
      <c r="D16" t="s">
        <v>82</v>
      </c>
      <c r="E16" s="5">
        <v>73.105034581973271</v>
      </c>
      <c r="F16" s="5">
        <v>1</v>
      </c>
      <c r="G16" s="5">
        <v>30.097293205130342</v>
      </c>
      <c r="H16" s="5">
        <v>28.679503593105959</v>
      </c>
      <c r="I16" s="5">
        <v>41.600262236705198</v>
      </c>
      <c r="J16" s="5">
        <v>114.98252618513099</v>
      </c>
      <c r="K16" s="5">
        <v>0</v>
      </c>
      <c r="L16" s="5">
        <v>382.26122678645902</v>
      </c>
      <c r="M16" s="5">
        <v>680.16666666666663</v>
      </c>
    </row>
  </sheetData>
  <dataConsolidate/>
  <conditionalFormatting pivot="1" sqref="G3:G16">
    <cfRule type="expression" dxfId="29" priority="10">
      <formula>G3=200000000000000000000</formula>
    </cfRule>
  </conditionalFormatting>
  <conditionalFormatting pivot="1" sqref="T3:T11">
    <cfRule type="expression" dxfId="28" priority="9">
      <formula>T3=200000000000000000000</formula>
    </cfRule>
  </conditionalFormatting>
  <conditionalFormatting pivot="1" sqref="T3:T11">
    <cfRule type="expression" dxfId="27" priority="8">
      <formula>T3=300000000000000000000</formula>
    </cfRule>
  </conditionalFormatting>
  <conditionalFormatting pivot="1" sqref="G3:G16">
    <cfRule type="expression" dxfId="26" priority="7">
      <formula>G3=300000000000000000000</formula>
    </cfRule>
  </conditionalFormatting>
  <conditionalFormatting pivot="1" sqref="F3:F16">
    <cfRule type="expression" dxfId="25" priority="6">
      <formula>F3=0</formula>
    </cfRule>
  </conditionalFormatting>
  <conditionalFormatting pivot="1" sqref="F3:F16">
    <cfRule type="expression" dxfId="24" priority="5">
      <formula>F3=1</formula>
    </cfRule>
  </conditionalFormatting>
  <conditionalFormatting pivot="1" sqref="T3:T11">
    <cfRule type="expression" dxfId="23" priority="4">
      <formula>T3=400000000000000000000</formula>
    </cfRule>
  </conditionalFormatting>
  <conditionalFormatting pivot="1" sqref="AP3:AP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6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5"/>
  <sheetViews>
    <sheetView workbookViewId="0">
      <selection activeCell="K2" sqref="K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2.15234375" bestFit="1" customWidth="1"/>
    <col min="6" max="6" width="8.69140625" bestFit="1" customWidth="1"/>
    <col min="7" max="7" width="11.84375" bestFit="1" customWidth="1"/>
    <col min="8" max="8" width="22.07421875" bestFit="1" customWidth="1"/>
    <col min="9" max="10" width="11.84375" bestFit="1" customWidth="1"/>
    <col min="11" max="11" width="20.921875" bestFit="1" customWidth="1"/>
    <col min="12" max="12" width="57.61328125" bestFit="1" customWidth="1"/>
    <col min="13" max="13" width="16" bestFit="1" customWidth="1"/>
    <col min="14" max="14" width="18.69140625" bestFit="1" customWidth="1"/>
    <col min="15" max="15" width="16.69140625" bestFit="1" customWidth="1"/>
    <col min="16" max="16" width="18.84375" bestFit="1" customWidth="1"/>
    <col min="17" max="17" width="11.84375" bestFit="1" customWidth="1"/>
    <col min="18" max="18" width="18" bestFit="1" customWidth="1"/>
    <col min="19" max="19" width="18.3828125" bestFit="1" customWidth="1"/>
    <col min="20" max="20" width="17.15234375" bestFit="1" customWidth="1"/>
    <col min="21" max="21" width="17.53515625" bestFit="1" customWidth="1"/>
    <col min="22" max="22" width="27.84375" bestFit="1" customWidth="1"/>
    <col min="23" max="23" width="19.53515625" bestFit="1" customWidth="1"/>
    <col min="24" max="24" width="22.53515625" bestFit="1" customWidth="1"/>
    <col min="25" max="25" width="21" bestFit="1" customWidth="1"/>
  </cols>
  <sheetData>
    <row r="1" spans="1:2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4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577</v>
      </c>
      <c r="L2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6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6</v>
      </c>
      <c r="Y2">
        <f>IF(DiscreteStatsTable[[#This Row],[RepsRequested]]=DiscreteStatsTable[[#This Row],[RepsWithStatObserved]],1,0)</f>
        <v>1</v>
      </c>
    </row>
    <row r="3" spans="1:25" x14ac:dyDescent="0.4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0</v>
      </c>
      <c r="I3">
        <v>0</v>
      </c>
      <c r="J3">
        <v>0</v>
      </c>
      <c r="K3">
        <v>568</v>
      </c>
      <c r="L3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6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6</v>
      </c>
      <c r="Y3">
        <f>IF(DiscreteStatsTable[[#This Row],[RepsRequested]]=DiscreteStatsTable[[#This Row],[RepsWithStatObserved]],1,0)</f>
        <v>1</v>
      </c>
    </row>
    <row r="4" spans="1:25" x14ac:dyDescent="0.4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0</v>
      </c>
      <c r="I4">
        <v>0</v>
      </c>
      <c r="J4">
        <v>0</v>
      </c>
      <c r="K4">
        <v>510</v>
      </c>
      <c r="L4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6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6</v>
      </c>
      <c r="Y4">
        <f>IF(DiscreteStatsTable[[#This Row],[RepsRequested]]=DiscreteStatsTable[[#This Row],[RepsWithStatObserved]],1,0)</f>
        <v>1</v>
      </c>
    </row>
    <row r="5" spans="1:25" x14ac:dyDescent="0.4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0</v>
      </c>
      <c r="I5">
        <v>0</v>
      </c>
      <c r="J5">
        <v>0</v>
      </c>
      <c r="K5">
        <v>544</v>
      </c>
      <c r="L5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6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6</v>
      </c>
      <c r="Y5">
        <f>IF(DiscreteStatsTable[[#This Row],[RepsRequested]]=DiscreteStatsTable[[#This Row],[RepsWithStatObserved]],1,0)</f>
        <v>1</v>
      </c>
    </row>
    <row r="6" spans="1:25" x14ac:dyDescent="0.4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0</v>
      </c>
      <c r="I6">
        <v>0</v>
      </c>
      <c r="J6">
        <v>0</v>
      </c>
      <c r="K6">
        <v>542</v>
      </c>
      <c r="L6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6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6</v>
      </c>
      <c r="Y6">
        <f>IF(DiscreteStatsTable[[#This Row],[RepsRequested]]=DiscreteStatsTable[[#This Row],[RepsWithStatObserved]],1,0)</f>
        <v>1</v>
      </c>
    </row>
    <row r="7" spans="1:25" x14ac:dyDescent="0.4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0</v>
      </c>
      <c r="I7">
        <v>0</v>
      </c>
      <c r="J7">
        <v>0</v>
      </c>
      <c r="K7">
        <v>594</v>
      </c>
      <c r="L7" t="str">
        <f>DiscreteStatsTable[[#This Row],[ProjectName]]&amp;DiscreteStatsTable[[#This Row],[Name]]&amp;DiscreteStatsTable[[#This Row],[Type]]&amp;DiscreteStatsTable[[#This Row],[Source]]</f>
        <v>Unnamed ProjectQueue Bicycle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6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555.83333333333337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6</v>
      </c>
      <c r="Y7">
        <f>IF(DiscreteStatsTable[[#This Row],[RepsRequested]]=DiscreteStatsTable[[#This Row],[RepsWithStatObserved]],1,0)</f>
        <v>1</v>
      </c>
    </row>
    <row r="8" spans="1:25" x14ac:dyDescent="0.4">
      <c r="A8" t="s">
        <v>67</v>
      </c>
      <c r="B8" t="s">
        <v>69</v>
      </c>
      <c r="C8">
        <v>1</v>
      </c>
      <c r="D8" t="s">
        <v>73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546</v>
      </c>
      <c r="L8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6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558.5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6</v>
      </c>
      <c r="Y8">
        <f>IF(DiscreteStatsTable[[#This Row],[RepsRequested]]=DiscreteStatsTable[[#This Row],[RepsWithStatObserved]],1,0)</f>
        <v>1</v>
      </c>
    </row>
    <row r="9" spans="1:25" x14ac:dyDescent="0.4">
      <c r="A9" t="s">
        <v>67</v>
      </c>
      <c r="B9" t="s">
        <v>69</v>
      </c>
      <c r="C9">
        <v>2</v>
      </c>
      <c r="D9" t="s">
        <v>73</v>
      </c>
      <c r="E9" t="s">
        <v>71</v>
      </c>
      <c r="F9" t="s">
        <v>72</v>
      </c>
      <c r="G9">
        <v>0</v>
      </c>
      <c r="H9">
        <v>0</v>
      </c>
      <c r="I9">
        <v>0</v>
      </c>
      <c r="J9">
        <v>0</v>
      </c>
      <c r="K9">
        <v>510</v>
      </c>
      <c r="L9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6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558.5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6</v>
      </c>
      <c r="Y9">
        <f>IF(DiscreteStatsTable[[#This Row],[RepsRequested]]=DiscreteStatsTable[[#This Row],[RepsWithStatObserved]],1,0)</f>
        <v>1</v>
      </c>
    </row>
    <row r="10" spans="1:25" x14ac:dyDescent="0.4">
      <c r="A10" t="s">
        <v>67</v>
      </c>
      <c r="B10" t="s">
        <v>69</v>
      </c>
      <c r="C10">
        <v>3</v>
      </c>
      <c r="D10" t="s">
        <v>73</v>
      </c>
      <c r="E10" t="s">
        <v>71</v>
      </c>
      <c r="F10" t="s">
        <v>72</v>
      </c>
      <c r="G10">
        <v>0</v>
      </c>
      <c r="H10">
        <v>0</v>
      </c>
      <c r="I10">
        <v>0</v>
      </c>
      <c r="J10">
        <v>0</v>
      </c>
      <c r="K10">
        <v>547</v>
      </c>
      <c r="L10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6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558.5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6</v>
      </c>
      <c r="Y10">
        <f>IF(DiscreteStatsTable[[#This Row],[RepsRequested]]=DiscreteStatsTable[[#This Row],[RepsWithStatObserved]],1,0)</f>
        <v>1</v>
      </c>
    </row>
    <row r="11" spans="1:25" x14ac:dyDescent="0.4">
      <c r="A11" t="s">
        <v>67</v>
      </c>
      <c r="B11" t="s">
        <v>69</v>
      </c>
      <c r="C11">
        <v>4</v>
      </c>
      <c r="D11" t="s">
        <v>73</v>
      </c>
      <c r="E11" t="s">
        <v>71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559</v>
      </c>
      <c r="L11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6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558.5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6</v>
      </c>
      <c r="Y11">
        <f>IF(DiscreteStatsTable[[#This Row],[RepsRequested]]=DiscreteStatsTable[[#This Row],[RepsWithStatObserved]],1,0)</f>
        <v>1</v>
      </c>
    </row>
    <row r="12" spans="1:25" x14ac:dyDescent="0.4">
      <c r="A12" t="s">
        <v>67</v>
      </c>
      <c r="B12" t="s">
        <v>69</v>
      </c>
      <c r="C12">
        <v>5</v>
      </c>
      <c r="D12" t="s">
        <v>73</v>
      </c>
      <c r="E12" t="s">
        <v>71</v>
      </c>
      <c r="F12" t="s">
        <v>72</v>
      </c>
      <c r="G12">
        <v>0</v>
      </c>
      <c r="H12">
        <v>0</v>
      </c>
      <c r="I12">
        <v>0</v>
      </c>
      <c r="J12">
        <v>0</v>
      </c>
      <c r="K12">
        <v>581</v>
      </c>
      <c r="L12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6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558.5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6</v>
      </c>
      <c r="Y12">
        <f>IF(DiscreteStatsTable[[#This Row],[RepsRequested]]=DiscreteStatsTable[[#This Row],[RepsWithStatObserved]],1,0)</f>
        <v>1</v>
      </c>
    </row>
    <row r="13" spans="1:25" x14ac:dyDescent="0.4">
      <c r="A13" t="s">
        <v>67</v>
      </c>
      <c r="B13" t="s">
        <v>69</v>
      </c>
      <c r="C13">
        <v>6</v>
      </c>
      <c r="D13" t="s">
        <v>73</v>
      </c>
      <c r="E13" t="s">
        <v>71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608</v>
      </c>
      <c r="L13" t="str">
        <f>DiscreteStatsTable[[#This Row],[ProjectName]]&amp;DiscreteStatsTable[[#This Row],[Name]]&amp;DiscreteStatsTable[[#This Row],[Type]]&amp;DiscreteStatsTable[[#This Row],[Source]]</f>
        <v>Unnamed ProjectQueue Bicycle B.QueueWaiting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6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558.5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6</v>
      </c>
      <c r="Y13">
        <f>IF(DiscreteStatsTable[[#This Row],[RepsRequested]]=DiscreteStatsTable[[#This Row],[RepsWithStatObserved]],1,0)</f>
        <v>1</v>
      </c>
    </row>
    <row r="14" spans="1:25" x14ac:dyDescent="0.4">
      <c r="A14" t="s">
        <v>67</v>
      </c>
      <c r="B14" t="s">
        <v>69</v>
      </c>
      <c r="C14">
        <v>1</v>
      </c>
      <c r="D14" t="s">
        <v>74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542</v>
      </c>
      <c r="L14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6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6</v>
      </c>
      <c r="Y14">
        <f>IF(DiscreteStatsTable[[#This Row],[RepsRequested]]=DiscreteStatsTable[[#This Row],[RepsWithStatObserved]],1,0)</f>
        <v>1</v>
      </c>
    </row>
    <row r="15" spans="1:25" x14ac:dyDescent="0.4">
      <c r="A15" t="s">
        <v>67</v>
      </c>
      <c r="B15" t="s">
        <v>69</v>
      </c>
      <c r="C15">
        <v>2</v>
      </c>
      <c r="D15" t="s">
        <v>74</v>
      </c>
      <c r="E15" t="s">
        <v>71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527</v>
      </c>
      <c r="L15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6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6</v>
      </c>
      <c r="Y15">
        <f>IF(DiscreteStatsTable[[#This Row],[RepsRequested]]=DiscreteStatsTable[[#This Row],[RepsWithStatObserved]],1,0)</f>
        <v>1</v>
      </c>
    </row>
    <row r="16" spans="1:25" x14ac:dyDescent="0.4">
      <c r="A16" t="s">
        <v>67</v>
      </c>
      <c r="B16" t="s">
        <v>69</v>
      </c>
      <c r="C16">
        <v>3</v>
      </c>
      <c r="D16" t="s">
        <v>74</v>
      </c>
      <c r="E16" t="s">
        <v>71</v>
      </c>
      <c r="F16" t="s">
        <v>72</v>
      </c>
      <c r="G16">
        <v>0</v>
      </c>
      <c r="H16">
        <v>0</v>
      </c>
      <c r="I16">
        <v>0</v>
      </c>
      <c r="J16">
        <v>0</v>
      </c>
      <c r="K16">
        <v>483</v>
      </c>
      <c r="L16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6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6</v>
      </c>
      <c r="Y16">
        <f>IF(DiscreteStatsTable[[#This Row],[RepsRequested]]=DiscreteStatsTable[[#This Row],[RepsWithStatObserved]],1,0)</f>
        <v>1</v>
      </c>
    </row>
    <row r="17" spans="1:25" x14ac:dyDescent="0.4">
      <c r="A17" t="s">
        <v>67</v>
      </c>
      <c r="B17" t="s">
        <v>69</v>
      </c>
      <c r="C17">
        <v>4</v>
      </c>
      <c r="D17" t="s">
        <v>74</v>
      </c>
      <c r="E17" t="s">
        <v>71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492</v>
      </c>
      <c r="L17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6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6</v>
      </c>
      <c r="Y17">
        <f>IF(DiscreteStatsTable[[#This Row],[RepsRequested]]=DiscreteStatsTable[[#This Row],[RepsWithStatObserved]],1,0)</f>
        <v>1</v>
      </c>
    </row>
    <row r="18" spans="1:25" x14ac:dyDescent="0.4">
      <c r="A18" t="s">
        <v>67</v>
      </c>
      <c r="B18" t="s">
        <v>69</v>
      </c>
      <c r="C18">
        <v>5</v>
      </c>
      <c r="D18" t="s">
        <v>74</v>
      </c>
      <c r="E18" t="s">
        <v>71</v>
      </c>
      <c r="F18" t="s">
        <v>72</v>
      </c>
      <c r="G18">
        <v>0</v>
      </c>
      <c r="H18">
        <v>0</v>
      </c>
      <c r="I18">
        <v>0</v>
      </c>
      <c r="J18">
        <v>0</v>
      </c>
      <c r="K18">
        <v>553</v>
      </c>
      <c r="L18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6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6</v>
      </c>
      <c r="Y18">
        <f>IF(DiscreteStatsTable[[#This Row],[RepsRequested]]=DiscreteStatsTable[[#This Row],[RepsWithStatObserved]],1,0)</f>
        <v>1</v>
      </c>
    </row>
    <row r="19" spans="1:25" x14ac:dyDescent="0.4">
      <c r="A19" t="s">
        <v>67</v>
      </c>
      <c r="B19" t="s">
        <v>69</v>
      </c>
      <c r="C19">
        <v>6</v>
      </c>
      <c r="D19" t="s">
        <v>74</v>
      </c>
      <c r="E19" t="s">
        <v>71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614</v>
      </c>
      <c r="L19" t="str">
        <f>DiscreteStatsTable[[#This Row],[ProjectName]]&amp;DiscreteStatsTable[[#This Row],[Name]]&amp;DiscreteStatsTable[[#This Row],[Type]]&amp;DiscreteStatsTable[[#This Row],[Source]]</f>
        <v>Unnamed ProjectQueue Bicycle C.QueueWaiting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6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535.16666666666663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6</v>
      </c>
      <c r="Y19">
        <f>IF(DiscreteStatsTable[[#This Row],[RepsRequested]]=DiscreteStatsTable[[#This Row],[RepsWithStatObserved]],1,0)</f>
        <v>1</v>
      </c>
    </row>
    <row r="20" spans="1:25" x14ac:dyDescent="0.4">
      <c r="A20" t="s">
        <v>67</v>
      </c>
      <c r="B20" t="s">
        <v>69</v>
      </c>
      <c r="C20">
        <v>1</v>
      </c>
      <c r="D20" t="s">
        <v>75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544</v>
      </c>
      <c r="L20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6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6</v>
      </c>
      <c r="Y20">
        <f>IF(DiscreteStatsTable[[#This Row],[RepsRequested]]=DiscreteStatsTable[[#This Row],[RepsWithStatObserved]],1,0)</f>
        <v>1</v>
      </c>
    </row>
    <row r="21" spans="1:25" x14ac:dyDescent="0.4">
      <c r="A21" t="s">
        <v>67</v>
      </c>
      <c r="B21" t="s">
        <v>69</v>
      </c>
      <c r="C21">
        <v>2</v>
      </c>
      <c r="D21" t="s">
        <v>75</v>
      </c>
      <c r="E21" t="s">
        <v>71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556</v>
      </c>
      <c r="L21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6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6</v>
      </c>
      <c r="Y21">
        <f>IF(DiscreteStatsTable[[#This Row],[RepsRequested]]=DiscreteStatsTable[[#This Row],[RepsWithStatObserved]],1,0)</f>
        <v>1</v>
      </c>
    </row>
    <row r="22" spans="1:25" x14ac:dyDescent="0.4">
      <c r="A22" t="s">
        <v>67</v>
      </c>
      <c r="B22" t="s">
        <v>69</v>
      </c>
      <c r="C22">
        <v>3</v>
      </c>
      <c r="D22" t="s">
        <v>75</v>
      </c>
      <c r="E22" t="s">
        <v>71</v>
      </c>
      <c r="F22" t="s">
        <v>72</v>
      </c>
      <c r="G22">
        <v>0</v>
      </c>
      <c r="H22">
        <v>0</v>
      </c>
      <c r="I22">
        <v>0</v>
      </c>
      <c r="J22">
        <v>0</v>
      </c>
      <c r="K22">
        <v>526</v>
      </c>
      <c r="L22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6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6</v>
      </c>
      <c r="Y22">
        <f>IF(DiscreteStatsTable[[#This Row],[RepsRequested]]=DiscreteStatsTable[[#This Row],[RepsWithStatObserved]],1,0)</f>
        <v>1</v>
      </c>
    </row>
    <row r="23" spans="1:25" x14ac:dyDescent="0.4">
      <c r="A23" t="s">
        <v>67</v>
      </c>
      <c r="B23" t="s">
        <v>69</v>
      </c>
      <c r="C23">
        <v>4</v>
      </c>
      <c r="D23" t="s">
        <v>75</v>
      </c>
      <c r="E23" t="s">
        <v>71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502</v>
      </c>
      <c r="L23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6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6</v>
      </c>
      <c r="Y23">
        <f>IF(DiscreteStatsTable[[#This Row],[RepsRequested]]=DiscreteStatsTable[[#This Row],[RepsWithStatObserved]],1,0)</f>
        <v>1</v>
      </c>
    </row>
    <row r="24" spans="1:25" x14ac:dyDescent="0.4">
      <c r="A24" t="s">
        <v>67</v>
      </c>
      <c r="B24" t="s">
        <v>69</v>
      </c>
      <c r="C24">
        <v>5</v>
      </c>
      <c r="D24" t="s">
        <v>75</v>
      </c>
      <c r="E24" t="s">
        <v>71</v>
      </c>
      <c r="F24" t="s">
        <v>72</v>
      </c>
      <c r="G24">
        <v>0</v>
      </c>
      <c r="H24">
        <v>0</v>
      </c>
      <c r="I24">
        <v>0</v>
      </c>
      <c r="J24">
        <v>0</v>
      </c>
      <c r="K24">
        <v>540</v>
      </c>
      <c r="L24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6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6</v>
      </c>
      <c r="Y24">
        <f>IF(DiscreteStatsTable[[#This Row],[RepsRequested]]=DiscreteStatsTable[[#This Row],[RepsWithStatObserved]],1,0)</f>
        <v>1</v>
      </c>
    </row>
    <row r="25" spans="1:25" x14ac:dyDescent="0.4">
      <c r="A25" t="s">
        <v>67</v>
      </c>
      <c r="B25" t="s">
        <v>69</v>
      </c>
      <c r="C25">
        <v>6</v>
      </c>
      <c r="D25" t="s">
        <v>75</v>
      </c>
      <c r="E25" t="s">
        <v>71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582</v>
      </c>
      <c r="L25" t="str">
        <f>DiscreteStatsTable[[#This Row],[ProjectName]]&amp;DiscreteStatsTable[[#This Row],[Name]]&amp;DiscreteStatsTable[[#This Row],[Type]]&amp;DiscreteStatsTable[[#This Row],[Source]]</f>
        <v>Unnamed ProjectQueue Bicycle D.QueueWaiting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6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541.66666666666663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6</v>
      </c>
      <c r="Y25">
        <f>IF(DiscreteStatsTable[[#This Row],[RepsRequested]]=DiscreteStatsTable[[#This Row],[RepsWithStatObserved]],1,0)</f>
        <v>1</v>
      </c>
    </row>
    <row r="26" spans="1:25" x14ac:dyDescent="0.4">
      <c r="A26" t="s">
        <v>67</v>
      </c>
      <c r="B26" t="s">
        <v>69</v>
      </c>
      <c r="C26">
        <v>1</v>
      </c>
      <c r="D26" t="s">
        <v>76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544</v>
      </c>
      <c r="L26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6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15.588140986845083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20.853860923052228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53.839244484964098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199.8029613718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6">
        <f>IF((DiscreteStatsTable[[#This Row],[RepsRequested]]&gt;1),DiscreteStatsTable[[#This Row],[HalfWidth]],DiscreteStatsTable[[#This Row],[BatchMeansHalfWidth]])</f>
        <v>21.884784882085182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6</v>
      </c>
      <c r="Y26">
        <f>IF(DiscreteStatsTable[[#This Row],[RepsRequested]]=DiscreteStatsTable[[#This Row],[RepsWithStatObserved]],1,0)</f>
        <v>1</v>
      </c>
    </row>
    <row r="27" spans="1:25" x14ac:dyDescent="0.4">
      <c r="A27" t="s">
        <v>67</v>
      </c>
      <c r="B27" t="s">
        <v>69</v>
      </c>
      <c r="C27">
        <v>2</v>
      </c>
      <c r="D27" t="s">
        <v>76</v>
      </c>
      <c r="E27" t="s">
        <v>71</v>
      </c>
      <c r="F27" t="s">
        <v>72</v>
      </c>
      <c r="G27">
        <v>25.0863108007925</v>
      </c>
      <c r="H27">
        <v>3E+20</v>
      </c>
      <c r="I27">
        <v>0</v>
      </c>
      <c r="J27">
        <v>98.344688457029207</v>
      </c>
      <c r="K27">
        <v>555</v>
      </c>
      <c r="L27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6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15.588140986845083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20.853860923052228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53.839244484964098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199.8029613718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7">
        <f>IF((DiscreteStatsTable[[#This Row],[RepsRequested]]&gt;1),DiscreteStatsTable[[#This Row],[HalfWidth]],DiscreteStatsTable[[#This Row],[BatchMeansHalfWidth]])</f>
        <v>21.884784882085182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6</v>
      </c>
      <c r="Y27">
        <f>IF(DiscreteStatsTable[[#This Row],[RepsRequested]]=DiscreteStatsTable[[#This Row],[RepsWithStatObserved]],1,0)</f>
        <v>1</v>
      </c>
    </row>
    <row r="28" spans="1:25" x14ac:dyDescent="0.4">
      <c r="A28" t="s">
        <v>67</v>
      </c>
      <c r="B28" t="s">
        <v>69</v>
      </c>
      <c r="C28">
        <v>3</v>
      </c>
      <c r="D28" t="s">
        <v>76</v>
      </c>
      <c r="E28" t="s">
        <v>71</v>
      </c>
      <c r="F28" t="s">
        <v>72</v>
      </c>
      <c r="G28">
        <v>53.839244484964098</v>
      </c>
      <c r="H28">
        <v>3E+20</v>
      </c>
      <c r="I28">
        <v>0</v>
      </c>
      <c r="J28">
        <v>199.8029613718</v>
      </c>
      <c r="K28">
        <v>510</v>
      </c>
      <c r="L28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6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15.588140986845083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20.853860923052228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53.839244484964098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199.8029613718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8">
        <f>IF((DiscreteStatsTable[[#This Row],[RepsRequested]]&gt;1),DiscreteStatsTable[[#This Row],[HalfWidth]],DiscreteStatsTable[[#This Row],[BatchMeansHalfWidth]])</f>
        <v>21.884784882085182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6</v>
      </c>
      <c r="Y28">
        <f>IF(DiscreteStatsTable[[#This Row],[RepsRequested]]=DiscreteStatsTable[[#This Row],[RepsWithStatObserved]],1,0)</f>
        <v>1</v>
      </c>
    </row>
    <row r="29" spans="1:25" x14ac:dyDescent="0.4">
      <c r="A29" t="s">
        <v>67</v>
      </c>
      <c r="B29" t="s">
        <v>69</v>
      </c>
      <c r="C29">
        <v>4</v>
      </c>
      <c r="D29" t="s">
        <v>76</v>
      </c>
      <c r="E29" t="s">
        <v>71</v>
      </c>
      <c r="F29" t="s">
        <v>72</v>
      </c>
      <c r="G29">
        <v>2.3332684614563899</v>
      </c>
      <c r="H29">
        <v>3E+20</v>
      </c>
      <c r="I29">
        <v>0</v>
      </c>
      <c r="J29">
        <v>63.8878232651929</v>
      </c>
      <c r="K29">
        <v>501</v>
      </c>
      <c r="L29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6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15.588140986845083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20.853860923052228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53.839244484964098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199.8029613718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29">
        <f>IF((DiscreteStatsTable[[#This Row],[RepsRequested]]&gt;1),DiscreteStatsTable[[#This Row],[HalfWidth]],DiscreteStatsTable[[#This Row],[BatchMeansHalfWidth]])</f>
        <v>21.884784882085182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6</v>
      </c>
      <c r="Y29">
        <f>IF(DiscreteStatsTable[[#This Row],[RepsRequested]]=DiscreteStatsTable[[#This Row],[RepsWithStatObserved]],1,0)</f>
        <v>1</v>
      </c>
    </row>
    <row r="30" spans="1:25" x14ac:dyDescent="0.4">
      <c r="A30" t="s">
        <v>67</v>
      </c>
      <c r="B30" t="s">
        <v>69</v>
      </c>
      <c r="C30">
        <v>5</v>
      </c>
      <c r="D30" t="s">
        <v>76</v>
      </c>
      <c r="E30" t="s">
        <v>71</v>
      </c>
      <c r="F30" t="s">
        <v>72</v>
      </c>
      <c r="G30">
        <v>9.57378364790031</v>
      </c>
      <c r="H30">
        <v>3E+20</v>
      </c>
      <c r="I30">
        <v>0</v>
      </c>
      <c r="J30">
        <v>96.020770468159</v>
      </c>
      <c r="K30">
        <v>539</v>
      </c>
      <c r="L30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6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15.588140986845083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20.853860923052228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53.839244484964098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199.8029613718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30">
        <f>IF((DiscreteStatsTable[[#This Row],[RepsRequested]]&gt;1),DiscreteStatsTable[[#This Row],[HalfWidth]],DiscreteStatsTable[[#This Row],[BatchMeansHalfWidth]])</f>
        <v>21.884784882085182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6</v>
      </c>
      <c r="Y30">
        <f>IF(DiscreteStatsTable[[#This Row],[RepsRequested]]=DiscreteStatsTable[[#This Row],[RepsWithStatObserved]],1,0)</f>
        <v>1</v>
      </c>
    </row>
    <row r="31" spans="1:25" x14ac:dyDescent="0.4">
      <c r="A31" t="s">
        <v>67</v>
      </c>
      <c r="B31" t="s">
        <v>69</v>
      </c>
      <c r="C31">
        <v>6</v>
      </c>
      <c r="D31" t="s">
        <v>76</v>
      </c>
      <c r="E31" t="s">
        <v>71</v>
      </c>
      <c r="F31" t="s">
        <v>72</v>
      </c>
      <c r="G31">
        <v>2.6962385259572001</v>
      </c>
      <c r="H31">
        <v>3E+20</v>
      </c>
      <c r="I31">
        <v>0</v>
      </c>
      <c r="J31">
        <v>51.1237281719647</v>
      </c>
      <c r="K31">
        <v>580</v>
      </c>
      <c r="L31" t="str">
        <f>DiscreteStatsTable[[#This Row],[ProjectName]]&amp;DiscreteStatsTable[[#This Row],[Name]]&amp;DiscreteStatsTable[[#This Row],[Type]]&amp;DiscreteStatsTable[[#This Row],[Source]]</f>
        <v>Unnamed ProjectQueue for Docking at A.QueueWaiting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6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15.588140986845083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20.853860923052228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21.884784882085182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53.839244484964098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199.8029613718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538.16666666666663</v>
      </c>
      <c r="W31">
        <f>IF((DiscreteStatsTable[[#This Row],[RepsRequested]]&gt;1),DiscreteStatsTable[[#This Row],[HalfWidth]],DiscreteStatsTable[[#This Row],[BatchMeansHalfWidth]])</f>
        <v>21.884784882085182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6</v>
      </c>
      <c r="Y31">
        <f>IF(DiscreteStatsTable[[#This Row],[RepsRequested]]=DiscreteStatsTable[[#This Row],[RepsWithStatObserved]],1,0)</f>
        <v>1</v>
      </c>
    </row>
    <row r="32" spans="1:25" x14ac:dyDescent="0.4">
      <c r="A32" t="s">
        <v>67</v>
      </c>
      <c r="B32" t="s">
        <v>69</v>
      </c>
      <c r="C32">
        <v>1</v>
      </c>
      <c r="D32" t="s">
        <v>77</v>
      </c>
      <c r="E32" t="s">
        <v>71</v>
      </c>
      <c r="F32" t="s">
        <v>72</v>
      </c>
      <c r="G32">
        <v>40.750758417583697</v>
      </c>
      <c r="H32">
        <v>3E+20</v>
      </c>
      <c r="I32">
        <v>0</v>
      </c>
      <c r="J32">
        <v>134.91731097626001</v>
      </c>
      <c r="K32">
        <v>546</v>
      </c>
      <c r="L32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6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11.244430457422986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17.748980658899125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2.2701293118959202E-3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40.750758417583697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191.856268017698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2">
        <f>IF((DiscreteStatsTable[[#This Row],[RepsRequested]]&gt;1),DiscreteStatsTable[[#This Row],[HalfWidth]],DiscreteStatsTable[[#This Row],[BatchMeansHalfWidth]])</f>
        <v>18.626412875273257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6</v>
      </c>
      <c r="Y32">
        <f>IF(DiscreteStatsTable[[#This Row],[RepsRequested]]=DiscreteStatsTable[[#This Row],[RepsWithStatObserved]],1,0)</f>
        <v>1</v>
      </c>
    </row>
    <row r="33" spans="1:25" x14ac:dyDescent="0.4">
      <c r="A33" t="s">
        <v>67</v>
      </c>
      <c r="B33" t="s">
        <v>69</v>
      </c>
      <c r="C33">
        <v>2</v>
      </c>
      <c r="D33" t="s">
        <v>77</v>
      </c>
      <c r="E33" t="s">
        <v>71</v>
      </c>
      <c r="F33" t="s">
        <v>72</v>
      </c>
      <c r="G33">
        <v>25.9382682069926</v>
      </c>
      <c r="H33">
        <v>3E+20</v>
      </c>
      <c r="I33">
        <v>0</v>
      </c>
      <c r="J33">
        <v>191.856268017698</v>
      </c>
      <c r="K33">
        <v>510</v>
      </c>
      <c r="L33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6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11.244430457422986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17.748980658899125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2.2701293118959202E-3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40.750758417583697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191.856268017698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3">
        <f>IF((DiscreteStatsTable[[#This Row],[RepsRequested]]&gt;1),DiscreteStatsTable[[#This Row],[HalfWidth]],DiscreteStatsTable[[#This Row],[BatchMeansHalfWidth]])</f>
        <v>18.626412875273257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6</v>
      </c>
      <c r="Y33">
        <f>IF(DiscreteStatsTable[[#This Row],[RepsRequested]]=DiscreteStatsTable[[#This Row],[RepsWithStatObserved]],1,0)</f>
        <v>1</v>
      </c>
    </row>
    <row r="34" spans="1:25" x14ac:dyDescent="0.4">
      <c r="A34" t="s">
        <v>67</v>
      </c>
      <c r="B34" t="s">
        <v>69</v>
      </c>
      <c r="C34">
        <v>3</v>
      </c>
      <c r="D34" t="s">
        <v>77</v>
      </c>
      <c r="E34" t="s">
        <v>71</v>
      </c>
      <c r="F34" t="s">
        <v>72</v>
      </c>
      <c r="G34">
        <v>0.52490255581437195</v>
      </c>
      <c r="H34">
        <v>3E+20</v>
      </c>
      <c r="I34">
        <v>0</v>
      </c>
      <c r="J34">
        <v>15.1725106760146</v>
      </c>
      <c r="K34">
        <v>507</v>
      </c>
      <c r="L34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6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11.244430457422986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17.748980658899125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2.2701293118959202E-3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40.750758417583697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191.856268017698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4">
        <f>IF((DiscreteStatsTable[[#This Row],[RepsRequested]]&gt;1),DiscreteStatsTable[[#This Row],[HalfWidth]],DiscreteStatsTable[[#This Row],[BatchMeansHalfWidth]])</f>
        <v>18.626412875273257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6</v>
      </c>
      <c r="Y34">
        <f>IF(DiscreteStatsTable[[#This Row],[RepsRequested]]=DiscreteStatsTable[[#This Row],[RepsWithStatObserved]],1,0)</f>
        <v>1</v>
      </c>
    </row>
    <row r="35" spans="1:25" x14ac:dyDescent="0.4">
      <c r="A35" t="s">
        <v>67</v>
      </c>
      <c r="B35" t="s">
        <v>69</v>
      </c>
      <c r="C35">
        <v>4</v>
      </c>
      <c r="D35" t="s">
        <v>77</v>
      </c>
      <c r="E35" t="s">
        <v>71</v>
      </c>
      <c r="F35" t="s">
        <v>72</v>
      </c>
      <c r="G35">
        <v>0.24751721730910201</v>
      </c>
      <c r="H35">
        <v>3E+20</v>
      </c>
      <c r="I35">
        <v>0</v>
      </c>
      <c r="J35">
        <v>19.208994530528599</v>
      </c>
      <c r="K35">
        <v>541</v>
      </c>
      <c r="L35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6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11.244430457422986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17.748980658899125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2.2701293118959202E-3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40.750758417583697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191.856268017698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5">
        <f>IF((DiscreteStatsTable[[#This Row],[RepsRequested]]&gt;1),DiscreteStatsTable[[#This Row],[HalfWidth]],DiscreteStatsTable[[#This Row],[BatchMeansHalfWidth]])</f>
        <v>18.626412875273257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6</v>
      </c>
      <c r="Y35">
        <f>IF(DiscreteStatsTable[[#This Row],[RepsRequested]]=DiscreteStatsTable[[#This Row],[RepsWithStatObserved]],1,0)</f>
        <v>1</v>
      </c>
    </row>
    <row r="36" spans="1:25" x14ac:dyDescent="0.4">
      <c r="A36" t="s">
        <v>67</v>
      </c>
      <c r="B36" t="s">
        <v>69</v>
      </c>
      <c r="C36">
        <v>5</v>
      </c>
      <c r="D36" t="s">
        <v>77</v>
      </c>
      <c r="E36" t="s">
        <v>71</v>
      </c>
      <c r="F36" t="s">
        <v>72</v>
      </c>
      <c r="G36">
        <v>2.8662175262434801E-3</v>
      </c>
      <c r="H36">
        <v>3E+20</v>
      </c>
      <c r="I36">
        <v>0</v>
      </c>
      <c r="J36">
        <v>1.54775746417148</v>
      </c>
      <c r="K36">
        <v>540</v>
      </c>
      <c r="L36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6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11.244430457422986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17.748980658899125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2.2701293118959202E-3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40.750758417583697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191.856268017698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6">
        <f>IF((DiscreteStatsTable[[#This Row],[RepsRequested]]&gt;1),DiscreteStatsTable[[#This Row],[HalfWidth]],DiscreteStatsTable[[#This Row],[BatchMeansHalfWidth]])</f>
        <v>18.626412875273257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6</v>
      </c>
      <c r="Y36">
        <f>IF(DiscreteStatsTable[[#This Row],[RepsRequested]]=DiscreteStatsTable[[#This Row],[RepsWithStatObserved]],1,0)</f>
        <v>1</v>
      </c>
    </row>
    <row r="37" spans="1:25" x14ac:dyDescent="0.4">
      <c r="A37" t="s">
        <v>67</v>
      </c>
      <c r="B37" t="s">
        <v>69</v>
      </c>
      <c r="C37">
        <v>6</v>
      </c>
      <c r="D37" t="s">
        <v>77</v>
      </c>
      <c r="E37" t="s">
        <v>71</v>
      </c>
      <c r="F37" t="s">
        <v>72</v>
      </c>
      <c r="G37">
        <v>2.2701293118959202E-3</v>
      </c>
      <c r="H37">
        <v>3E+20</v>
      </c>
      <c r="I37">
        <v>0</v>
      </c>
      <c r="J37">
        <v>1.3484568112661699</v>
      </c>
      <c r="K37">
        <v>594</v>
      </c>
      <c r="L37" t="str">
        <f>DiscreteStatsTable[[#This Row],[ProjectName]]&amp;DiscreteStatsTable[[#This Row],[Name]]&amp;DiscreteStatsTable[[#This Row],[Type]]&amp;DiscreteStatsTable[[#This Row],[Source]]</f>
        <v>Unnamed ProjectQueue for Docking at B.QueueWaiting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6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11.244430457422986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17.748980658899125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18.626412875273257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2.2701293118959202E-3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40.750758417583697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191.856268017698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539.66666666666663</v>
      </c>
      <c r="W37">
        <f>IF((DiscreteStatsTable[[#This Row],[RepsRequested]]&gt;1),DiscreteStatsTable[[#This Row],[HalfWidth]],DiscreteStatsTable[[#This Row],[BatchMeansHalfWidth]])</f>
        <v>18.626412875273257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6</v>
      </c>
      <c r="Y37">
        <f>IF(DiscreteStatsTable[[#This Row],[RepsRequested]]=DiscreteStatsTable[[#This Row],[RepsWithStatObserved]],1,0)</f>
        <v>1</v>
      </c>
    </row>
    <row r="38" spans="1:25" x14ac:dyDescent="0.4">
      <c r="A38" t="s">
        <v>67</v>
      </c>
      <c r="B38" t="s">
        <v>69</v>
      </c>
      <c r="C38">
        <v>1</v>
      </c>
      <c r="D38" t="s">
        <v>78</v>
      </c>
      <c r="E38" t="s">
        <v>71</v>
      </c>
      <c r="F38" t="s">
        <v>72</v>
      </c>
      <c r="G38">
        <v>19.9278603531728</v>
      </c>
      <c r="H38">
        <v>3E+20</v>
      </c>
      <c r="I38">
        <v>0</v>
      </c>
      <c r="J38">
        <v>108.479049143764</v>
      </c>
      <c r="K38">
        <v>542</v>
      </c>
      <c r="L38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6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58.159394861677356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57.118952158330259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1.00893865404783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134.44315161642999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230.07635426370001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38">
        <f>IF((DiscreteStatsTable[[#This Row],[RepsRequested]]&gt;1),DiscreteStatsTable[[#This Row],[HalfWidth]],DiscreteStatsTable[[#This Row],[BatchMeansHalfWidth]])</f>
        <v>59.942664108465443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6</v>
      </c>
      <c r="Y38">
        <f>IF(DiscreteStatsTable[[#This Row],[RepsRequested]]=DiscreteStatsTable[[#This Row],[RepsWithStatObserved]],1,0)</f>
        <v>1</v>
      </c>
    </row>
    <row r="39" spans="1:25" x14ac:dyDescent="0.4">
      <c r="A39" t="s">
        <v>67</v>
      </c>
      <c r="B39" t="s">
        <v>69</v>
      </c>
      <c r="C39">
        <v>2</v>
      </c>
      <c r="D39" t="s">
        <v>78</v>
      </c>
      <c r="E39" t="s">
        <v>71</v>
      </c>
      <c r="F39" t="s">
        <v>72</v>
      </c>
      <c r="G39">
        <v>4.6581134128016997</v>
      </c>
      <c r="H39">
        <v>3E+20</v>
      </c>
      <c r="I39">
        <v>0</v>
      </c>
      <c r="J39">
        <v>47.371696847495201</v>
      </c>
      <c r="K39">
        <v>509</v>
      </c>
      <c r="L39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6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58.159394861677356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57.118952158330259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1.00893865404783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134.44315161642999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230.07635426370001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39">
        <f>IF((DiscreteStatsTable[[#This Row],[RepsRequested]]&gt;1),DiscreteStatsTable[[#This Row],[HalfWidth]],DiscreteStatsTable[[#This Row],[BatchMeansHalfWidth]])</f>
        <v>59.942664108465443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6</v>
      </c>
      <c r="Y39">
        <f>IF(DiscreteStatsTable[[#This Row],[RepsRequested]]=DiscreteStatsTable[[#This Row],[RepsWithStatObserved]],1,0)</f>
        <v>1</v>
      </c>
    </row>
    <row r="40" spans="1:25" x14ac:dyDescent="0.4">
      <c r="A40" t="s">
        <v>67</v>
      </c>
      <c r="B40" t="s">
        <v>69</v>
      </c>
      <c r="C40">
        <v>3</v>
      </c>
      <c r="D40" t="s">
        <v>78</v>
      </c>
      <c r="E40" t="s">
        <v>71</v>
      </c>
      <c r="F40" t="s">
        <v>72</v>
      </c>
      <c r="G40">
        <v>106.037259547673</v>
      </c>
      <c r="H40">
        <v>3E+20</v>
      </c>
      <c r="I40">
        <v>0</v>
      </c>
      <c r="J40">
        <v>217.225637355841</v>
      </c>
      <c r="K40">
        <v>483</v>
      </c>
      <c r="L40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6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58.159394861677356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57.118952158330259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1.00893865404783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134.44315161642999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230.07635426370001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0">
        <f>IF((DiscreteStatsTable[[#This Row],[RepsRequested]]&gt;1),DiscreteStatsTable[[#This Row],[HalfWidth]],DiscreteStatsTable[[#This Row],[BatchMeansHalfWidth]])</f>
        <v>59.942664108465443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6</v>
      </c>
      <c r="Y40">
        <f>IF(DiscreteStatsTable[[#This Row],[RepsRequested]]=DiscreteStatsTable[[#This Row],[RepsWithStatObserved]],1,0)</f>
        <v>1</v>
      </c>
    </row>
    <row r="41" spans="1:25" x14ac:dyDescent="0.4">
      <c r="A41" t="s">
        <v>67</v>
      </c>
      <c r="B41" t="s">
        <v>69</v>
      </c>
      <c r="C41">
        <v>4</v>
      </c>
      <c r="D41" t="s">
        <v>78</v>
      </c>
      <c r="E41" t="s">
        <v>71</v>
      </c>
      <c r="F41" t="s">
        <v>72</v>
      </c>
      <c r="G41">
        <v>134.44315161642999</v>
      </c>
      <c r="H41">
        <v>3E+20</v>
      </c>
      <c r="I41">
        <v>0</v>
      </c>
      <c r="J41">
        <v>230.07635426370001</v>
      </c>
      <c r="K41">
        <v>492</v>
      </c>
      <c r="L41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6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58.159394861677356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57.118952158330259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1.00893865404783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134.44315161642999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230.07635426370001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1">
        <f>IF((DiscreteStatsTable[[#This Row],[RepsRequested]]&gt;1),DiscreteStatsTable[[#This Row],[HalfWidth]],DiscreteStatsTable[[#This Row],[BatchMeansHalfWidth]])</f>
        <v>59.942664108465443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6</v>
      </c>
      <c r="Y41">
        <f>IF(DiscreteStatsTable[[#This Row],[RepsRequested]]=DiscreteStatsTable[[#This Row],[RepsWithStatObserved]],1,0)</f>
        <v>1</v>
      </c>
    </row>
    <row r="42" spans="1:25" x14ac:dyDescent="0.4">
      <c r="A42" t="s">
        <v>67</v>
      </c>
      <c r="B42" t="s">
        <v>69</v>
      </c>
      <c r="C42">
        <v>5</v>
      </c>
      <c r="D42" t="s">
        <v>78</v>
      </c>
      <c r="E42" t="s">
        <v>71</v>
      </c>
      <c r="F42" t="s">
        <v>72</v>
      </c>
      <c r="G42">
        <v>82.881045585938793</v>
      </c>
      <c r="H42">
        <v>3E+20</v>
      </c>
      <c r="I42">
        <v>0</v>
      </c>
      <c r="J42">
        <v>221.17558788925001</v>
      </c>
      <c r="K42">
        <v>553</v>
      </c>
      <c r="L42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6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58.159394861677356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57.118952158330259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1.00893865404783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134.44315161642999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230.07635426370001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2">
        <f>IF((DiscreteStatsTable[[#This Row],[RepsRequested]]&gt;1),DiscreteStatsTable[[#This Row],[HalfWidth]],DiscreteStatsTable[[#This Row],[BatchMeansHalfWidth]])</f>
        <v>59.942664108465443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6</v>
      </c>
      <c r="Y42">
        <f>IF(DiscreteStatsTable[[#This Row],[RepsRequested]]=DiscreteStatsTable[[#This Row],[RepsWithStatObserved]],1,0)</f>
        <v>1</v>
      </c>
    </row>
    <row r="43" spans="1:25" x14ac:dyDescent="0.4">
      <c r="A43" t="s">
        <v>67</v>
      </c>
      <c r="B43" t="s">
        <v>69</v>
      </c>
      <c r="C43">
        <v>6</v>
      </c>
      <c r="D43" t="s">
        <v>78</v>
      </c>
      <c r="E43" t="s">
        <v>71</v>
      </c>
      <c r="F43" t="s">
        <v>72</v>
      </c>
      <c r="G43">
        <v>1.00893865404783</v>
      </c>
      <c r="H43">
        <v>3E+20</v>
      </c>
      <c r="I43">
        <v>0</v>
      </c>
      <c r="J43">
        <v>21.631818728086099</v>
      </c>
      <c r="K43">
        <v>605</v>
      </c>
      <c r="L43" t="str">
        <f>DiscreteStatsTable[[#This Row],[ProjectName]]&amp;DiscreteStatsTable[[#This Row],[Name]]&amp;DiscreteStatsTable[[#This Row],[Type]]&amp;DiscreteStatsTable[[#This Row],[Source]]</f>
        <v>Unnamed ProjectQueue for Docking at C.QueueWaiting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6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58.159394861677356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57.118952158330259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59.942664108465443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1.00893865404783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134.44315161642999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230.07635426370001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530.66666666666663</v>
      </c>
      <c r="W43">
        <f>IF((DiscreteStatsTable[[#This Row],[RepsRequested]]&gt;1),DiscreteStatsTable[[#This Row],[HalfWidth]],DiscreteStatsTable[[#This Row],[BatchMeansHalfWidth]])</f>
        <v>59.942664108465443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6</v>
      </c>
      <c r="Y43">
        <f>IF(DiscreteStatsTable[[#This Row],[RepsRequested]]=DiscreteStatsTable[[#This Row],[RepsWithStatObserved]],1,0)</f>
        <v>1</v>
      </c>
    </row>
    <row r="44" spans="1:25" x14ac:dyDescent="0.4">
      <c r="A44" t="s">
        <v>67</v>
      </c>
      <c r="B44" t="s">
        <v>69</v>
      </c>
      <c r="C44">
        <v>1</v>
      </c>
      <c r="D44" t="s">
        <v>79</v>
      </c>
      <c r="E44" t="s">
        <v>71</v>
      </c>
      <c r="F44" t="s">
        <v>72</v>
      </c>
      <c r="G44">
        <v>11.2253557830637</v>
      </c>
      <c r="H44">
        <v>3E+20</v>
      </c>
      <c r="I44">
        <v>0</v>
      </c>
      <c r="J44">
        <v>85.671254225865596</v>
      </c>
      <c r="K44">
        <v>541</v>
      </c>
      <c r="L44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6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16.419074498684271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31.15011890204925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0.33893512316246599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79.511079148315702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202.09687479487201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4">
        <f>IF((DiscreteStatsTable[[#This Row],[RepsRequested]]&gt;1),DiscreteStatsTable[[#This Row],[HalfWidth]],DiscreteStatsTable[[#This Row],[BatchMeansHalfWidth]])</f>
        <v>32.690044962808059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6</v>
      </c>
      <c r="Y44">
        <f>IF(DiscreteStatsTable[[#This Row],[RepsRequested]]=DiscreteStatsTable[[#This Row],[RepsWithStatObserved]],1,0)</f>
        <v>1</v>
      </c>
    </row>
    <row r="45" spans="1:25" x14ac:dyDescent="0.4">
      <c r="A45" t="s">
        <v>67</v>
      </c>
      <c r="B45" t="s">
        <v>69</v>
      </c>
      <c r="C45">
        <v>2</v>
      </c>
      <c r="D45" t="s">
        <v>79</v>
      </c>
      <c r="E45" t="s">
        <v>71</v>
      </c>
      <c r="F45" t="s">
        <v>72</v>
      </c>
      <c r="G45">
        <v>1.172409798291</v>
      </c>
      <c r="H45">
        <v>3E+20</v>
      </c>
      <c r="I45">
        <v>0</v>
      </c>
      <c r="J45">
        <v>21.7787575826374</v>
      </c>
      <c r="K45">
        <v>525</v>
      </c>
      <c r="L45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6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16.419074498684271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31.15011890204925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0.33893512316246599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79.511079148315702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202.09687479487201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5">
        <f>IF((DiscreteStatsTable[[#This Row],[RepsRequested]]&gt;1),DiscreteStatsTable[[#This Row],[HalfWidth]],DiscreteStatsTable[[#This Row],[BatchMeansHalfWidth]])</f>
        <v>32.690044962808059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6</v>
      </c>
      <c r="Y45">
        <f>IF(DiscreteStatsTable[[#This Row],[RepsRequested]]=DiscreteStatsTable[[#This Row],[RepsWithStatObserved]],1,0)</f>
        <v>1</v>
      </c>
    </row>
    <row r="46" spans="1:25" x14ac:dyDescent="0.4">
      <c r="A46" t="s">
        <v>67</v>
      </c>
      <c r="B46" t="s">
        <v>69</v>
      </c>
      <c r="C46">
        <v>3</v>
      </c>
      <c r="D46" t="s">
        <v>79</v>
      </c>
      <c r="E46" t="s">
        <v>71</v>
      </c>
      <c r="F46" t="s">
        <v>72</v>
      </c>
      <c r="G46">
        <v>3.03263013636017</v>
      </c>
      <c r="H46">
        <v>3E+20</v>
      </c>
      <c r="I46">
        <v>0</v>
      </c>
      <c r="J46">
        <v>47.247584638715303</v>
      </c>
      <c r="K46">
        <v>481</v>
      </c>
      <c r="L46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6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16.419074498684271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31.15011890204925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0.33893512316246599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79.511079148315702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202.09687479487201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6">
        <f>IF((DiscreteStatsTable[[#This Row],[RepsRequested]]&gt;1),DiscreteStatsTable[[#This Row],[HalfWidth]],DiscreteStatsTable[[#This Row],[BatchMeansHalfWidth]])</f>
        <v>32.690044962808059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6</v>
      </c>
      <c r="Y46">
        <f>IF(DiscreteStatsTable[[#This Row],[RepsRequested]]=DiscreteStatsTable[[#This Row],[RepsWithStatObserved]],1,0)</f>
        <v>1</v>
      </c>
    </row>
    <row r="47" spans="1:25" x14ac:dyDescent="0.4">
      <c r="A47" t="s">
        <v>67</v>
      </c>
      <c r="B47" t="s">
        <v>69</v>
      </c>
      <c r="C47">
        <v>4</v>
      </c>
      <c r="D47" t="s">
        <v>79</v>
      </c>
      <c r="E47" t="s">
        <v>71</v>
      </c>
      <c r="F47" t="s">
        <v>72</v>
      </c>
      <c r="G47">
        <v>0.33893512316246599</v>
      </c>
      <c r="H47">
        <v>3E+20</v>
      </c>
      <c r="I47">
        <v>0</v>
      </c>
      <c r="J47">
        <v>11.077219917569201</v>
      </c>
      <c r="K47">
        <v>491</v>
      </c>
      <c r="L47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6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16.419074498684271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31.15011890204925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0.33893512316246599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79.511079148315702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202.09687479487201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7">
        <f>IF((DiscreteStatsTable[[#This Row],[RepsRequested]]&gt;1),DiscreteStatsTable[[#This Row],[HalfWidth]],DiscreteStatsTable[[#This Row],[BatchMeansHalfWidth]])</f>
        <v>32.690044962808059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6</v>
      </c>
      <c r="Y47">
        <f>IF(DiscreteStatsTable[[#This Row],[RepsRequested]]=DiscreteStatsTable[[#This Row],[RepsWithStatObserved]],1,0)</f>
        <v>1</v>
      </c>
    </row>
    <row r="48" spans="1:25" x14ac:dyDescent="0.4">
      <c r="A48" t="s">
        <v>67</v>
      </c>
      <c r="B48" t="s">
        <v>69</v>
      </c>
      <c r="C48">
        <v>5</v>
      </c>
      <c r="D48" t="s">
        <v>79</v>
      </c>
      <c r="E48" t="s">
        <v>71</v>
      </c>
      <c r="F48" t="s">
        <v>72</v>
      </c>
      <c r="G48">
        <v>3.2340370029126002</v>
      </c>
      <c r="H48">
        <v>3E+20</v>
      </c>
      <c r="I48">
        <v>0</v>
      </c>
      <c r="J48">
        <v>31.139217915442298</v>
      </c>
      <c r="K48">
        <v>540</v>
      </c>
      <c r="L48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6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16.419074498684271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31.15011890204925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0.33893512316246599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79.511079148315702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202.09687479487201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8">
        <f>IF((DiscreteStatsTable[[#This Row],[RepsRequested]]&gt;1),DiscreteStatsTable[[#This Row],[HalfWidth]],DiscreteStatsTable[[#This Row],[BatchMeansHalfWidth]])</f>
        <v>32.690044962808059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6</v>
      </c>
      <c r="Y48">
        <f>IF(DiscreteStatsTable[[#This Row],[RepsRequested]]=DiscreteStatsTable[[#This Row],[RepsWithStatObserved]],1,0)</f>
        <v>1</v>
      </c>
    </row>
    <row r="49" spans="1:25" x14ac:dyDescent="0.4">
      <c r="A49" t="s">
        <v>67</v>
      </c>
      <c r="B49" t="s">
        <v>69</v>
      </c>
      <c r="C49">
        <v>6</v>
      </c>
      <c r="D49" t="s">
        <v>79</v>
      </c>
      <c r="E49" t="s">
        <v>71</v>
      </c>
      <c r="F49" t="s">
        <v>72</v>
      </c>
      <c r="G49">
        <v>79.511079148315702</v>
      </c>
      <c r="H49">
        <v>3E+20</v>
      </c>
      <c r="I49">
        <v>0</v>
      </c>
      <c r="J49">
        <v>202.09687479487201</v>
      </c>
      <c r="K49">
        <v>582</v>
      </c>
      <c r="L49" t="str">
        <f>DiscreteStatsTable[[#This Row],[ProjectName]]&amp;DiscreteStatsTable[[#This Row],[Name]]&amp;DiscreteStatsTable[[#This Row],[Type]]&amp;DiscreteStatsTable[[#This Row],[Source]]</f>
        <v>Unnamed ProjectQueue for Docking at D.QueueWaiting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6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16.419074498684271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31.15011890204925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32.690044962808059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0.33893512316246599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79.511079148315702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202.09687479487201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526.66666666666663</v>
      </c>
      <c r="W49">
        <f>IF((DiscreteStatsTable[[#This Row],[RepsRequested]]&gt;1),DiscreteStatsTable[[#This Row],[HalfWidth]],DiscreteStatsTable[[#This Row],[BatchMeansHalfWidth]])</f>
        <v>32.690044962808059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6</v>
      </c>
      <c r="Y49">
        <f>IF(DiscreteStatsTable[[#This Row],[RepsRequested]]=DiscreteStatsTable[[#This Row],[RepsWithStatObserved]],1,0)</f>
        <v>1</v>
      </c>
    </row>
    <row r="50" spans="1:25" x14ac:dyDescent="0.4">
      <c r="A50" t="s">
        <v>67</v>
      </c>
      <c r="B50" t="s">
        <v>69</v>
      </c>
      <c r="C50">
        <v>1</v>
      </c>
      <c r="D50" t="s">
        <v>80</v>
      </c>
      <c r="E50" t="s">
        <v>81</v>
      </c>
      <c r="F50" t="s">
        <v>82</v>
      </c>
      <c r="G50">
        <v>0</v>
      </c>
      <c r="H50">
        <v>0</v>
      </c>
      <c r="I50">
        <v>0</v>
      </c>
      <c r="J50">
        <v>0</v>
      </c>
      <c r="K50">
        <v>692</v>
      </c>
      <c r="L50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6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6</v>
      </c>
      <c r="Y50">
        <f>IF(DiscreteStatsTable[[#This Row],[RepsRequested]]=DiscreteStatsTable[[#This Row],[RepsWithStatObserved]],1,0)</f>
        <v>1</v>
      </c>
    </row>
    <row r="51" spans="1:25" x14ac:dyDescent="0.4">
      <c r="A51" t="s">
        <v>67</v>
      </c>
      <c r="B51" t="s">
        <v>69</v>
      </c>
      <c r="C51">
        <v>1</v>
      </c>
      <c r="D51" t="s">
        <v>80</v>
      </c>
      <c r="E51" t="s">
        <v>83</v>
      </c>
      <c r="F51" t="s">
        <v>82</v>
      </c>
      <c r="G51">
        <v>118.465396306461</v>
      </c>
      <c r="H51">
        <v>1.9076761548621</v>
      </c>
      <c r="I51">
        <v>64.305278892697601</v>
      </c>
      <c r="J51">
        <v>187.13107854005801</v>
      </c>
      <c r="K51">
        <v>692</v>
      </c>
      <c r="L51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6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118.2268725490495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0.96951758614870753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116.877699464787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119.13871888067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55.773522793583801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188.12068151584799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1">
        <f>IF((DiscreteStatsTable[[#This Row],[RepsRequested]]&gt;1),DiscreteStatsTable[[#This Row],[HalfWidth]],DiscreteStatsTable[[#This Row],[BatchMeansHalfWidth]])</f>
        <v>1.0174463084103793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6</v>
      </c>
      <c r="Y51">
        <f>IF(DiscreteStatsTable[[#This Row],[RepsRequested]]=DiscreteStatsTable[[#This Row],[RepsWithStatObserved]],1,0)</f>
        <v>1</v>
      </c>
    </row>
    <row r="52" spans="1:25" x14ac:dyDescent="0.4">
      <c r="A52" t="s">
        <v>67</v>
      </c>
      <c r="B52" t="s">
        <v>69</v>
      </c>
      <c r="C52">
        <v>1</v>
      </c>
      <c r="D52" t="s">
        <v>80</v>
      </c>
      <c r="E52" t="s">
        <v>84</v>
      </c>
      <c r="F52" t="s">
        <v>82</v>
      </c>
      <c r="G52">
        <v>190.31702643268801</v>
      </c>
      <c r="H52">
        <v>3E+20</v>
      </c>
      <c r="I52">
        <v>79.827822628032393</v>
      </c>
      <c r="J52">
        <v>388.73330205316398</v>
      </c>
      <c r="K52">
        <v>692</v>
      </c>
      <c r="L52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6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211.07550048138819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27.692128586639679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179.863083236368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251.359891846279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75.738103637758201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550.38404454841998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2">
        <f>IF((DiscreteStatsTable[[#This Row],[RepsRequested]]&gt;1),DiscreteStatsTable[[#This Row],[HalfWidth]],DiscreteStatsTable[[#This Row],[BatchMeansHalfWidth]])</f>
        <v>29.061106683402102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6</v>
      </c>
      <c r="Y52">
        <f>IF(DiscreteStatsTable[[#This Row],[RepsRequested]]=DiscreteStatsTable[[#This Row],[RepsWithStatObserved]],1,0)</f>
        <v>1</v>
      </c>
    </row>
    <row r="53" spans="1:25" x14ac:dyDescent="0.4">
      <c r="A53" t="s">
        <v>67</v>
      </c>
      <c r="B53" t="s">
        <v>69</v>
      </c>
      <c r="C53">
        <v>1</v>
      </c>
      <c r="D53" t="s">
        <v>80</v>
      </c>
      <c r="E53" t="s">
        <v>85</v>
      </c>
      <c r="F53" t="s">
        <v>82</v>
      </c>
      <c r="G53">
        <v>19.752279368772498</v>
      </c>
      <c r="H53">
        <v>0.62303367978319901</v>
      </c>
      <c r="I53">
        <v>6.9189393323833901</v>
      </c>
      <c r="J53">
        <v>48.524443063083801</v>
      </c>
      <c r="K53">
        <v>692</v>
      </c>
      <c r="L53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6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19.743593350365519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0.34515194803215987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19.1857398398508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20.1872707445347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6.4051840405065796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49.133216198834397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3">
        <f>IF((DiscreteStatsTable[[#This Row],[RepsRequested]]&gt;1),DiscreteStatsTable[[#This Row],[HalfWidth]],DiscreteStatsTable[[#This Row],[BatchMeansHalfWidth]])</f>
        <v>0.36221475544447534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6</v>
      </c>
      <c r="Y53">
        <f>IF(DiscreteStatsTable[[#This Row],[RepsRequested]]=DiscreteStatsTable[[#This Row],[RepsWithStatObserved]],1,0)</f>
        <v>1</v>
      </c>
    </row>
    <row r="54" spans="1:25" x14ac:dyDescent="0.4">
      <c r="A54" t="s">
        <v>67</v>
      </c>
      <c r="B54" t="s">
        <v>69</v>
      </c>
      <c r="C54">
        <v>1</v>
      </c>
      <c r="D54" t="s">
        <v>80</v>
      </c>
      <c r="E54" t="s">
        <v>86</v>
      </c>
      <c r="F54" t="s">
        <v>82</v>
      </c>
      <c r="G54">
        <v>0</v>
      </c>
      <c r="H54">
        <v>0</v>
      </c>
      <c r="I54">
        <v>0</v>
      </c>
      <c r="J54">
        <v>0</v>
      </c>
      <c r="K54">
        <v>692</v>
      </c>
      <c r="L54" t="str">
        <f>DiscreteStatsTable[[#This Row],[ProjectName]]&amp;DiscreteStatsTable[[#This Row],[Name]]&amp;DiscreteStatsTable[[#This Row],[Type]]&amp;DiscreteStatsTable[[#This Row],[Source]]</f>
        <v>Unnamed ProjectTouristVA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6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6</v>
      </c>
      <c r="Y54">
        <f>IF(DiscreteStatsTable[[#This Row],[RepsRequested]]=DiscreteStatsTable[[#This Row],[RepsWithStatObserved]],1,0)</f>
        <v>1</v>
      </c>
    </row>
    <row r="55" spans="1:25" x14ac:dyDescent="0.4">
      <c r="A55" t="s">
        <v>67</v>
      </c>
      <c r="B55" t="s">
        <v>69</v>
      </c>
      <c r="C55">
        <v>1</v>
      </c>
      <c r="D55" t="s">
        <v>80</v>
      </c>
      <c r="E55" t="s">
        <v>87</v>
      </c>
      <c r="F55" t="s">
        <v>82</v>
      </c>
      <c r="G55">
        <v>52.099350757453998</v>
      </c>
      <c r="H55">
        <v>3E+20</v>
      </c>
      <c r="I55">
        <v>0</v>
      </c>
      <c r="J55">
        <v>189.02734486536201</v>
      </c>
      <c r="K55">
        <v>692</v>
      </c>
      <c r="L5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6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73.105034581973271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28.679503593105959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41.600262236705198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114.98252618513099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382.26122678645902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5">
        <f>IF((DiscreteStatsTable[[#This Row],[RepsRequested]]&gt;1),DiscreteStatsTable[[#This Row],[HalfWidth]],DiscreteStatsTable[[#This Row],[BatchMeansHalfWidth]])</f>
        <v>30.097293205130342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6</v>
      </c>
      <c r="Y55">
        <f>IF(DiscreteStatsTable[[#This Row],[RepsRequested]]=DiscreteStatsTable[[#This Row],[RepsWithStatObserved]],1,0)</f>
        <v>1</v>
      </c>
    </row>
    <row r="56" spans="1:25" x14ac:dyDescent="0.4">
      <c r="A56" t="s">
        <v>67</v>
      </c>
      <c r="B56" t="s">
        <v>69</v>
      </c>
      <c r="C56">
        <v>2</v>
      </c>
      <c r="D56" t="s">
        <v>80</v>
      </c>
      <c r="E56" t="s">
        <v>81</v>
      </c>
      <c r="F56" t="s">
        <v>82</v>
      </c>
      <c r="G56">
        <v>0</v>
      </c>
      <c r="H56">
        <v>0</v>
      </c>
      <c r="I56">
        <v>0</v>
      </c>
      <c r="J56">
        <v>0</v>
      </c>
      <c r="K56">
        <v>668</v>
      </c>
      <c r="L56" t="str">
        <f>DiscreteStatsTable[[#This Row],[ProjectName]]&amp;DiscreteStatsTable[[#This Row],[Name]]&amp;DiscreteStatsTable[[#This Row],[Type]]&amp;DiscreteStatsTable[[#This Row],[Source]]</f>
        <v>Unnamed ProjectTouristNVA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6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6</v>
      </c>
      <c r="Y56">
        <f>IF(DiscreteStatsTable[[#This Row],[RepsRequested]]=DiscreteStatsTable[[#This Row],[RepsWithStatObserved]],1,0)</f>
        <v>1</v>
      </c>
    </row>
    <row r="57" spans="1:25" x14ac:dyDescent="0.4">
      <c r="A57" t="s">
        <v>67</v>
      </c>
      <c r="B57" t="s">
        <v>69</v>
      </c>
      <c r="C57">
        <v>2</v>
      </c>
      <c r="D57" t="s">
        <v>80</v>
      </c>
      <c r="E57" t="s">
        <v>83</v>
      </c>
      <c r="F57" t="s">
        <v>82</v>
      </c>
      <c r="G57">
        <v>118.562809100659</v>
      </c>
      <c r="H57">
        <v>1.7361958095866801</v>
      </c>
      <c r="I57">
        <v>55.773522793583801</v>
      </c>
      <c r="J57">
        <v>173.11840589936199</v>
      </c>
      <c r="K57">
        <v>668</v>
      </c>
      <c r="L57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6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118.2268725490495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0.96951758614870753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116.877699464787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119.13871888067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55.773522793583801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188.12068151584799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7">
        <f>IF((DiscreteStatsTable[[#This Row],[RepsRequested]]&gt;1),DiscreteStatsTable[[#This Row],[HalfWidth]],DiscreteStatsTable[[#This Row],[BatchMeansHalfWidth]])</f>
        <v>1.0174463084103793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6</v>
      </c>
      <c r="Y57">
        <f>IF(DiscreteStatsTable[[#This Row],[RepsRequested]]=DiscreteStatsTable[[#This Row],[RepsWithStatObserved]],1,0)</f>
        <v>1</v>
      </c>
    </row>
    <row r="58" spans="1:25" x14ac:dyDescent="0.4">
      <c r="A58" t="s">
        <v>67</v>
      </c>
      <c r="B58" t="s">
        <v>69</v>
      </c>
      <c r="C58">
        <v>2</v>
      </c>
      <c r="D58" t="s">
        <v>80</v>
      </c>
      <c r="E58" t="s">
        <v>84</v>
      </c>
      <c r="F58" t="s">
        <v>82</v>
      </c>
      <c r="G58">
        <v>179.863083236368</v>
      </c>
      <c r="H58">
        <v>3E+20</v>
      </c>
      <c r="I58">
        <v>82.175437616857593</v>
      </c>
      <c r="J58">
        <v>365.97568442113601</v>
      </c>
      <c r="K58">
        <v>668</v>
      </c>
      <c r="L58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6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211.07550048138819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27.692128586639679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179.863083236368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251.359891846279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75.738103637758201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550.38404454841998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8">
        <f>IF((DiscreteStatsTable[[#This Row],[RepsRequested]]&gt;1),DiscreteStatsTable[[#This Row],[HalfWidth]],DiscreteStatsTable[[#This Row],[BatchMeansHalfWidth]])</f>
        <v>29.061106683402102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6</v>
      </c>
      <c r="Y58">
        <f>IF(DiscreteStatsTable[[#This Row],[RepsRequested]]=DiscreteStatsTable[[#This Row],[RepsWithStatObserved]],1,0)</f>
        <v>1</v>
      </c>
    </row>
    <row r="59" spans="1:25" x14ac:dyDescent="0.4">
      <c r="A59" t="s">
        <v>67</v>
      </c>
      <c r="B59" t="s">
        <v>69</v>
      </c>
      <c r="C59">
        <v>2</v>
      </c>
      <c r="D59" t="s">
        <v>80</v>
      </c>
      <c r="E59" t="s">
        <v>85</v>
      </c>
      <c r="F59" t="s">
        <v>82</v>
      </c>
      <c r="G59">
        <v>19.700011899004298</v>
      </c>
      <c r="H59">
        <v>0.59968770730430998</v>
      </c>
      <c r="I59">
        <v>6.61068877610683</v>
      </c>
      <c r="J59">
        <v>46.7798398862817</v>
      </c>
      <c r="K59">
        <v>668</v>
      </c>
      <c r="L59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6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19.743593350365519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0.34515194803215987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19.1857398398508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20.1872707445347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6.4051840405065796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49.133216198834397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59">
        <f>IF((DiscreteStatsTable[[#This Row],[RepsRequested]]&gt;1),DiscreteStatsTable[[#This Row],[HalfWidth]],DiscreteStatsTable[[#This Row],[BatchMeansHalfWidth]])</f>
        <v>0.36221475544447534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6</v>
      </c>
      <c r="Y59">
        <f>IF(DiscreteStatsTable[[#This Row],[RepsRequested]]=DiscreteStatsTable[[#This Row],[RepsWithStatObserved]],1,0)</f>
        <v>1</v>
      </c>
    </row>
    <row r="60" spans="1:25" x14ac:dyDescent="0.4">
      <c r="A60" t="s">
        <v>67</v>
      </c>
      <c r="B60" t="s">
        <v>69</v>
      </c>
      <c r="C60">
        <v>2</v>
      </c>
      <c r="D60" t="s">
        <v>80</v>
      </c>
      <c r="E60" t="s">
        <v>86</v>
      </c>
      <c r="F60" t="s">
        <v>82</v>
      </c>
      <c r="G60">
        <v>0</v>
      </c>
      <c r="H60">
        <v>0</v>
      </c>
      <c r="I60">
        <v>0</v>
      </c>
      <c r="J60">
        <v>0</v>
      </c>
      <c r="K60">
        <v>668</v>
      </c>
      <c r="L60" t="str">
        <f>DiscreteStatsTable[[#This Row],[ProjectName]]&amp;DiscreteStatsTable[[#This Row],[Name]]&amp;DiscreteStatsTable[[#This Row],[Type]]&amp;DiscreteStatsTable[[#This Row],[Source]]</f>
        <v>Unnamed ProjectTouristVA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6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6</v>
      </c>
      <c r="Y60">
        <f>IF(DiscreteStatsTable[[#This Row],[RepsRequested]]=DiscreteStatsTable[[#This Row],[RepsWithStatObserved]],1,0)</f>
        <v>1</v>
      </c>
    </row>
    <row r="61" spans="1:25" x14ac:dyDescent="0.4">
      <c r="A61" t="s">
        <v>67</v>
      </c>
      <c r="B61" t="s">
        <v>69</v>
      </c>
      <c r="C61">
        <v>2</v>
      </c>
      <c r="D61" t="s">
        <v>80</v>
      </c>
      <c r="E61" t="s">
        <v>87</v>
      </c>
      <c r="F61" t="s">
        <v>82</v>
      </c>
      <c r="G61">
        <v>41.600262236705198</v>
      </c>
      <c r="H61">
        <v>3E+20</v>
      </c>
      <c r="I61">
        <v>0</v>
      </c>
      <c r="J61">
        <v>191.856268017698</v>
      </c>
      <c r="K61">
        <v>668</v>
      </c>
      <c r="L61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6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73.105034581973271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28.679503593105959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41.600262236705198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114.98252618513099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382.26122678645902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1">
        <f>IF((DiscreteStatsTable[[#This Row],[RepsRequested]]&gt;1),DiscreteStatsTable[[#This Row],[HalfWidth]],DiscreteStatsTable[[#This Row],[BatchMeansHalfWidth]])</f>
        <v>30.097293205130342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6</v>
      </c>
      <c r="Y61">
        <f>IF(DiscreteStatsTable[[#This Row],[RepsRequested]]=DiscreteStatsTable[[#This Row],[RepsWithStatObserved]],1,0)</f>
        <v>1</v>
      </c>
    </row>
    <row r="62" spans="1:25" x14ac:dyDescent="0.4">
      <c r="A62" t="s">
        <v>67</v>
      </c>
      <c r="B62" t="s">
        <v>69</v>
      </c>
      <c r="C62">
        <v>3</v>
      </c>
      <c r="D62" t="s">
        <v>80</v>
      </c>
      <c r="E62" t="s">
        <v>81</v>
      </c>
      <c r="F62" t="s">
        <v>82</v>
      </c>
      <c r="G62">
        <v>0</v>
      </c>
      <c r="H62">
        <v>0</v>
      </c>
      <c r="I62">
        <v>0</v>
      </c>
      <c r="J62">
        <v>0</v>
      </c>
      <c r="K62">
        <v>628</v>
      </c>
      <c r="L62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6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6</v>
      </c>
      <c r="Y62">
        <f>IF(DiscreteStatsTable[[#This Row],[RepsRequested]]=DiscreteStatsTable[[#This Row],[RepsWithStatObserved]],1,0)</f>
        <v>1</v>
      </c>
    </row>
    <row r="63" spans="1:25" x14ac:dyDescent="0.4">
      <c r="A63" t="s">
        <v>67</v>
      </c>
      <c r="B63" t="s">
        <v>69</v>
      </c>
      <c r="C63">
        <v>3</v>
      </c>
      <c r="D63" t="s">
        <v>80</v>
      </c>
      <c r="E63" t="s">
        <v>83</v>
      </c>
      <c r="F63" t="s">
        <v>82</v>
      </c>
      <c r="G63">
        <v>117.191625821298</v>
      </c>
      <c r="H63">
        <v>2.20142344016078</v>
      </c>
      <c r="I63">
        <v>66.588698394028398</v>
      </c>
      <c r="J63">
        <v>175.877967910064</v>
      </c>
      <c r="K63">
        <v>628</v>
      </c>
      <c r="L63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6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118.2268725490495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0.96951758614870753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116.877699464787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119.13871888067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55.773522793583801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188.12068151584799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3">
        <f>IF((DiscreteStatsTable[[#This Row],[RepsRequested]]&gt;1),DiscreteStatsTable[[#This Row],[HalfWidth]],DiscreteStatsTable[[#This Row],[BatchMeansHalfWidth]])</f>
        <v>1.0174463084103793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6</v>
      </c>
      <c r="Y63">
        <f>IF(DiscreteStatsTable[[#This Row],[RepsRequested]]=DiscreteStatsTable[[#This Row],[RepsWithStatObserved]],1,0)</f>
        <v>1</v>
      </c>
    </row>
    <row r="64" spans="1:25" x14ac:dyDescent="0.4">
      <c r="A64" t="s">
        <v>67</v>
      </c>
      <c r="B64" t="s">
        <v>69</v>
      </c>
      <c r="C64">
        <v>3</v>
      </c>
      <c r="D64" t="s">
        <v>80</v>
      </c>
      <c r="E64" t="s">
        <v>84</v>
      </c>
      <c r="F64" t="s">
        <v>82</v>
      </c>
      <c r="G64">
        <v>251.359891846279</v>
      </c>
      <c r="H64">
        <v>3E+20</v>
      </c>
      <c r="I64">
        <v>85.361118965420005</v>
      </c>
      <c r="J64">
        <v>550.38404454841998</v>
      </c>
      <c r="K64">
        <v>628</v>
      </c>
      <c r="L64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6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211.07550048138819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27.692128586639679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179.863083236368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251.359891846279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75.738103637758201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550.38404454841998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4">
        <f>IF((DiscreteStatsTable[[#This Row],[RepsRequested]]&gt;1),DiscreteStatsTable[[#This Row],[HalfWidth]],DiscreteStatsTable[[#This Row],[BatchMeansHalfWidth]])</f>
        <v>29.061106683402102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6</v>
      </c>
      <c r="Y64">
        <f>IF(DiscreteStatsTable[[#This Row],[RepsRequested]]=DiscreteStatsTable[[#This Row],[RepsWithStatObserved]],1,0)</f>
        <v>1</v>
      </c>
    </row>
    <row r="65" spans="1:25" x14ac:dyDescent="0.4">
      <c r="A65" t="s">
        <v>67</v>
      </c>
      <c r="B65" t="s">
        <v>69</v>
      </c>
      <c r="C65">
        <v>3</v>
      </c>
      <c r="D65" t="s">
        <v>80</v>
      </c>
      <c r="E65" t="s">
        <v>85</v>
      </c>
      <c r="F65" t="s">
        <v>82</v>
      </c>
      <c r="G65">
        <v>19.1857398398508</v>
      </c>
      <c r="H65">
        <v>0.57250769421116798</v>
      </c>
      <c r="I65">
        <v>6.6397826729214602</v>
      </c>
      <c r="J65">
        <v>45.659324848129501</v>
      </c>
      <c r="K65">
        <v>628</v>
      </c>
      <c r="L65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6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19.743593350365519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0.34515194803215987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19.1857398398508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20.1872707445347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6.4051840405065796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49.133216198834397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5">
        <f>IF((DiscreteStatsTable[[#This Row],[RepsRequested]]&gt;1),DiscreteStatsTable[[#This Row],[HalfWidth]],DiscreteStatsTable[[#This Row],[BatchMeansHalfWidth]])</f>
        <v>0.36221475544447534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6</v>
      </c>
      <c r="Y65">
        <f>IF(DiscreteStatsTable[[#This Row],[RepsRequested]]=DiscreteStatsTable[[#This Row],[RepsWithStatObserved]],1,0)</f>
        <v>1</v>
      </c>
    </row>
    <row r="66" spans="1:25" x14ac:dyDescent="0.4">
      <c r="A66" t="s">
        <v>67</v>
      </c>
      <c r="B66" t="s">
        <v>69</v>
      </c>
      <c r="C66">
        <v>3</v>
      </c>
      <c r="D66" t="s">
        <v>80</v>
      </c>
      <c r="E66" t="s">
        <v>86</v>
      </c>
      <c r="F66" t="s">
        <v>82</v>
      </c>
      <c r="G66">
        <v>0</v>
      </c>
      <c r="H66">
        <v>0</v>
      </c>
      <c r="I66">
        <v>0</v>
      </c>
      <c r="J66">
        <v>0</v>
      </c>
      <c r="K66">
        <v>628</v>
      </c>
      <c r="L66" t="str">
        <f>DiscreteStatsTable[[#This Row],[ProjectName]]&amp;DiscreteStatsTable[[#This Row],[Name]]&amp;DiscreteStatsTable[[#This Row],[Type]]&amp;DiscreteStatsTable[[#This Row],[Source]]</f>
        <v>Unnamed ProjectTouristVA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6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6</v>
      </c>
      <c r="Y66">
        <f>IF(DiscreteStatsTable[[#This Row],[RepsRequested]]=DiscreteStatsTable[[#This Row],[RepsWithStatObserved]],1,0)</f>
        <v>1</v>
      </c>
    </row>
    <row r="67" spans="1:25" x14ac:dyDescent="0.4">
      <c r="A67" t="s">
        <v>67</v>
      </c>
      <c r="B67" t="s">
        <v>69</v>
      </c>
      <c r="C67">
        <v>3</v>
      </c>
      <c r="D67" t="s">
        <v>80</v>
      </c>
      <c r="E67" t="s">
        <v>87</v>
      </c>
      <c r="F67" t="s">
        <v>82</v>
      </c>
      <c r="G67">
        <v>114.98252618513099</v>
      </c>
      <c r="H67">
        <v>3E+20</v>
      </c>
      <c r="I67">
        <v>0</v>
      </c>
      <c r="J67">
        <v>382.26122678645902</v>
      </c>
      <c r="K67">
        <v>628</v>
      </c>
      <c r="L67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6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73.105034581973271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28.679503593105959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41.600262236705198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114.98252618513099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382.26122678645902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7">
        <f>IF((DiscreteStatsTable[[#This Row],[RepsRequested]]&gt;1),DiscreteStatsTable[[#This Row],[HalfWidth]],DiscreteStatsTable[[#This Row],[BatchMeansHalfWidth]])</f>
        <v>30.097293205130342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6</v>
      </c>
      <c r="Y67">
        <f>IF(DiscreteStatsTable[[#This Row],[RepsRequested]]=DiscreteStatsTable[[#This Row],[RepsWithStatObserved]],1,0)</f>
        <v>1</v>
      </c>
    </row>
    <row r="68" spans="1:25" x14ac:dyDescent="0.4">
      <c r="A68" t="s">
        <v>67</v>
      </c>
      <c r="B68" t="s">
        <v>69</v>
      </c>
      <c r="C68">
        <v>4</v>
      </c>
      <c r="D68" t="s">
        <v>80</v>
      </c>
      <c r="E68" t="s">
        <v>81</v>
      </c>
      <c r="F68" t="s">
        <v>82</v>
      </c>
      <c r="G68">
        <v>0</v>
      </c>
      <c r="H68">
        <v>0</v>
      </c>
      <c r="I68">
        <v>0</v>
      </c>
      <c r="J68">
        <v>0</v>
      </c>
      <c r="K68">
        <v>644</v>
      </c>
      <c r="L68" t="str">
        <f>DiscreteStatsTable[[#This Row],[ProjectName]]&amp;DiscreteStatsTable[[#This Row],[Name]]&amp;DiscreteStatsTable[[#This Row],[Type]]&amp;DiscreteStatsTable[[#This Row],[Source]]</f>
        <v>Unnamed ProjectTouristNVA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6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6</v>
      </c>
      <c r="Y68">
        <f>IF(DiscreteStatsTable[[#This Row],[RepsRequested]]=DiscreteStatsTable[[#This Row],[RepsWithStatObserved]],1,0)</f>
        <v>1</v>
      </c>
    </row>
    <row r="69" spans="1:25" x14ac:dyDescent="0.4">
      <c r="A69" t="s">
        <v>67</v>
      </c>
      <c r="B69" t="s">
        <v>69</v>
      </c>
      <c r="C69">
        <v>4</v>
      </c>
      <c r="D69" t="s">
        <v>80</v>
      </c>
      <c r="E69" t="s">
        <v>83</v>
      </c>
      <c r="F69" t="s">
        <v>82</v>
      </c>
      <c r="G69">
        <v>116.877699464787</v>
      </c>
      <c r="H69">
        <v>2.5382984370725001</v>
      </c>
      <c r="I69">
        <v>64.795746725124303</v>
      </c>
      <c r="J69">
        <v>177.34257810323001</v>
      </c>
      <c r="K69">
        <v>644</v>
      </c>
      <c r="L69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6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118.2268725490495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0.96951758614870753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116.877699464787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119.13871888067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55.773522793583801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188.12068151584799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69">
        <f>IF((DiscreteStatsTable[[#This Row],[RepsRequested]]&gt;1),DiscreteStatsTable[[#This Row],[HalfWidth]],DiscreteStatsTable[[#This Row],[BatchMeansHalfWidth]])</f>
        <v>1.0174463084103793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6</v>
      </c>
      <c r="Y69">
        <f>IF(DiscreteStatsTable[[#This Row],[RepsRequested]]=DiscreteStatsTable[[#This Row],[RepsWithStatObserved]],1,0)</f>
        <v>1</v>
      </c>
    </row>
    <row r="70" spans="1:25" x14ac:dyDescent="0.4">
      <c r="A70" t="s">
        <v>67</v>
      </c>
      <c r="B70" t="s">
        <v>69</v>
      </c>
      <c r="C70">
        <v>4</v>
      </c>
      <c r="D70" t="s">
        <v>80</v>
      </c>
      <c r="E70" t="s">
        <v>84</v>
      </c>
      <c r="F70" t="s">
        <v>82</v>
      </c>
      <c r="G70">
        <v>237.02236533279299</v>
      </c>
      <c r="H70">
        <v>3E+20</v>
      </c>
      <c r="I70">
        <v>75.738103637758201</v>
      </c>
      <c r="J70">
        <v>419.57622927480702</v>
      </c>
      <c r="K70">
        <v>644</v>
      </c>
      <c r="L70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6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211.07550048138819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27.692128586639679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179.863083236368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251.359891846279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75.738103637758201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550.38404454841998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0">
        <f>IF((DiscreteStatsTable[[#This Row],[RepsRequested]]&gt;1),DiscreteStatsTable[[#This Row],[HalfWidth]],DiscreteStatsTable[[#This Row],[BatchMeansHalfWidth]])</f>
        <v>29.061106683402102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6</v>
      </c>
      <c r="Y70">
        <f>IF(DiscreteStatsTable[[#This Row],[RepsRequested]]=DiscreteStatsTable[[#This Row],[RepsWithStatObserved]],1,0)</f>
        <v>1</v>
      </c>
    </row>
    <row r="71" spans="1:25" x14ac:dyDescent="0.4">
      <c r="A71" t="s">
        <v>67</v>
      </c>
      <c r="B71" t="s">
        <v>69</v>
      </c>
      <c r="C71">
        <v>4</v>
      </c>
      <c r="D71" t="s">
        <v>80</v>
      </c>
      <c r="E71" t="s">
        <v>85</v>
      </c>
      <c r="F71" t="s">
        <v>82</v>
      </c>
      <c r="G71">
        <v>19.625109419236701</v>
      </c>
      <c r="H71">
        <v>0.67673935011503195</v>
      </c>
      <c r="I71">
        <v>6.4051840405065796</v>
      </c>
      <c r="J71">
        <v>49.133216198834397</v>
      </c>
      <c r="K71">
        <v>644</v>
      </c>
      <c r="L71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6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19.743593350365519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0.34515194803215987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19.1857398398508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20.1872707445347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6.4051840405065796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49.133216198834397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1">
        <f>IF((DiscreteStatsTable[[#This Row],[RepsRequested]]&gt;1),DiscreteStatsTable[[#This Row],[HalfWidth]],DiscreteStatsTable[[#This Row],[BatchMeansHalfWidth]])</f>
        <v>0.36221475544447534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6</v>
      </c>
      <c r="Y71">
        <f>IF(DiscreteStatsTable[[#This Row],[RepsRequested]]=DiscreteStatsTable[[#This Row],[RepsWithStatObserved]],1,0)</f>
        <v>1</v>
      </c>
    </row>
    <row r="72" spans="1:25" x14ac:dyDescent="0.4">
      <c r="A72" t="s">
        <v>67</v>
      </c>
      <c r="B72" t="s">
        <v>69</v>
      </c>
      <c r="C72">
        <v>4</v>
      </c>
      <c r="D72" t="s">
        <v>80</v>
      </c>
      <c r="E72" t="s">
        <v>86</v>
      </c>
      <c r="F72" t="s">
        <v>82</v>
      </c>
      <c r="G72">
        <v>0</v>
      </c>
      <c r="H72">
        <v>0</v>
      </c>
      <c r="I72">
        <v>0</v>
      </c>
      <c r="J72">
        <v>0</v>
      </c>
      <c r="K72">
        <v>644</v>
      </c>
      <c r="L72" t="str">
        <f>DiscreteStatsTable[[#This Row],[ProjectName]]&amp;DiscreteStatsTable[[#This Row],[Name]]&amp;DiscreteStatsTable[[#This Row],[Type]]&amp;DiscreteStatsTable[[#This Row],[Source]]</f>
        <v>Unnamed ProjectTouristVA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6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6</v>
      </c>
      <c r="Y72">
        <f>IF(DiscreteStatsTable[[#This Row],[RepsRequested]]=DiscreteStatsTable[[#This Row],[RepsWithStatObserved]],1,0)</f>
        <v>1</v>
      </c>
    </row>
    <row r="73" spans="1:25" x14ac:dyDescent="0.4">
      <c r="A73" t="s">
        <v>67</v>
      </c>
      <c r="B73" t="s">
        <v>69</v>
      </c>
      <c r="C73">
        <v>4</v>
      </c>
      <c r="D73" t="s">
        <v>80</v>
      </c>
      <c r="E73" t="s">
        <v>87</v>
      </c>
      <c r="F73" t="s">
        <v>82</v>
      </c>
      <c r="G73">
        <v>100.51955644877</v>
      </c>
      <c r="H73">
        <v>3E+20</v>
      </c>
      <c r="I73">
        <v>0</v>
      </c>
      <c r="J73">
        <v>230.07635426370001</v>
      </c>
      <c r="K73">
        <v>644</v>
      </c>
      <c r="L73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6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73.105034581973271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28.679503593105959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41.600262236705198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114.98252618513099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382.26122678645902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3">
        <f>IF((DiscreteStatsTable[[#This Row],[RepsRequested]]&gt;1),DiscreteStatsTable[[#This Row],[HalfWidth]],DiscreteStatsTable[[#This Row],[BatchMeansHalfWidth]])</f>
        <v>30.097293205130342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6</v>
      </c>
      <c r="Y73">
        <f>IF(DiscreteStatsTable[[#This Row],[RepsRequested]]=DiscreteStatsTable[[#This Row],[RepsWithStatObserved]],1,0)</f>
        <v>1</v>
      </c>
    </row>
    <row r="74" spans="1:25" x14ac:dyDescent="0.4">
      <c r="A74" t="s">
        <v>67</v>
      </c>
      <c r="B74" t="s">
        <v>69</v>
      </c>
      <c r="C74">
        <v>5</v>
      </c>
      <c r="D74" t="s">
        <v>80</v>
      </c>
      <c r="E74" t="s">
        <v>81</v>
      </c>
      <c r="F74" t="s">
        <v>82</v>
      </c>
      <c r="G74">
        <v>0</v>
      </c>
      <c r="H74">
        <v>0</v>
      </c>
      <c r="I74">
        <v>0</v>
      </c>
      <c r="J74">
        <v>0</v>
      </c>
      <c r="K74">
        <v>691</v>
      </c>
      <c r="L74" t="str">
        <f>DiscreteStatsTable[[#This Row],[ProjectName]]&amp;DiscreteStatsTable[[#This Row],[Name]]&amp;DiscreteStatsTable[[#This Row],[Type]]&amp;DiscreteStatsTable[[#This Row],[Source]]</f>
        <v>Unnamed ProjectTouristNVA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6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6</v>
      </c>
      <c r="Y74">
        <f>IF(DiscreteStatsTable[[#This Row],[RepsRequested]]=DiscreteStatsTable[[#This Row],[RepsWithStatObserved]],1,0)</f>
        <v>1</v>
      </c>
    </row>
    <row r="75" spans="1:25" x14ac:dyDescent="0.4">
      <c r="A75" t="s">
        <v>67</v>
      </c>
      <c r="B75" t="s">
        <v>69</v>
      </c>
      <c r="C75">
        <v>5</v>
      </c>
      <c r="D75" t="s">
        <v>80</v>
      </c>
      <c r="E75" t="s">
        <v>83</v>
      </c>
      <c r="F75" t="s">
        <v>82</v>
      </c>
      <c r="G75">
        <v>119.13871888067</v>
      </c>
      <c r="H75">
        <v>2.5820515981077201</v>
      </c>
      <c r="I75">
        <v>68.735364694904803</v>
      </c>
      <c r="J75">
        <v>188.12068151584799</v>
      </c>
      <c r="K75">
        <v>691</v>
      </c>
      <c r="L7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6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118.2268725490495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0.96951758614870753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116.877699464787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119.13871888067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55.773522793583801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188.12068151584799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5">
        <f>IF((DiscreteStatsTable[[#This Row],[RepsRequested]]&gt;1),DiscreteStatsTable[[#This Row],[HalfWidth]],DiscreteStatsTable[[#This Row],[BatchMeansHalfWidth]])</f>
        <v>1.0174463084103793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6</v>
      </c>
      <c r="Y75">
        <f>IF(DiscreteStatsTable[[#This Row],[RepsRequested]]=DiscreteStatsTable[[#This Row],[RepsWithStatObserved]],1,0)</f>
        <v>1</v>
      </c>
    </row>
    <row r="76" spans="1:25" x14ac:dyDescent="0.4">
      <c r="A76" t="s">
        <v>67</v>
      </c>
      <c r="B76" t="s">
        <v>69</v>
      </c>
      <c r="C76">
        <v>5</v>
      </c>
      <c r="D76" t="s">
        <v>80</v>
      </c>
      <c r="E76" t="s">
        <v>84</v>
      </c>
      <c r="F76" t="s">
        <v>82</v>
      </c>
      <c r="G76">
        <v>207.90699102956901</v>
      </c>
      <c r="H76">
        <v>3E+20</v>
      </c>
      <c r="I76">
        <v>82.745736993129896</v>
      </c>
      <c r="J76">
        <v>399.09983856909099</v>
      </c>
      <c r="K76">
        <v>691</v>
      </c>
      <c r="L76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6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211.07550048138819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27.692128586639679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179.863083236368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251.359891846279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75.738103637758201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550.38404454841998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6">
        <f>IF((DiscreteStatsTable[[#This Row],[RepsRequested]]&gt;1),DiscreteStatsTable[[#This Row],[HalfWidth]],DiscreteStatsTable[[#This Row],[BatchMeansHalfWidth]])</f>
        <v>29.061106683402102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6</v>
      </c>
      <c r="Y76">
        <f>IF(DiscreteStatsTable[[#This Row],[RepsRequested]]=DiscreteStatsTable[[#This Row],[RepsWithStatObserved]],1,0)</f>
        <v>1</v>
      </c>
    </row>
    <row r="77" spans="1:25" x14ac:dyDescent="0.4">
      <c r="A77" t="s">
        <v>67</v>
      </c>
      <c r="B77" t="s">
        <v>69</v>
      </c>
      <c r="C77">
        <v>5</v>
      </c>
      <c r="D77" t="s">
        <v>80</v>
      </c>
      <c r="E77" t="s">
        <v>85</v>
      </c>
      <c r="F77" t="s">
        <v>82</v>
      </c>
      <c r="G77">
        <v>20.011148830794099</v>
      </c>
      <c r="H77">
        <v>0.72071183989690202</v>
      </c>
      <c r="I77">
        <v>6.9847956078670004</v>
      </c>
      <c r="J77">
        <v>48.981613974225397</v>
      </c>
      <c r="K77">
        <v>691</v>
      </c>
      <c r="L77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6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19.743593350365519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0.34515194803215987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19.1857398398508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20.1872707445347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6.4051840405065796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49.133216198834397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7">
        <f>IF((DiscreteStatsTable[[#This Row],[RepsRequested]]&gt;1),DiscreteStatsTable[[#This Row],[HalfWidth]],DiscreteStatsTable[[#This Row],[BatchMeansHalfWidth]])</f>
        <v>0.36221475544447534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6</v>
      </c>
      <c r="Y77">
        <f>IF(DiscreteStatsTable[[#This Row],[RepsRequested]]=DiscreteStatsTable[[#This Row],[RepsWithStatObserved]],1,0)</f>
        <v>1</v>
      </c>
    </row>
    <row r="78" spans="1:25" x14ac:dyDescent="0.4">
      <c r="A78" t="s">
        <v>67</v>
      </c>
      <c r="B78" t="s">
        <v>69</v>
      </c>
      <c r="C78">
        <v>5</v>
      </c>
      <c r="D78" t="s">
        <v>80</v>
      </c>
      <c r="E78" t="s">
        <v>86</v>
      </c>
      <c r="F78" t="s">
        <v>82</v>
      </c>
      <c r="G78">
        <v>0</v>
      </c>
      <c r="H78">
        <v>0</v>
      </c>
      <c r="I78">
        <v>0</v>
      </c>
      <c r="J78">
        <v>0</v>
      </c>
      <c r="K78">
        <v>691</v>
      </c>
      <c r="L78" t="str">
        <f>DiscreteStatsTable[[#This Row],[ProjectName]]&amp;DiscreteStatsTable[[#This Row],[Name]]&amp;DiscreteStatsTable[[#This Row],[Type]]&amp;DiscreteStatsTable[[#This Row],[Source]]</f>
        <v>Unnamed ProjectTouristVA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6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6</v>
      </c>
      <c r="Y78">
        <f>IF(DiscreteStatsTable[[#This Row],[RepsRequested]]=DiscreteStatsTable[[#This Row],[RepsWithStatObserved]],1,0)</f>
        <v>1</v>
      </c>
    </row>
    <row r="79" spans="1:25" x14ac:dyDescent="0.4">
      <c r="A79" t="s">
        <v>67</v>
      </c>
      <c r="B79" t="s">
        <v>69</v>
      </c>
      <c r="C79">
        <v>5</v>
      </c>
      <c r="D79" t="s">
        <v>80</v>
      </c>
      <c r="E79" t="s">
        <v>87</v>
      </c>
      <c r="F79" t="s">
        <v>82</v>
      </c>
      <c r="G79">
        <v>68.757123318104107</v>
      </c>
      <c r="H79">
        <v>3E+20</v>
      </c>
      <c r="I79">
        <v>0</v>
      </c>
      <c r="J79">
        <v>221.17558788925001</v>
      </c>
      <c r="K79">
        <v>691</v>
      </c>
      <c r="L79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6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73.105034581973271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28.679503593105959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41.600262236705198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114.98252618513099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382.26122678645902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79">
        <f>IF((DiscreteStatsTable[[#This Row],[RepsRequested]]&gt;1),DiscreteStatsTable[[#This Row],[HalfWidth]],DiscreteStatsTable[[#This Row],[BatchMeansHalfWidth]])</f>
        <v>30.097293205130342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6</v>
      </c>
      <c r="Y79">
        <f>IF(DiscreteStatsTable[[#This Row],[RepsRequested]]=DiscreteStatsTable[[#This Row],[RepsWithStatObserved]],1,0)</f>
        <v>1</v>
      </c>
    </row>
    <row r="80" spans="1:25" x14ac:dyDescent="0.4">
      <c r="A80" t="s">
        <v>67</v>
      </c>
      <c r="B80" t="s">
        <v>69</v>
      </c>
      <c r="C80">
        <v>6</v>
      </c>
      <c r="D80" t="s">
        <v>80</v>
      </c>
      <c r="E80" t="s">
        <v>81</v>
      </c>
      <c r="F80" t="s">
        <v>82</v>
      </c>
      <c r="G80">
        <v>0</v>
      </c>
      <c r="H80">
        <v>0</v>
      </c>
      <c r="I80">
        <v>0</v>
      </c>
      <c r="J80">
        <v>0</v>
      </c>
      <c r="K80">
        <v>758</v>
      </c>
      <c r="L80" t="str">
        <f>DiscreteStatsTable[[#This Row],[ProjectName]]&amp;DiscreteStatsTable[[#This Row],[Name]]&amp;DiscreteStatsTable[[#This Row],[Type]]&amp;DiscreteStatsTable[[#This Row],[Source]]</f>
        <v>Unnamed ProjectTouristNVA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6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6</v>
      </c>
      <c r="Y80">
        <f>IF(DiscreteStatsTable[[#This Row],[RepsRequested]]=DiscreteStatsTable[[#This Row],[RepsWithStatObserved]],1,0)</f>
        <v>1</v>
      </c>
    </row>
    <row r="81" spans="1:25" x14ac:dyDescent="0.4">
      <c r="A81" t="s">
        <v>67</v>
      </c>
      <c r="B81" t="s">
        <v>69</v>
      </c>
      <c r="C81">
        <v>6</v>
      </c>
      <c r="D81" t="s">
        <v>80</v>
      </c>
      <c r="E81" t="s">
        <v>83</v>
      </c>
      <c r="F81" t="s">
        <v>82</v>
      </c>
      <c r="G81">
        <v>119.124985720422</v>
      </c>
      <c r="H81">
        <v>2.3526318128281098</v>
      </c>
      <c r="I81">
        <v>68.282368224566099</v>
      </c>
      <c r="J81">
        <v>180.80109216877301</v>
      </c>
      <c r="K81">
        <v>758</v>
      </c>
      <c r="L81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6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118.2268725490495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0.96951758614870753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1.0174463084103793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116.877699464787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119.13871888067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55.773522793583801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188.12068151584799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1">
        <f>IF((DiscreteStatsTable[[#This Row],[RepsRequested]]&gt;1),DiscreteStatsTable[[#This Row],[HalfWidth]],DiscreteStatsTable[[#This Row],[BatchMeansHalfWidth]])</f>
        <v>1.0174463084103793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6</v>
      </c>
      <c r="Y81">
        <f>IF(DiscreteStatsTable[[#This Row],[RepsRequested]]=DiscreteStatsTable[[#This Row],[RepsWithStatObserved]],1,0)</f>
        <v>1</v>
      </c>
    </row>
    <row r="82" spans="1:25" x14ac:dyDescent="0.4">
      <c r="A82" t="s">
        <v>67</v>
      </c>
      <c r="B82" t="s">
        <v>69</v>
      </c>
      <c r="C82">
        <v>6</v>
      </c>
      <c r="D82" t="s">
        <v>80</v>
      </c>
      <c r="E82" t="s">
        <v>84</v>
      </c>
      <c r="F82" t="s">
        <v>82</v>
      </c>
      <c r="G82">
        <v>199.98364501063199</v>
      </c>
      <c r="H82">
        <v>3E+20</v>
      </c>
      <c r="I82">
        <v>78.979775942843304</v>
      </c>
      <c r="J82">
        <v>392.00720497628799</v>
      </c>
      <c r="K82">
        <v>758</v>
      </c>
      <c r="L82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6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211.07550048138819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27.692128586639679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29.061106683402102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179.863083236368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251.359891846279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75.738103637758201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550.38404454841998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2">
        <f>IF((DiscreteStatsTable[[#This Row],[RepsRequested]]&gt;1),DiscreteStatsTable[[#This Row],[HalfWidth]],DiscreteStatsTable[[#This Row],[BatchMeansHalfWidth]])</f>
        <v>29.061106683402102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6</v>
      </c>
      <c r="Y82">
        <f>IF(DiscreteStatsTable[[#This Row],[RepsRequested]]=DiscreteStatsTable[[#This Row],[RepsWithStatObserved]],1,0)</f>
        <v>1</v>
      </c>
    </row>
    <row r="83" spans="1:25" x14ac:dyDescent="0.4">
      <c r="A83" t="s">
        <v>67</v>
      </c>
      <c r="B83" t="s">
        <v>69</v>
      </c>
      <c r="C83">
        <v>6</v>
      </c>
      <c r="D83" t="s">
        <v>80</v>
      </c>
      <c r="E83" t="s">
        <v>85</v>
      </c>
      <c r="F83" t="s">
        <v>82</v>
      </c>
      <c r="G83">
        <v>20.1872707445347</v>
      </c>
      <c r="H83">
        <v>0.70798489699179601</v>
      </c>
      <c r="I83">
        <v>6.4358235587569697</v>
      </c>
      <c r="J83">
        <v>46.9345749654209</v>
      </c>
      <c r="K83">
        <v>758</v>
      </c>
      <c r="L83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6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19.743593350365519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0.34515194803215987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0.36221475544447534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19.1857398398508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20.1872707445347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6.4051840405065796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49.133216198834397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3">
        <f>IF((DiscreteStatsTable[[#This Row],[RepsRequested]]&gt;1),DiscreteStatsTable[[#This Row],[HalfWidth]],DiscreteStatsTable[[#This Row],[BatchMeansHalfWidth]])</f>
        <v>0.36221475544447534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6</v>
      </c>
      <c r="Y83">
        <f>IF(DiscreteStatsTable[[#This Row],[RepsRequested]]=DiscreteStatsTable[[#This Row],[RepsWithStatObserved]],1,0)</f>
        <v>1</v>
      </c>
    </row>
    <row r="84" spans="1:25" x14ac:dyDescent="0.4">
      <c r="A84" t="s">
        <v>67</v>
      </c>
      <c r="B84" t="s">
        <v>69</v>
      </c>
      <c r="C84">
        <v>6</v>
      </c>
      <c r="D84" t="s">
        <v>80</v>
      </c>
      <c r="E84" t="s">
        <v>86</v>
      </c>
      <c r="F84" t="s">
        <v>82</v>
      </c>
      <c r="G84">
        <v>0</v>
      </c>
      <c r="H84">
        <v>0</v>
      </c>
      <c r="I84">
        <v>0</v>
      </c>
      <c r="J84">
        <v>0</v>
      </c>
      <c r="K84">
        <v>758</v>
      </c>
      <c r="L84" t="str">
        <f>DiscreteStatsTable[[#This Row],[ProjectName]]&amp;DiscreteStatsTable[[#This Row],[Name]]&amp;DiscreteStatsTable[[#This Row],[Type]]&amp;DiscreteStatsTable[[#This Row],[Source]]</f>
        <v>Unnamed ProjectTouristVA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6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6</v>
      </c>
      <c r="Y84">
        <f>IF(DiscreteStatsTable[[#This Row],[RepsRequested]]=DiscreteStatsTable[[#This Row],[RepsWithStatObserved]],1,0)</f>
        <v>1</v>
      </c>
    </row>
    <row r="85" spans="1:25" x14ac:dyDescent="0.4">
      <c r="A85" t="s">
        <v>67</v>
      </c>
      <c r="B85" t="s">
        <v>69</v>
      </c>
      <c r="C85">
        <v>6</v>
      </c>
      <c r="D85" t="s">
        <v>80</v>
      </c>
      <c r="E85" t="s">
        <v>87</v>
      </c>
      <c r="F85" t="s">
        <v>82</v>
      </c>
      <c r="G85">
        <v>60.671388545675399</v>
      </c>
      <c r="H85">
        <v>3E+20</v>
      </c>
      <c r="I85">
        <v>0</v>
      </c>
      <c r="J85">
        <v>202.09687479487201</v>
      </c>
      <c r="K85">
        <v>758</v>
      </c>
      <c r="L85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6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73.105034581973271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28.679503593105959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30.097293205130342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41.600262236705198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114.98252618513099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382.26122678645902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680.16666666666663</v>
      </c>
      <c r="W85">
        <f>IF((DiscreteStatsTable[[#This Row],[RepsRequested]]&gt;1),DiscreteStatsTable[[#This Row],[HalfWidth]],DiscreteStatsTable[[#This Row],[BatchMeansHalfWidth]])</f>
        <v>30.097293205130342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6</v>
      </c>
      <c r="Y85">
        <f>IF(DiscreteStatsTable[[#This Row],[RepsRequested]]=DiscreteStatsTable[[#This Row],[RepsWithStatObserved]],1,0)</f>
        <v>1</v>
      </c>
    </row>
  </sheetData>
  <phoneticPr fontId="2" type="noConversion"/>
  <conditionalFormatting sqref="H2:H85 Q2:Q85">
    <cfRule type="expression" dxfId="19" priority="23">
      <formula>H2=200000000000000000000</formula>
    </cfRule>
  </conditionalFormatting>
  <conditionalFormatting sqref="H2:H85">
    <cfRule type="expression" dxfId="18" priority="21">
      <formula>H2=300000000000000000000</formula>
    </cfRule>
  </conditionalFormatting>
  <conditionalFormatting sqref="L2:Y85">
    <cfRule type="expression" dxfId="17" priority="19">
      <formula>MOD(ROW(),2)=0</formula>
    </cfRule>
  </conditionalFormatting>
  <conditionalFormatting sqref="Y2:Y85">
    <cfRule type="expression" dxfId="16" priority="14">
      <formula>Y2=0</formula>
    </cfRule>
    <cfRule type="expression" dxfId="15" priority="16">
      <formula>Y2=1</formula>
    </cfRule>
  </conditionalFormatting>
  <conditionalFormatting sqref="Y3:Y85">
    <cfRule type="expression" dxfId="14" priority="15">
      <formula>Y3=1</formula>
    </cfRule>
  </conditionalFormatting>
  <conditionalFormatting sqref="W2:W85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85 W2:W85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55"/>
  <sheetViews>
    <sheetView workbookViewId="0">
      <selection activeCell="D2" sqref="D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26.3828125" bestFit="1" customWidth="1"/>
    <col min="5" max="5" width="14.4609375" bestFit="1" customWidth="1"/>
    <col min="6" max="6" width="8.69140625" bestFit="1" customWidth="1"/>
    <col min="7" max="7" width="11.84375" bestFit="1" customWidth="1"/>
    <col min="8" max="8" width="22.07421875" bestFit="1" customWidth="1"/>
    <col min="9" max="9" width="11.15234375" bestFit="1" customWidth="1"/>
    <col min="10" max="10" width="11.53515625" bestFit="1" customWidth="1"/>
    <col min="11" max="11" width="19.07421875" bestFit="1" customWidth="1"/>
    <col min="12" max="12" width="11.07421875" bestFit="1" customWidth="1"/>
    <col min="13" max="13" width="60.3828125" bestFit="1" customWidth="1"/>
    <col min="14" max="14" width="16" bestFit="1" customWidth="1"/>
    <col min="15" max="15" width="18.69140625" bestFit="1" customWidth="1"/>
    <col min="16" max="16" width="16.69140625" bestFit="1" customWidth="1"/>
    <col min="17" max="17" width="18.84375" bestFit="1" customWidth="1"/>
    <col min="18" max="18" width="11.84375" bestFit="1" customWidth="1"/>
    <col min="19" max="19" width="18" bestFit="1" customWidth="1"/>
    <col min="20" max="20" width="18.3828125" bestFit="1" customWidth="1"/>
    <col min="21" max="21" width="19.53515625" bestFit="1" customWidth="1"/>
    <col min="22" max="22" width="20" bestFit="1" customWidth="1"/>
  </cols>
  <sheetData>
    <row r="1" spans="1:21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4">
      <c r="A2" t="s">
        <v>67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6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4">
      <c r="A3" t="s">
        <v>67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6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4">
      <c r="A4" t="s">
        <v>67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6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4">
      <c r="A5" t="s">
        <v>67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6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4">
      <c r="A6" t="s">
        <v>67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6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13.0230562536926</v>
      </c>
      <c r="U6">
        <f>IF((ContinuousStatsTable[[#This Row],[RepsRequested]]&gt;1),ContinuousStatsTable[[#This Row],[HalfWidth]],ContinuousStatsTable[[#This Row],[BatchMeansHalfWidth]])</f>
        <v>5.3213763809057966</v>
      </c>
    </row>
    <row r="7" spans="1:21" x14ac:dyDescent="0.4">
      <c r="A7" t="s">
        <v>67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10.7783398635915</v>
      </c>
      <c r="H7">
        <v>3E+20</v>
      </c>
      <c r="I7">
        <v>0</v>
      </c>
      <c r="J7">
        <v>34</v>
      </c>
      <c r="K7">
        <v>25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6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6.2428556077137598E-4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10.7783398635915</v>
      </c>
      <c r="U7">
        <f>IF((ContinuousStatsTable[[#This Row],[RepsRequested]]&gt;1),ContinuousStatsTable[[#This Row],[HalfWidth]],ContinuousStatsTable[[#This Row],[BatchMeansHalfWidth]])</f>
        <v>5.3793234275726425</v>
      </c>
    </row>
    <row r="8" spans="1:21" x14ac:dyDescent="0.4">
      <c r="A8" t="s">
        <v>67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5.0037147502107997</v>
      </c>
      <c r="H8">
        <v>3E+20</v>
      </c>
      <c r="I8">
        <v>0</v>
      </c>
      <c r="J8">
        <v>30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6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0.28259624337913702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34.036846707370998</v>
      </c>
      <c r="U8">
        <f>IF((ContinuousStatsTable[[#This Row],[RepsRequested]]&gt;1),ContinuousStatsTable[[#This Row],[HalfWidth]],ContinuousStatsTable[[#This Row],[BatchMeansHalfWidth]])</f>
        <v>15.371354954102877</v>
      </c>
    </row>
    <row r="9" spans="1:21" x14ac:dyDescent="0.4">
      <c r="A9" t="s">
        <v>67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2.81153586973956</v>
      </c>
      <c r="H9">
        <v>2E+20</v>
      </c>
      <c r="I9">
        <v>0</v>
      </c>
      <c r="J9">
        <v>21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6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7.7044974755912404E-2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22.328191986373401</v>
      </c>
      <c r="U9">
        <f>IF((ContinuousStatsTable[[#This Row],[RepsRequested]]&gt;1),ContinuousStatsTable[[#This Row],[HalfWidth]],ContinuousStatsTable[[#This Row],[BatchMeansHalfWidth]])</f>
        <v>9.2205386688277198</v>
      </c>
    </row>
    <row r="10" spans="1:21" x14ac:dyDescent="0.4">
      <c r="A10" t="s">
        <v>67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65.921363270599898</v>
      </c>
      <c r="H10">
        <v>3E+20</v>
      </c>
      <c r="I10">
        <v>0</v>
      </c>
      <c r="J10">
        <v>97</v>
      </c>
      <c r="K10">
        <v>89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6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62.819573565301503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84.8623030031805</v>
      </c>
      <c r="U10">
        <f>IF((ContinuousStatsTable[[#This Row],[RepsRequested]]&gt;1),ContinuousStatsTable[[#This Row],[HalfWidth]],ContinuousStatsTable[[#This Row],[BatchMeansHalfWidth]])</f>
        <v>8.6002713366417218</v>
      </c>
    </row>
    <row r="11" spans="1:21" x14ac:dyDescent="0.4">
      <c r="A11" t="s">
        <v>67</v>
      </c>
      <c r="B11" t="s">
        <v>69</v>
      </c>
      <c r="C11">
        <v>2</v>
      </c>
      <c r="D11" t="s">
        <v>70</v>
      </c>
      <c r="E11" t="s">
        <v>88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6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4">
      <c r="A12" t="s">
        <v>67</v>
      </c>
      <c r="B12" t="s">
        <v>69</v>
      </c>
      <c r="C12">
        <v>2</v>
      </c>
      <c r="D12" t="s">
        <v>73</v>
      </c>
      <c r="E12" t="s">
        <v>88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6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>
        <f>IF((ContinuousStatsTable[[#This Row],[RepsRequested]]&gt;1),ContinuousStatsTable[[#This Row],[HalfWidth]],ContinuousStatsTable[[#This Row],[BatchMeansHalfWidth]])</f>
        <v>0</v>
      </c>
    </row>
    <row r="13" spans="1:21" x14ac:dyDescent="0.4">
      <c r="A13" t="s">
        <v>67</v>
      </c>
      <c r="B13" t="s">
        <v>69</v>
      </c>
      <c r="C13">
        <v>2</v>
      </c>
      <c r="D13" t="s">
        <v>74</v>
      </c>
      <c r="E13" t="s">
        <v>88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6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4">
      <c r="A14" t="s">
        <v>67</v>
      </c>
      <c r="B14" t="s">
        <v>69</v>
      </c>
      <c r="C14">
        <v>2</v>
      </c>
      <c r="D14" t="s">
        <v>75</v>
      </c>
      <c r="E14" t="s">
        <v>88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6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4">
      <c r="A15" t="s">
        <v>67</v>
      </c>
      <c r="B15" t="s">
        <v>69</v>
      </c>
      <c r="C15">
        <v>2</v>
      </c>
      <c r="D15" t="s">
        <v>76</v>
      </c>
      <c r="E15" t="s">
        <v>88</v>
      </c>
      <c r="F15" t="s">
        <v>72</v>
      </c>
      <c r="G15">
        <v>6.4457881918703004</v>
      </c>
      <c r="H15">
        <v>3E+20</v>
      </c>
      <c r="I15">
        <v>0</v>
      </c>
      <c r="J15">
        <v>30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6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13.0230562536926</v>
      </c>
      <c r="U15">
        <f>IF((ContinuousStatsTable[[#This Row],[RepsRequested]]&gt;1),ContinuousStatsTable[[#This Row],[HalfWidth]],ContinuousStatsTable[[#This Row],[BatchMeansHalfWidth]])</f>
        <v>5.3213763809057966</v>
      </c>
    </row>
    <row r="16" spans="1:21" x14ac:dyDescent="0.4">
      <c r="A16" t="s">
        <v>67</v>
      </c>
      <c r="B16" t="s">
        <v>69</v>
      </c>
      <c r="C16">
        <v>2</v>
      </c>
      <c r="D16" t="s">
        <v>77</v>
      </c>
      <c r="E16" t="s">
        <v>88</v>
      </c>
      <c r="F16" t="s">
        <v>72</v>
      </c>
      <c r="G16">
        <v>9.0541173630449894</v>
      </c>
      <c r="H16">
        <v>3E+20</v>
      </c>
      <c r="I16">
        <v>0</v>
      </c>
      <c r="J16">
        <v>59</v>
      </c>
      <c r="K16">
        <v>57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6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6.2428556077137598E-4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10.7783398635915</v>
      </c>
      <c r="U16">
        <f>IF((ContinuousStatsTable[[#This Row],[RepsRequested]]&gt;1),ContinuousStatsTable[[#This Row],[HalfWidth]],ContinuousStatsTable[[#This Row],[BatchMeansHalfWidth]])</f>
        <v>5.3793234275726425</v>
      </c>
    </row>
    <row r="17" spans="1:21" x14ac:dyDescent="0.4">
      <c r="A17" t="s">
        <v>67</v>
      </c>
      <c r="B17" t="s">
        <v>69</v>
      </c>
      <c r="C17">
        <v>2</v>
      </c>
      <c r="D17" t="s">
        <v>78</v>
      </c>
      <c r="E17" t="s">
        <v>88</v>
      </c>
      <c r="F17" t="s">
        <v>72</v>
      </c>
      <c r="G17">
        <v>1.09767579959077</v>
      </c>
      <c r="H17">
        <v>2E+20</v>
      </c>
      <c r="I17">
        <v>0</v>
      </c>
      <c r="J17">
        <v>12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6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0.28259624337913702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34.036846707370998</v>
      </c>
      <c r="U17">
        <f>IF((ContinuousStatsTable[[#This Row],[RepsRequested]]&gt;1),ContinuousStatsTable[[#This Row],[HalfWidth]],ContinuousStatsTable[[#This Row],[BatchMeansHalfWidth]])</f>
        <v>15.371354954102877</v>
      </c>
    </row>
    <row r="18" spans="1:21" x14ac:dyDescent="0.4">
      <c r="A18" t="s">
        <v>67</v>
      </c>
      <c r="B18" t="s">
        <v>69</v>
      </c>
      <c r="C18">
        <v>2</v>
      </c>
      <c r="D18" t="s">
        <v>79</v>
      </c>
      <c r="E18" t="s">
        <v>88</v>
      </c>
      <c r="F18" t="s">
        <v>72</v>
      </c>
      <c r="G18">
        <v>0.28496071486239599</v>
      </c>
      <c r="H18">
        <v>2E+20</v>
      </c>
      <c r="I18">
        <v>0</v>
      </c>
      <c r="J18">
        <v>6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6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7.7044974755912404E-2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22.328191986373401</v>
      </c>
      <c r="U18">
        <f>IF((ContinuousStatsTable[[#This Row],[RepsRequested]]&gt;1),ContinuousStatsTable[[#This Row],[HalfWidth]],ContinuousStatsTable[[#This Row],[BatchMeansHalfWidth]])</f>
        <v>9.2205386688277198</v>
      </c>
    </row>
    <row r="19" spans="1:21" x14ac:dyDescent="0.4">
      <c r="A19" t="s">
        <v>67</v>
      </c>
      <c r="B19" t="s">
        <v>69</v>
      </c>
      <c r="C19">
        <v>2</v>
      </c>
      <c r="D19" t="s">
        <v>80</v>
      </c>
      <c r="E19" t="s">
        <v>89</v>
      </c>
      <c r="F19" t="s">
        <v>82</v>
      </c>
      <c r="G19">
        <v>62.819573565301503</v>
      </c>
      <c r="H19">
        <v>3E+20</v>
      </c>
      <c r="I19">
        <v>0</v>
      </c>
      <c r="J19">
        <v>97</v>
      </c>
      <c r="K19">
        <v>96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6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62.819573565301503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84.8623030031805</v>
      </c>
      <c r="U19">
        <f>IF((ContinuousStatsTable[[#This Row],[RepsRequested]]&gt;1),ContinuousStatsTable[[#This Row],[HalfWidth]],ContinuousStatsTable[[#This Row],[BatchMeansHalfWidth]])</f>
        <v>8.6002713366417218</v>
      </c>
    </row>
    <row r="20" spans="1:21" x14ac:dyDescent="0.4">
      <c r="A20" t="s">
        <v>67</v>
      </c>
      <c r="B20" t="s">
        <v>69</v>
      </c>
      <c r="C20">
        <v>3</v>
      </c>
      <c r="D20" t="s">
        <v>70</v>
      </c>
      <c r="E20" t="s">
        <v>88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6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4">
      <c r="A21" t="s">
        <v>67</v>
      </c>
      <c r="B21" t="s">
        <v>69</v>
      </c>
      <c r="C21">
        <v>3</v>
      </c>
      <c r="D21" t="s">
        <v>73</v>
      </c>
      <c r="E21" t="s">
        <v>88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6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4">
      <c r="A22" t="s">
        <v>67</v>
      </c>
      <c r="B22" t="s">
        <v>69</v>
      </c>
      <c r="C22">
        <v>3</v>
      </c>
      <c r="D22" t="s">
        <v>74</v>
      </c>
      <c r="E22" t="s">
        <v>88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6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4">
      <c r="A23" t="s">
        <v>67</v>
      </c>
      <c r="B23" t="s">
        <v>69</v>
      </c>
      <c r="C23">
        <v>3</v>
      </c>
      <c r="D23" t="s">
        <v>75</v>
      </c>
      <c r="E23" t="s">
        <v>88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6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</v>
      </c>
      <c r="U23">
        <f>IF((ContinuousStatsTable[[#This Row],[RepsRequested]]&gt;1),ContinuousStatsTable[[#This Row],[HalfWidth]],ContinuousStatsTable[[#This Row],[BatchMeansHalfWidth]])</f>
        <v>0</v>
      </c>
    </row>
    <row r="24" spans="1:21" x14ac:dyDescent="0.4">
      <c r="A24" t="s">
        <v>67</v>
      </c>
      <c r="B24" t="s">
        <v>69</v>
      </c>
      <c r="C24">
        <v>3</v>
      </c>
      <c r="D24" t="s">
        <v>76</v>
      </c>
      <c r="E24" t="s">
        <v>88</v>
      </c>
      <c r="F24" t="s">
        <v>72</v>
      </c>
      <c r="G24">
        <v>13.0230562536926</v>
      </c>
      <c r="H24">
        <v>3E+20</v>
      </c>
      <c r="I24">
        <v>0</v>
      </c>
      <c r="J24">
        <v>48</v>
      </c>
      <c r="K24">
        <v>15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6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13.0230562536926</v>
      </c>
      <c r="U24">
        <f>IF((ContinuousStatsTable[[#This Row],[RepsRequested]]&gt;1),ContinuousStatsTable[[#This Row],[HalfWidth]],ContinuousStatsTable[[#This Row],[BatchMeansHalfWidth]])</f>
        <v>5.3213763809057966</v>
      </c>
    </row>
    <row r="25" spans="1:21" x14ac:dyDescent="0.4">
      <c r="A25" t="s">
        <v>67</v>
      </c>
      <c r="B25" t="s">
        <v>69</v>
      </c>
      <c r="C25">
        <v>3</v>
      </c>
      <c r="D25" t="s">
        <v>77</v>
      </c>
      <c r="E25" t="s">
        <v>88</v>
      </c>
      <c r="F25" t="s">
        <v>72</v>
      </c>
      <c r="G25">
        <v>0.12320629435087301</v>
      </c>
      <c r="H25">
        <v>2E+20</v>
      </c>
      <c r="I25">
        <v>0</v>
      </c>
      <c r="J25">
        <v>7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6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6.2428556077137598E-4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10.7783398635915</v>
      </c>
      <c r="U25">
        <f>IF((ContinuousStatsTable[[#This Row],[RepsRequested]]&gt;1),ContinuousStatsTable[[#This Row],[HalfWidth]],ContinuousStatsTable[[#This Row],[BatchMeansHalfWidth]])</f>
        <v>5.3793234275726425</v>
      </c>
    </row>
    <row r="26" spans="1:21" x14ac:dyDescent="0.4">
      <c r="A26" t="s">
        <v>67</v>
      </c>
      <c r="B26" t="s">
        <v>69</v>
      </c>
      <c r="C26">
        <v>3</v>
      </c>
      <c r="D26" t="s">
        <v>78</v>
      </c>
      <c r="E26" t="s">
        <v>88</v>
      </c>
      <c r="F26" t="s">
        <v>72</v>
      </c>
      <c r="G26">
        <v>27.258736402581899</v>
      </c>
      <c r="H26">
        <v>3E+20</v>
      </c>
      <c r="I26">
        <v>0</v>
      </c>
      <c r="J26">
        <v>63</v>
      </c>
      <c r="K26">
        <v>63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6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0.28259624337913702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34.036846707370998</v>
      </c>
      <c r="U26">
        <f>IF((ContinuousStatsTable[[#This Row],[RepsRequested]]&gt;1),ContinuousStatsTable[[#This Row],[HalfWidth]],ContinuousStatsTable[[#This Row],[BatchMeansHalfWidth]])</f>
        <v>15.371354954102877</v>
      </c>
    </row>
    <row r="27" spans="1:21" x14ac:dyDescent="0.4">
      <c r="A27" t="s">
        <v>67</v>
      </c>
      <c r="B27" t="s">
        <v>69</v>
      </c>
      <c r="C27">
        <v>3</v>
      </c>
      <c r="D27" t="s">
        <v>79</v>
      </c>
      <c r="E27" t="s">
        <v>88</v>
      </c>
      <c r="F27" t="s">
        <v>72</v>
      </c>
      <c r="G27">
        <v>0.67532180351353599</v>
      </c>
      <c r="H27">
        <v>2E+20</v>
      </c>
      <c r="I27">
        <v>0</v>
      </c>
      <c r="J27">
        <v>13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6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7.7044974755912404E-2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22.328191986373401</v>
      </c>
      <c r="U27">
        <f>IF((ContinuousStatsTable[[#This Row],[RepsRequested]]&gt;1),ContinuousStatsTable[[#This Row],[HalfWidth]],ContinuousStatsTable[[#This Row],[BatchMeansHalfWidth]])</f>
        <v>9.2205386688277198</v>
      </c>
    </row>
    <row r="28" spans="1:21" x14ac:dyDescent="0.4">
      <c r="A28" t="s">
        <v>67</v>
      </c>
      <c r="B28" t="s">
        <v>69</v>
      </c>
      <c r="C28">
        <v>3</v>
      </c>
      <c r="D28" t="s">
        <v>80</v>
      </c>
      <c r="E28" t="s">
        <v>89</v>
      </c>
      <c r="F28" t="s">
        <v>82</v>
      </c>
      <c r="G28">
        <v>84.8623030031805</v>
      </c>
      <c r="H28">
        <v>3E+20</v>
      </c>
      <c r="I28">
        <v>0</v>
      </c>
      <c r="J28">
        <v>126</v>
      </c>
      <c r="K28">
        <v>123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6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62.819573565301503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84.8623030031805</v>
      </c>
      <c r="U28">
        <f>IF((ContinuousStatsTable[[#This Row],[RepsRequested]]&gt;1),ContinuousStatsTable[[#This Row],[HalfWidth]],ContinuousStatsTable[[#This Row],[BatchMeansHalfWidth]])</f>
        <v>8.6002713366417218</v>
      </c>
    </row>
    <row r="29" spans="1:21" x14ac:dyDescent="0.4">
      <c r="A29" t="s">
        <v>67</v>
      </c>
      <c r="B29" t="s">
        <v>69</v>
      </c>
      <c r="C29">
        <v>4</v>
      </c>
      <c r="D29" t="s">
        <v>70</v>
      </c>
      <c r="E29" t="s">
        <v>88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6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>
        <f>IF((ContinuousStatsTable[[#This Row],[RepsRequested]]&gt;1),ContinuousStatsTable[[#This Row],[HalfWidth]],ContinuousStatsTable[[#This Row],[BatchMeansHalfWidth]])</f>
        <v>0</v>
      </c>
    </row>
    <row r="30" spans="1:21" x14ac:dyDescent="0.4">
      <c r="A30" t="s">
        <v>67</v>
      </c>
      <c r="B30" t="s">
        <v>69</v>
      </c>
      <c r="C30">
        <v>4</v>
      </c>
      <c r="D30" t="s">
        <v>73</v>
      </c>
      <c r="E30" t="s">
        <v>88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6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4">
      <c r="A31" t="s">
        <v>67</v>
      </c>
      <c r="B31" t="s">
        <v>69</v>
      </c>
      <c r="C31">
        <v>4</v>
      </c>
      <c r="D31" t="s">
        <v>74</v>
      </c>
      <c r="E31" t="s">
        <v>88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6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4">
      <c r="A32" t="s">
        <v>67</v>
      </c>
      <c r="B32" t="s">
        <v>69</v>
      </c>
      <c r="C32">
        <v>4</v>
      </c>
      <c r="D32" t="s">
        <v>75</v>
      </c>
      <c r="E32" t="s">
        <v>88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6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4">
      <c r="A33" t="s">
        <v>67</v>
      </c>
      <c r="B33" t="s">
        <v>69</v>
      </c>
      <c r="C33">
        <v>4</v>
      </c>
      <c r="D33" t="s">
        <v>76</v>
      </c>
      <c r="E33" t="s">
        <v>88</v>
      </c>
      <c r="F33" t="s">
        <v>72</v>
      </c>
      <c r="G33">
        <v>0.54118865703224595</v>
      </c>
      <c r="H33">
        <v>2E+20</v>
      </c>
      <c r="I33">
        <v>0</v>
      </c>
      <c r="J33">
        <v>13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6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13.0230562536926</v>
      </c>
      <c r="U33">
        <f>IF((ContinuousStatsTable[[#This Row],[RepsRequested]]&gt;1),ContinuousStatsTable[[#This Row],[HalfWidth]],ContinuousStatsTable[[#This Row],[BatchMeansHalfWidth]])</f>
        <v>5.3213763809057966</v>
      </c>
    </row>
    <row r="34" spans="1:21" x14ac:dyDescent="0.4">
      <c r="A34" t="s">
        <v>67</v>
      </c>
      <c r="B34" t="s">
        <v>69</v>
      </c>
      <c r="C34">
        <v>4</v>
      </c>
      <c r="D34" t="s">
        <v>77</v>
      </c>
      <c r="E34" t="s">
        <v>88</v>
      </c>
      <c r="F34" t="s">
        <v>72</v>
      </c>
      <c r="G34">
        <v>6.1993895631585298E-2</v>
      </c>
      <c r="H34">
        <v>2E+20</v>
      </c>
      <c r="I34">
        <v>0</v>
      </c>
      <c r="J34">
        <v>6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6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6.2428556077137598E-4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10.7783398635915</v>
      </c>
      <c r="U34">
        <f>IF((ContinuousStatsTable[[#This Row],[RepsRequested]]&gt;1),ContinuousStatsTable[[#This Row],[HalfWidth]],ContinuousStatsTable[[#This Row],[BatchMeansHalfWidth]])</f>
        <v>5.3793234275726425</v>
      </c>
    </row>
    <row r="35" spans="1:21" x14ac:dyDescent="0.4">
      <c r="A35" t="s">
        <v>67</v>
      </c>
      <c r="B35" t="s">
        <v>69</v>
      </c>
      <c r="C35">
        <v>4</v>
      </c>
      <c r="D35" t="s">
        <v>78</v>
      </c>
      <c r="E35" t="s">
        <v>88</v>
      </c>
      <c r="F35" t="s">
        <v>72</v>
      </c>
      <c r="G35">
        <v>34.036846707370998</v>
      </c>
      <c r="H35">
        <v>3E+20</v>
      </c>
      <c r="I35">
        <v>0</v>
      </c>
      <c r="J35">
        <v>68</v>
      </c>
      <c r="K35">
        <v>67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6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0.28259624337913702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34.036846707370998</v>
      </c>
      <c r="U35">
        <f>IF((ContinuousStatsTable[[#This Row],[RepsRequested]]&gt;1),ContinuousStatsTable[[#This Row],[HalfWidth]],ContinuousStatsTable[[#This Row],[BatchMeansHalfWidth]])</f>
        <v>15.371354954102877</v>
      </c>
    </row>
    <row r="36" spans="1:21" x14ac:dyDescent="0.4">
      <c r="A36" t="s">
        <v>67</v>
      </c>
      <c r="B36" t="s">
        <v>69</v>
      </c>
      <c r="C36">
        <v>4</v>
      </c>
      <c r="D36" t="s">
        <v>79</v>
      </c>
      <c r="E36" t="s">
        <v>88</v>
      </c>
      <c r="F36" t="s">
        <v>72</v>
      </c>
      <c r="G36">
        <v>7.7044974755912404E-2</v>
      </c>
      <c r="H36">
        <v>2E+20</v>
      </c>
      <c r="I36">
        <v>0</v>
      </c>
      <c r="J36">
        <v>4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6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7.7044974755912404E-2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22.328191986373401</v>
      </c>
      <c r="U36">
        <f>IF((ContinuousStatsTable[[#This Row],[RepsRequested]]&gt;1),ContinuousStatsTable[[#This Row],[HalfWidth]],ContinuousStatsTable[[#This Row],[BatchMeansHalfWidth]])</f>
        <v>9.2205386688277198</v>
      </c>
    </row>
    <row r="37" spans="1:21" x14ac:dyDescent="0.4">
      <c r="A37" t="s">
        <v>67</v>
      </c>
      <c r="B37" t="s">
        <v>69</v>
      </c>
      <c r="C37">
        <v>4</v>
      </c>
      <c r="D37" t="s">
        <v>80</v>
      </c>
      <c r="E37" t="s">
        <v>89</v>
      </c>
      <c r="F37" t="s">
        <v>82</v>
      </c>
      <c r="G37">
        <v>79.225981755891397</v>
      </c>
      <c r="H37">
        <v>3E+20</v>
      </c>
      <c r="I37">
        <v>0</v>
      </c>
      <c r="J37">
        <v>123</v>
      </c>
      <c r="K37">
        <v>111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6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62.819573565301503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84.8623030031805</v>
      </c>
      <c r="U37">
        <f>IF((ContinuousStatsTable[[#This Row],[RepsRequested]]&gt;1),ContinuousStatsTable[[#This Row],[HalfWidth]],ContinuousStatsTable[[#This Row],[BatchMeansHalfWidth]])</f>
        <v>8.6002713366417218</v>
      </c>
    </row>
    <row r="38" spans="1:21" x14ac:dyDescent="0.4">
      <c r="A38" t="s">
        <v>67</v>
      </c>
      <c r="B38" t="s">
        <v>69</v>
      </c>
      <c r="C38">
        <v>5</v>
      </c>
      <c r="D38" t="s">
        <v>70</v>
      </c>
      <c r="E38" t="s">
        <v>88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6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4">
      <c r="A39" t="s">
        <v>67</v>
      </c>
      <c r="B39" t="s">
        <v>69</v>
      </c>
      <c r="C39">
        <v>5</v>
      </c>
      <c r="D39" t="s">
        <v>73</v>
      </c>
      <c r="E39" t="s">
        <v>88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6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>
        <f>IF((ContinuousStatsTable[[#This Row],[RepsRequested]]&gt;1),ContinuousStatsTable[[#This Row],[HalfWidth]],ContinuousStatsTable[[#This Row],[BatchMeansHalfWidth]])</f>
        <v>0</v>
      </c>
    </row>
    <row r="40" spans="1:21" x14ac:dyDescent="0.4">
      <c r="A40" t="s">
        <v>67</v>
      </c>
      <c r="B40" t="s">
        <v>69</v>
      </c>
      <c r="C40">
        <v>5</v>
      </c>
      <c r="D40" t="s">
        <v>74</v>
      </c>
      <c r="E40" t="s">
        <v>88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6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4">
      <c r="A41" t="s">
        <v>67</v>
      </c>
      <c r="B41" t="s">
        <v>69</v>
      </c>
      <c r="C41">
        <v>5</v>
      </c>
      <c r="D41" t="s">
        <v>75</v>
      </c>
      <c r="E41" t="s">
        <v>88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6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0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0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4">
      <c r="A42" t="s">
        <v>67</v>
      </c>
      <c r="B42" t="s">
        <v>69</v>
      </c>
      <c r="C42">
        <v>5</v>
      </c>
      <c r="D42" t="s">
        <v>76</v>
      </c>
      <c r="E42" t="s">
        <v>88</v>
      </c>
      <c r="F42" t="s">
        <v>72</v>
      </c>
      <c r="G42">
        <v>2.38901360473068</v>
      </c>
      <c r="H42">
        <v>2E+20</v>
      </c>
      <c r="I42">
        <v>0</v>
      </c>
      <c r="J42">
        <v>27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6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13.0230562536926</v>
      </c>
      <c r="U42">
        <f>IF((ContinuousStatsTable[[#This Row],[RepsRequested]]&gt;1),ContinuousStatsTable[[#This Row],[HalfWidth]],ContinuousStatsTable[[#This Row],[BatchMeansHalfWidth]])</f>
        <v>5.3213763809057966</v>
      </c>
    </row>
    <row r="43" spans="1:21" x14ac:dyDescent="0.4">
      <c r="A43" t="s">
        <v>67</v>
      </c>
      <c r="B43" t="s">
        <v>69</v>
      </c>
      <c r="C43">
        <v>5</v>
      </c>
      <c r="D43" t="s">
        <v>77</v>
      </c>
      <c r="E43" t="s">
        <v>88</v>
      </c>
      <c r="F43" t="s">
        <v>72</v>
      </c>
      <c r="G43">
        <v>7.16554381560871E-4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6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6.2428556077137598E-4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10.7783398635915</v>
      </c>
      <c r="U43">
        <f>IF((ContinuousStatsTable[[#This Row],[RepsRequested]]&gt;1),ContinuousStatsTable[[#This Row],[HalfWidth]],ContinuousStatsTable[[#This Row],[BatchMeansHalfWidth]])</f>
        <v>5.3793234275726425</v>
      </c>
    </row>
    <row r="44" spans="1:21" x14ac:dyDescent="0.4">
      <c r="A44" t="s">
        <v>67</v>
      </c>
      <c r="B44" t="s">
        <v>69</v>
      </c>
      <c r="C44">
        <v>5</v>
      </c>
      <c r="D44" t="s">
        <v>78</v>
      </c>
      <c r="E44" t="s">
        <v>88</v>
      </c>
      <c r="F44" t="s">
        <v>72</v>
      </c>
      <c r="G44">
        <v>22.0879780290004</v>
      </c>
      <c r="H44">
        <v>3E+20</v>
      </c>
      <c r="I44">
        <v>0</v>
      </c>
      <c r="J44">
        <v>56</v>
      </c>
      <c r="K44">
        <v>27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6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0.28259624337913702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34.036846707370998</v>
      </c>
      <c r="U44">
        <f>IF((ContinuousStatsTable[[#This Row],[RepsRequested]]&gt;1),ContinuousStatsTable[[#This Row],[HalfWidth]],ContinuousStatsTable[[#This Row],[BatchMeansHalfWidth]])</f>
        <v>15.371354954102877</v>
      </c>
    </row>
    <row r="45" spans="1:21" x14ac:dyDescent="0.4">
      <c r="A45" t="s">
        <v>67</v>
      </c>
      <c r="B45" t="s">
        <v>69</v>
      </c>
      <c r="C45">
        <v>5</v>
      </c>
      <c r="D45" t="s">
        <v>79</v>
      </c>
      <c r="E45" t="s">
        <v>88</v>
      </c>
      <c r="F45" t="s">
        <v>72</v>
      </c>
      <c r="G45">
        <v>0.84856154276066098</v>
      </c>
      <c r="H45">
        <v>2E+20</v>
      </c>
      <c r="I45">
        <v>0</v>
      </c>
      <c r="J45">
        <v>10</v>
      </c>
      <c r="K45">
        <v>9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6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7.7044974755912404E-2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22.328191986373401</v>
      </c>
      <c r="U45">
        <f>IF((ContinuousStatsTable[[#This Row],[RepsRequested]]&gt;1),ContinuousStatsTable[[#This Row],[HalfWidth]],ContinuousStatsTable[[#This Row],[BatchMeansHalfWidth]])</f>
        <v>9.2205386688277198</v>
      </c>
    </row>
    <row r="46" spans="1:21" x14ac:dyDescent="0.4">
      <c r="A46" t="s">
        <v>67</v>
      </c>
      <c r="B46" t="s">
        <v>69</v>
      </c>
      <c r="C46">
        <v>5</v>
      </c>
      <c r="D46" t="s">
        <v>80</v>
      </c>
      <c r="E46" t="s">
        <v>89</v>
      </c>
      <c r="F46" t="s">
        <v>82</v>
      </c>
      <c r="G46">
        <v>72.829308783335506</v>
      </c>
      <c r="H46">
        <v>3E+20</v>
      </c>
      <c r="I46">
        <v>0</v>
      </c>
      <c r="J46">
        <v>111</v>
      </c>
      <c r="K46">
        <v>93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6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62.819573565301503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84.8623030031805</v>
      </c>
      <c r="U46">
        <f>IF((ContinuousStatsTable[[#This Row],[RepsRequested]]&gt;1),ContinuousStatsTable[[#This Row],[HalfWidth]],ContinuousStatsTable[[#This Row],[BatchMeansHalfWidth]])</f>
        <v>8.6002713366417218</v>
      </c>
    </row>
    <row r="47" spans="1:21" x14ac:dyDescent="0.4">
      <c r="A47" t="s">
        <v>67</v>
      </c>
      <c r="B47" t="s">
        <v>69</v>
      </c>
      <c r="C47">
        <v>6</v>
      </c>
      <c r="D47" t="s">
        <v>70</v>
      </c>
      <c r="E47" t="s">
        <v>88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ProjectQueue Bicycle A.QueueNumber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6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0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4">
      <c r="A48" t="s">
        <v>67</v>
      </c>
      <c r="B48" t="s">
        <v>69</v>
      </c>
      <c r="C48">
        <v>6</v>
      </c>
      <c r="D48" t="s">
        <v>73</v>
      </c>
      <c r="E48" t="s">
        <v>88</v>
      </c>
      <c r="F48" t="s">
        <v>72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ProjectQueue Bicycle B.QueueNumber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6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>
        <f>IF((ContinuousStatsTable[[#This Row],[RepsRequested]]&gt;1),ContinuousStatsTable[[#This Row],[HalfWidth]],ContinuousStatsTable[[#This Row],[BatchMeansHalfWidth]])</f>
        <v>0</v>
      </c>
    </row>
    <row r="49" spans="1:21" x14ac:dyDescent="0.4">
      <c r="A49" t="s">
        <v>67</v>
      </c>
      <c r="B49" t="s">
        <v>69</v>
      </c>
      <c r="C49">
        <v>6</v>
      </c>
      <c r="D49" t="s">
        <v>74</v>
      </c>
      <c r="E49" t="s">
        <v>88</v>
      </c>
      <c r="F49" t="s">
        <v>72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ProjectQueue Bicycle C.QueueNumber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6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4">
      <c r="A50" t="s">
        <v>67</v>
      </c>
      <c r="B50" t="s">
        <v>69</v>
      </c>
      <c r="C50">
        <v>6</v>
      </c>
      <c r="D50" t="s">
        <v>75</v>
      </c>
      <c r="E50" t="s">
        <v>88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ProjectQueue Bicycle D.QueueNumber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6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4">
      <c r="A51" t="s">
        <v>67</v>
      </c>
      <c r="B51" t="s">
        <v>69</v>
      </c>
      <c r="C51">
        <v>6</v>
      </c>
      <c r="D51" t="s">
        <v>76</v>
      </c>
      <c r="E51" t="s">
        <v>88</v>
      </c>
      <c r="F51" t="s">
        <v>72</v>
      </c>
      <c r="G51">
        <v>0.72398997456257996</v>
      </c>
      <c r="H51">
        <v>2E+20</v>
      </c>
      <c r="I51">
        <v>0</v>
      </c>
      <c r="J51">
        <v>15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ProjectQueue for Docking at A.QueueNumber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6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3.8538394469814019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5.0707029365166481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5.3213763809057966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13.0230562536926</v>
      </c>
      <c r="U51">
        <f>IF((ContinuousStatsTable[[#This Row],[RepsRequested]]&gt;1),ContinuousStatsTable[[#This Row],[HalfWidth]],ContinuousStatsTable[[#This Row],[BatchMeansHalfWidth]])</f>
        <v>5.3213763809057966</v>
      </c>
    </row>
    <row r="52" spans="1:21" x14ac:dyDescent="0.4">
      <c r="A52" t="s">
        <v>67</v>
      </c>
      <c r="B52" t="s">
        <v>69</v>
      </c>
      <c r="C52">
        <v>6</v>
      </c>
      <c r="D52" t="s">
        <v>77</v>
      </c>
      <c r="E52" t="s">
        <v>88</v>
      </c>
      <c r="F52" t="s">
        <v>72</v>
      </c>
      <c r="G52">
        <v>6.2428556077137598E-4</v>
      </c>
      <c r="H52">
        <v>2E+20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ProjectQueue for Docking at B.QueueNumber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6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3.3364997094268798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5.1259202785468743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5.3793234275726425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6.2428556077137598E-4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10.7783398635915</v>
      </c>
      <c r="U52">
        <f>IF((ContinuousStatsTable[[#This Row],[RepsRequested]]&gt;1),ContinuousStatsTable[[#This Row],[HalfWidth]],ContinuousStatsTable[[#This Row],[BatchMeansHalfWidth]])</f>
        <v>5.3793234275726425</v>
      </c>
    </row>
    <row r="53" spans="1:21" x14ac:dyDescent="0.4">
      <c r="A53" t="s">
        <v>67</v>
      </c>
      <c r="B53" t="s">
        <v>69</v>
      </c>
      <c r="C53">
        <v>6</v>
      </c>
      <c r="D53" t="s">
        <v>78</v>
      </c>
      <c r="E53" t="s">
        <v>88</v>
      </c>
      <c r="F53" t="s">
        <v>72</v>
      </c>
      <c r="G53">
        <v>0.28259624337913702</v>
      </c>
      <c r="H53">
        <v>2E+20</v>
      </c>
      <c r="I53">
        <v>0</v>
      </c>
      <c r="J53">
        <v>7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ProjectQueue for Docking at C.QueueNumber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6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14.961257988688999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14.647258364149341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15.371354954102877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0.28259624337913702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34.036846707370998</v>
      </c>
      <c r="U53">
        <f>IF((ContinuousStatsTable[[#This Row],[RepsRequested]]&gt;1),ContinuousStatsTable[[#This Row],[HalfWidth]],ContinuousStatsTable[[#This Row],[BatchMeansHalfWidth]])</f>
        <v>15.371354954102877</v>
      </c>
    </row>
    <row r="54" spans="1:21" x14ac:dyDescent="0.4">
      <c r="A54" t="s">
        <v>67</v>
      </c>
      <c r="B54" t="s">
        <v>69</v>
      </c>
      <c r="C54">
        <v>6</v>
      </c>
      <c r="D54" t="s">
        <v>79</v>
      </c>
      <c r="E54" t="s">
        <v>88</v>
      </c>
      <c r="F54" t="s">
        <v>72</v>
      </c>
      <c r="G54">
        <v>22.328191986373401</v>
      </c>
      <c r="H54">
        <v>3E+20</v>
      </c>
      <c r="I54">
        <v>0</v>
      </c>
      <c r="J54">
        <v>57</v>
      </c>
      <c r="K54">
        <v>31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ProjectQueue for Docking at D.QueueNumber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6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4.504269482000911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8.7861878502064386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9.2205386688277198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7.7044974755912404E-2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22.328191986373401</v>
      </c>
      <c r="U54">
        <f>IF((ContinuousStatsTable[[#This Row],[RepsRequested]]&gt;1),ContinuousStatsTable[[#This Row],[HalfWidth]],ContinuousStatsTable[[#This Row],[BatchMeansHalfWidth]])</f>
        <v>9.2205386688277198</v>
      </c>
    </row>
    <row r="55" spans="1:21" x14ac:dyDescent="0.4">
      <c r="A55" t="s">
        <v>67</v>
      </c>
      <c r="B55" t="s">
        <v>69</v>
      </c>
      <c r="C55">
        <v>6</v>
      </c>
      <c r="D55" t="s">
        <v>80</v>
      </c>
      <c r="E55" t="s">
        <v>89</v>
      </c>
      <c r="F55" t="s">
        <v>82</v>
      </c>
      <c r="G55">
        <v>74.909530253311303</v>
      </c>
      <c r="H55">
        <v>3E+20</v>
      </c>
      <c r="I55">
        <v>0</v>
      </c>
      <c r="J55">
        <v>119</v>
      </c>
      <c r="K55">
        <v>77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6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73.428010105270019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8.1951393774792543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8.6002713366417218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62.819573565301503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84.8623030031805</v>
      </c>
      <c r="U55">
        <f>IF((ContinuousStatsTable[[#This Row],[RepsRequested]]&gt;1),ContinuousStatsTable[[#This Row],[HalfWidth]],ContinuousStatsTable[[#This Row],[BatchMeansHalfWidth]])</f>
        <v>8.6002713366417218</v>
      </c>
    </row>
  </sheetData>
  <phoneticPr fontId="2" type="noConversion"/>
  <conditionalFormatting sqref="H2:H55">
    <cfRule type="expression" dxfId="10" priority="9">
      <formula>H2=200000000000000000000</formula>
    </cfRule>
  </conditionalFormatting>
  <conditionalFormatting sqref="H2:H55">
    <cfRule type="expression" dxfId="9" priority="7">
      <formula>H2=300000000000000000000</formula>
    </cfRule>
  </conditionalFormatting>
  <conditionalFormatting sqref="M2:U55">
    <cfRule type="expression" dxfId="8" priority="5">
      <formula>MOD(ROW(),2)=0</formula>
    </cfRule>
  </conditionalFormatting>
  <conditionalFormatting sqref="U2:U55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55 U2:U55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7.07421875" bestFit="1" customWidth="1"/>
    <col min="6" max="6" width="8.69140625" bestFit="1" customWidth="1"/>
    <col min="7" max="7" width="15.765625" bestFit="1" customWidth="1"/>
    <col min="8" max="8" width="13.3828125" bestFit="1" customWidth="1"/>
    <col min="9" max="9" width="16" bestFit="1" customWidth="1"/>
    <col min="10" max="10" width="9.84375" bestFit="1" customWidth="1"/>
    <col min="11" max="11" width="18.61328125" bestFit="1" customWidth="1"/>
    <col min="12" max="12" width="18.84375" bestFit="1" customWidth="1"/>
    <col min="13" max="13" width="11.53515625" bestFit="1" customWidth="1"/>
    <col min="14" max="14" width="11.15234375" bestFit="1" customWidth="1"/>
    <col min="15" max="15" width="11.53515625" bestFit="1" customWidth="1"/>
  </cols>
  <sheetData>
    <row r="1" spans="1:15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9"/>
  <sheetViews>
    <sheetView workbookViewId="0">
      <selection activeCell="H2" sqref="H2"/>
    </sheetView>
  </sheetViews>
  <sheetFormatPr defaultRowHeight="14.6" x14ac:dyDescent="0.4"/>
  <cols>
    <col min="1" max="1" width="15.23046875" bestFit="1" customWidth="1"/>
    <col min="2" max="2" width="20.921875" bestFit="1" customWidth="1"/>
    <col min="3" max="3" width="12.3828125" bestFit="1" customWidth="1"/>
    <col min="4" max="4" width="17.3046875" bestFit="1" customWidth="1"/>
    <col min="5" max="5" width="11.15234375" bestFit="1" customWidth="1"/>
    <col min="6" max="6" width="8.69140625" bestFit="1" customWidth="1"/>
    <col min="7" max="7" width="15.765625" bestFit="1" customWidth="1"/>
    <col min="8" max="8" width="11.07421875" bestFit="1" customWidth="1"/>
    <col min="9" max="9" width="48.3828125" bestFit="1" customWidth="1"/>
    <col min="10" max="10" width="16" bestFit="1" customWidth="1"/>
    <col min="11" max="11" width="11.84375" bestFit="1" customWidth="1"/>
    <col min="12" max="12" width="18.61328125" bestFit="1" customWidth="1"/>
    <col min="13" max="13" width="18.84375" bestFit="1" customWidth="1"/>
    <col min="14" max="14" width="11.84375" bestFit="1" customWidth="1"/>
    <col min="15" max="15" width="11.15234375" bestFit="1" customWidth="1"/>
    <col min="16" max="16" width="11.5351562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4">
      <c r="A2" t="s">
        <v>67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692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6</v>
      </c>
      <c r="K2" cm="1">
        <f t="array" ref="K2">IFERROR(AVERAGE(IF((OutputTable[GroupByKey]=OutputTable[[#This Row],[GroupByKey]]),(OutputTable[GroupByKey]=OutputTable[[#This Row],[GroupByKey]])*OutputTable[RecordedValue])),0)</f>
        <v>680.16666666666663</v>
      </c>
      <c r="L2" cm="1">
        <f t="array" ref="L2">IFERROR(_xlfn.STDEV.S(IF((OutputTable[GroupByKey]=OutputTable[[#This Row],[GroupByKey]]),(OutputTable[GroupByKey]=OutputTable[[#This Row],[GroupByKey]])*OutputTable[RecordedValue])),0)</f>
        <v>45.810115331296281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2" cm="1">
        <f t="array" ref="O2">MIN(IF((OutputTable[GroupByKey]=OutputTable[[#This Row],[GroupByKey]]),(OutputTable[GroupByKey]=OutputTable[[#This Row],[GroupByKey]])*OutputTable[RecordedValue]))</f>
        <v>628</v>
      </c>
      <c r="P2" cm="1">
        <f t="array" ref="P2">MAX(IF((OutputTable[GroupByKey]=OutputTable[[#This Row],[GroupByKey]]),(OutputTable[GroupByKey]=OutputTable[[#This Row],[GroupByKey]])*OutputTable[RecordedValue]))</f>
        <v>758</v>
      </c>
    </row>
    <row r="3" spans="1:16" x14ac:dyDescent="0.4">
      <c r="A3" t="s">
        <v>67</v>
      </c>
      <c r="B3" t="s">
        <v>69</v>
      </c>
      <c r="C3">
        <v>1</v>
      </c>
      <c r="D3" t="s">
        <v>93</v>
      </c>
      <c r="E3" t="s">
        <v>94</v>
      </c>
      <c r="F3" t="s">
        <v>82</v>
      </c>
      <c r="G3">
        <v>781</v>
      </c>
      <c r="H3">
        <v>0</v>
      </c>
      <c r="I3" t="str">
        <f>OutputTable[[#This Row],[ProjectName]]&amp;OutputTable[[#This Row],[Name]]&amp;OutputTable[[#This Row],[Type]]&amp;OutputTable[[#This Row],[Source]]</f>
        <v>Unnamed ProjectTourist.NumberInNumber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6</v>
      </c>
      <c r="K3" cm="1">
        <f t="array" ref="K3">IFERROR(AVERAGE(IF((OutputTable[GroupByKey]=OutputTable[[#This Row],[GroupByKey]]),(OutputTable[GroupByKey]=OutputTable[[#This Row],[GroupByKey]])*OutputTable[RecordedValue])),0)</f>
        <v>778.33333333333337</v>
      </c>
      <c r="L3" cm="1">
        <f t="array" ref="L3">IFERROR(_xlfn.STDEV.S(IF((OutputTable[GroupByKey]=OutputTable[[#This Row],[GroupByKey]]),(OutputTable[GroupByKey]=OutputTable[[#This Row],[GroupByKey]])*OutputTable[RecordedValue])),0)</f>
        <v>30.813416991087934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3" cm="1">
        <f t="array" ref="O3">MIN(IF((OutputTable[GroupByKey]=OutputTable[[#This Row],[GroupByKey]]),(OutputTable[GroupByKey]=OutputTable[[#This Row],[GroupByKey]])*OutputTable[RecordedValue]))</f>
        <v>751</v>
      </c>
      <c r="P3" cm="1">
        <f t="array" ref="P3">MAX(IF((OutputTable[GroupByKey]=OutputTable[[#This Row],[GroupByKey]]),(OutputTable[GroupByKey]=OutputTable[[#This Row],[GroupByKey]])*OutputTable[RecordedValue]))</f>
        <v>835</v>
      </c>
    </row>
    <row r="4" spans="1:16" x14ac:dyDescent="0.4">
      <c r="A4" t="s">
        <v>67</v>
      </c>
      <c r="B4" t="s">
        <v>69</v>
      </c>
      <c r="C4">
        <v>1</v>
      </c>
      <c r="D4" t="s">
        <v>95</v>
      </c>
      <c r="E4" t="s">
        <v>91</v>
      </c>
      <c r="F4" t="s">
        <v>82</v>
      </c>
      <c r="G4">
        <v>692</v>
      </c>
      <c r="H4">
        <v>0</v>
      </c>
      <c r="I4" t="str">
        <f>OutputTable[[#This Row],[ProjectName]]&amp;OutputTable[[#This Row],[Name]]&amp;OutputTable[[#This Row],[Type]]&amp;OutputTable[[#This Row],[Source]]</f>
        <v>Unnamed ProjectTourist.NumberOutNumber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6</v>
      </c>
      <c r="K4" cm="1">
        <f t="array" ref="K4">IFERROR(AVERAGE(IF((OutputTable[GroupByKey]=OutputTable[[#This Row],[GroupByKey]]),(OutputTable[GroupByKey]=OutputTable[[#This Row],[GroupByKey]])*OutputTable[RecordedValue])),0)</f>
        <v>680.16666666666663</v>
      </c>
      <c r="L4" cm="1">
        <f t="array" ref="L4">IFERROR(_xlfn.STDEV.S(IF((OutputTable[GroupByKey]=OutputTable[[#This Row],[GroupByKey]]),(OutputTable[GroupByKey]=OutputTable[[#This Row],[GroupByKey]])*OutputTable[RecordedValue])),0)</f>
        <v>45.810115331296281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4" cm="1">
        <f t="array" ref="O4">MIN(IF((OutputTable[GroupByKey]=OutputTable[[#This Row],[GroupByKey]]),(OutputTable[GroupByKey]=OutputTable[[#This Row],[GroupByKey]])*OutputTable[RecordedValue]))</f>
        <v>628</v>
      </c>
      <c r="P4" cm="1">
        <f t="array" ref="P4">MAX(IF((OutputTable[GroupByKey]=OutputTable[[#This Row],[GroupByKey]]),(OutputTable[GroupByKey]=OutputTable[[#This Row],[GroupByKey]])*OutputTable[RecordedValue]))</f>
        <v>758</v>
      </c>
    </row>
    <row r="5" spans="1:16" x14ac:dyDescent="0.4">
      <c r="A5" t="s">
        <v>67</v>
      </c>
      <c r="B5" t="s">
        <v>69</v>
      </c>
      <c r="C5">
        <v>2</v>
      </c>
      <c r="D5" t="s">
        <v>90</v>
      </c>
      <c r="E5" t="s">
        <v>91</v>
      </c>
      <c r="F5" t="s">
        <v>92</v>
      </c>
      <c r="G5">
        <v>668</v>
      </c>
      <c r="H5">
        <v>0</v>
      </c>
      <c r="I5" t="str">
        <f>OutputTable[[#This Row],[ProjectName]]&amp;OutputTable[[#This Row],[Name]]&amp;OutputTable[[#This Row],[Type]]&amp;OutputTable[[#This Row],[Source]]</f>
        <v>Unnamed ProjectSystem.NumberOutNumber OutSystem</v>
      </c>
      <c r="J5" cm="1">
        <f t="array" ref="J5">MAX(IF((ProjectInfoTable[ProjectName]=OutputTable[[#This Row],[ProjectName]]),(ProjectInfoTable[ProjectName]=OutputTable[[#This Row],[ProjectName]])*ProjectInfoTable[NumberOfReplications]))</f>
        <v>6</v>
      </c>
      <c r="K5" cm="1">
        <f t="array" ref="K5">IFERROR(AVERAGE(IF((OutputTable[GroupByKey]=OutputTable[[#This Row],[GroupByKey]]),(OutputTable[GroupByKey]=OutputTable[[#This Row],[GroupByKey]])*OutputTable[RecordedValue])),0)</f>
        <v>680.16666666666663</v>
      </c>
      <c r="L5" cm="1">
        <f t="array" ref="L5">IFERROR(_xlfn.STDEV.S(IF((OutputTable[GroupByKey]=OutputTable[[#This Row],[GroupByKey]]),(OutputTable[GroupByKey]=OutputTable[[#This Row],[GroupByKey]])*OutputTable[RecordedValue])),0)</f>
        <v>45.810115331296281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5" cm="1">
        <f t="array" ref="O5">MIN(IF((OutputTable[GroupByKey]=OutputTable[[#This Row],[GroupByKey]]),(OutputTable[GroupByKey]=OutputTable[[#This Row],[GroupByKey]])*OutputTable[RecordedValue]))</f>
        <v>628</v>
      </c>
      <c r="P5" cm="1">
        <f t="array" ref="P5">MAX(IF((OutputTable[GroupByKey]=OutputTable[[#This Row],[GroupByKey]]),(OutputTable[GroupByKey]=OutputTable[[#This Row],[GroupByKey]])*OutputTable[RecordedValue]))</f>
        <v>758</v>
      </c>
    </row>
    <row r="6" spans="1:16" x14ac:dyDescent="0.4">
      <c r="A6" t="s">
        <v>67</v>
      </c>
      <c r="B6" t="s">
        <v>69</v>
      </c>
      <c r="C6">
        <v>2</v>
      </c>
      <c r="D6" t="s">
        <v>93</v>
      </c>
      <c r="E6" t="s">
        <v>94</v>
      </c>
      <c r="F6" t="s">
        <v>82</v>
      </c>
      <c r="G6">
        <v>764</v>
      </c>
      <c r="H6">
        <v>0</v>
      </c>
      <c r="I6" t="str">
        <f>OutputTable[[#This Row],[ProjectName]]&amp;OutputTable[[#This Row],[Name]]&amp;OutputTable[[#This Row],[Type]]&amp;OutputTable[[#This Row],[Source]]</f>
        <v>Unnamed ProjectTourist.NumberInNumber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6</v>
      </c>
      <c r="K6" cm="1">
        <f t="array" ref="K6">IFERROR(AVERAGE(IF((OutputTable[GroupByKey]=OutputTable[[#This Row],[GroupByKey]]),(OutputTable[GroupByKey]=OutputTable[[#This Row],[GroupByKey]])*OutputTable[RecordedValue])),0)</f>
        <v>778.33333333333337</v>
      </c>
      <c r="L6" cm="1">
        <f t="array" ref="L6">IFERROR(_xlfn.STDEV.S(IF((OutputTable[GroupByKey]=OutputTable[[#This Row],[GroupByKey]]),(OutputTable[GroupByKey]=OutputTable[[#This Row],[GroupByKey]])*OutputTable[RecordedValue])),0)</f>
        <v>30.813416991087934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6" cm="1">
        <f t="array" ref="O6">MIN(IF((OutputTable[GroupByKey]=OutputTable[[#This Row],[GroupByKey]]),(OutputTable[GroupByKey]=OutputTable[[#This Row],[GroupByKey]])*OutputTable[RecordedValue]))</f>
        <v>751</v>
      </c>
      <c r="P6" cm="1">
        <f t="array" ref="P6">MAX(IF((OutputTable[GroupByKey]=OutputTable[[#This Row],[GroupByKey]]),(OutputTable[GroupByKey]=OutputTable[[#This Row],[GroupByKey]])*OutputTable[RecordedValue]))</f>
        <v>835</v>
      </c>
    </row>
    <row r="7" spans="1:16" x14ac:dyDescent="0.4">
      <c r="A7" t="s">
        <v>67</v>
      </c>
      <c r="B7" t="s">
        <v>69</v>
      </c>
      <c r="C7">
        <v>2</v>
      </c>
      <c r="D7" t="s">
        <v>95</v>
      </c>
      <c r="E7" t="s">
        <v>91</v>
      </c>
      <c r="F7" t="s">
        <v>82</v>
      </c>
      <c r="G7">
        <v>668</v>
      </c>
      <c r="H7">
        <v>0</v>
      </c>
      <c r="I7" t="str">
        <f>OutputTable[[#This Row],[ProjectName]]&amp;OutputTable[[#This Row],[Name]]&amp;OutputTable[[#This Row],[Type]]&amp;OutputTable[[#This Row],[Source]]</f>
        <v>Unnamed ProjectTourist.NumberOutNumber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6</v>
      </c>
      <c r="K7" cm="1">
        <f t="array" ref="K7">IFERROR(AVERAGE(IF((OutputTable[GroupByKey]=OutputTable[[#This Row],[GroupByKey]]),(OutputTable[GroupByKey]=OutputTable[[#This Row],[GroupByKey]])*OutputTable[RecordedValue])),0)</f>
        <v>680.16666666666663</v>
      </c>
      <c r="L7" cm="1">
        <f t="array" ref="L7">IFERROR(_xlfn.STDEV.S(IF((OutputTable[GroupByKey]=OutputTable[[#This Row],[GroupByKey]]),(OutputTable[GroupByKey]=OutputTable[[#This Row],[GroupByKey]])*OutputTable[RecordedValue])),0)</f>
        <v>45.810115331296281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7" cm="1">
        <f t="array" ref="O7">MIN(IF((OutputTable[GroupByKey]=OutputTable[[#This Row],[GroupByKey]]),(OutputTable[GroupByKey]=OutputTable[[#This Row],[GroupByKey]])*OutputTable[RecordedValue]))</f>
        <v>628</v>
      </c>
      <c r="P7" cm="1">
        <f t="array" ref="P7">MAX(IF((OutputTable[GroupByKey]=OutputTable[[#This Row],[GroupByKey]]),(OutputTable[GroupByKey]=OutputTable[[#This Row],[GroupByKey]])*OutputTable[RecordedValue]))</f>
        <v>758</v>
      </c>
    </row>
    <row r="8" spans="1:16" x14ac:dyDescent="0.4">
      <c r="A8" t="s">
        <v>67</v>
      </c>
      <c r="B8" t="s">
        <v>69</v>
      </c>
      <c r="C8">
        <v>3</v>
      </c>
      <c r="D8" t="s">
        <v>90</v>
      </c>
      <c r="E8" t="s">
        <v>91</v>
      </c>
      <c r="F8" t="s">
        <v>92</v>
      </c>
      <c r="G8">
        <v>628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6</v>
      </c>
      <c r="K8" cm="1">
        <f t="array" ref="K8">IFERROR(AVERAGE(IF((OutputTable[GroupByKey]=OutputTable[[#This Row],[GroupByKey]]),(OutputTable[GroupByKey]=OutputTable[[#This Row],[GroupByKey]])*OutputTable[RecordedValue])),0)</f>
        <v>680.16666666666663</v>
      </c>
      <c r="L8" cm="1">
        <f t="array" ref="L8">IFERROR(_xlfn.STDEV.S(IF((OutputTable[GroupByKey]=OutputTable[[#This Row],[GroupByKey]]),(OutputTable[GroupByKey]=OutputTable[[#This Row],[GroupByKey]])*OutputTable[RecordedValue])),0)</f>
        <v>45.810115331296281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8" cm="1">
        <f t="array" ref="O8">MIN(IF((OutputTable[GroupByKey]=OutputTable[[#This Row],[GroupByKey]]),(OutputTable[GroupByKey]=OutputTable[[#This Row],[GroupByKey]])*OutputTable[RecordedValue]))</f>
        <v>628</v>
      </c>
      <c r="P8" cm="1">
        <f t="array" ref="P8">MAX(IF((OutputTable[GroupByKey]=OutputTable[[#This Row],[GroupByKey]]),(OutputTable[GroupByKey]=OutputTable[[#This Row],[GroupByKey]])*OutputTable[RecordedValue]))</f>
        <v>758</v>
      </c>
    </row>
    <row r="9" spans="1:16" x14ac:dyDescent="0.4">
      <c r="A9" t="s">
        <v>67</v>
      </c>
      <c r="B9" t="s">
        <v>69</v>
      </c>
      <c r="C9">
        <v>3</v>
      </c>
      <c r="D9" t="s">
        <v>93</v>
      </c>
      <c r="E9" t="s">
        <v>94</v>
      </c>
      <c r="F9" t="s">
        <v>82</v>
      </c>
      <c r="G9">
        <v>751</v>
      </c>
      <c r="H9">
        <v>0</v>
      </c>
      <c r="I9" t="str">
        <f>OutputTable[[#This Row],[ProjectName]]&amp;OutputTable[[#This Row],[Name]]&amp;OutputTable[[#This Row],[Type]]&amp;OutputTable[[#This Row],[Source]]</f>
        <v>Unnamed ProjectTourist.NumberInNumber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6</v>
      </c>
      <c r="K9" cm="1">
        <f t="array" ref="K9">IFERROR(AVERAGE(IF((OutputTable[GroupByKey]=OutputTable[[#This Row],[GroupByKey]]),(OutputTable[GroupByKey]=OutputTable[[#This Row],[GroupByKey]])*OutputTable[RecordedValue])),0)</f>
        <v>778.33333333333337</v>
      </c>
      <c r="L9" cm="1">
        <f t="array" ref="L9">IFERROR(_xlfn.STDEV.S(IF((OutputTable[GroupByKey]=OutputTable[[#This Row],[GroupByKey]]),(OutputTable[GroupByKey]=OutputTable[[#This Row],[GroupByKey]])*OutputTable[RecordedValue])),0)</f>
        <v>30.813416991087934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9" cm="1">
        <f t="array" ref="O9">MIN(IF((OutputTable[GroupByKey]=OutputTable[[#This Row],[GroupByKey]]),(OutputTable[GroupByKey]=OutputTable[[#This Row],[GroupByKey]])*OutputTable[RecordedValue]))</f>
        <v>751</v>
      </c>
      <c r="P9" cm="1">
        <f t="array" ref="P9">MAX(IF((OutputTable[GroupByKey]=OutputTable[[#This Row],[GroupByKey]]),(OutputTable[GroupByKey]=OutputTable[[#This Row],[GroupByKey]])*OutputTable[RecordedValue]))</f>
        <v>835</v>
      </c>
    </row>
    <row r="10" spans="1:16" x14ac:dyDescent="0.4">
      <c r="A10" t="s">
        <v>67</v>
      </c>
      <c r="B10" t="s">
        <v>69</v>
      </c>
      <c r="C10">
        <v>3</v>
      </c>
      <c r="D10" t="s">
        <v>95</v>
      </c>
      <c r="E10" t="s">
        <v>91</v>
      </c>
      <c r="F10" t="s">
        <v>82</v>
      </c>
      <c r="G10">
        <v>628</v>
      </c>
      <c r="H10">
        <v>0</v>
      </c>
      <c r="I10" t="str">
        <f>OutputTable[[#This Row],[ProjectName]]&amp;OutputTable[[#This Row],[Name]]&amp;OutputTable[[#This Row],[Type]]&amp;OutputTable[[#This Row],[Source]]</f>
        <v>Unnamed ProjectTourist.NumberOutNumber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6</v>
      </c>
      <c r="K10" cm="1">
        <f t="array" ref="K10">IFERROR(AVERAGE(IF((OutputTable[GroupByKey]=OutputTable[[#This Row],[GroupByKey]]),(OutputTable[GroupByKey]=OutputTable[[#This Row],[GroupByKey]])*OutputTable[RecordedValue])),0)</f>
        <v>680.16666666666663</v>
      </c>
      <c r="L10" cm="1">
        <f t="array" ref="L10">IFERROR(_xlfn.STDEV.S(IF((OutputTable[GroupByKey]=OutputTable[[#This Row],[GroupByKey]]),(OutputTable[GroupByKey]=OutputTable[[#This Row],[GroupByKey]])*OutputTable[RecordedValue])),0)</f>
        <v>45.810115331296281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0" cm="1">
        <f t="array" ref="O10">MIN(IF((OutputTable[GroupByKey]=OutputTable[[#This Row],[GroupByKey]]),(OutputTable[GroupByKey]=OutputTable[[#This Row],[GroupByKey]])*OutputTable[RecordedValue]))</f>
        <v>628</v>
      </c>
      <c r="P10" cm="1">
        <f t="array" ref="P10">MAX(IF((OutputTable[GroupByKey]=OutputTable[[#This Row],[GroupByKey]]),(OutputTable[GroupByKey]=OutputTable[[#This Row],[GroupByKey]])*OutputTable[RecordedValue]))</f>
        <v>758</v>
      </c>
    </row>
    <row r="11" spans="1:16" x14ac:dyDescent="0.4">
      <c r="A11" t="s">
        <v>67</v>
      </c>
      <c r="B11" t="s">
        <v>69</v>
      </c>
      <c r="C11">
        <v>4</v>
      </c>
      <c r="D11" t="s">
        <v>90</v>
      </c>
      <c r="E11" t="s">
        <v>91</v>
      </c>
      <c r="F11" t="s">
        <v>92</v>
      </c>
      <c r="G11">
        <v>644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6</v>
      </c>
      <c r="K11" cm="1">
        <f t="array" ref="K11">IFERROR(AVERAGE(IF((OutputTable[GroupByKey]=OutputTable[[#This Row],[GroupByKey]]),(OutputTable[GroupByKey]=OutputTable[[#This Row],[GroupByKey]])*OutputTable[RecordedValue])),0)</f>
        <v>680.16666666666663</v>
      </c>
      <c r="L11" cm="1">
        <f t="array" ref="L11">IFERROR(_xlfn.STDEV.S(IF((OutputTable[GroupByKey]=OutputTable[[#This Row],[GroupByKey]]),(OutputTable[GroupByKey]=OutputTable[[#This Row],[GroupByKey]])*OutputTable[RecordedValue])),0)</f>
        <v>45.810115331296281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1" cm="1">
        <f t="array" ref="O11">MIN(IF((OutputTable[GroupByKey]=OutputTable[[#This Row],[GroupByKey]]),(OutputTable[GroupByKey]=OutputTable[[#This Row],[GroupByKey]])*OutputTable[RecordedValue]))</f>
        <v>628</v>
      </c>
      <c r="P11" cm="1">
        <f t="array" ref="P11">MAX(IF((OutputTable[GroupByKey]=OutputTable[[#This Row],[GroupByKey]]),(OutputTable[GroupByKey]=OutputTable[[#This Row],[GroupByKey]])*OutputTable[RecordedValue]))</f>
        <v>758</v>
      </c>
    </row>
    <row r="12" spans="1:16" x14ac:dyDescent="0.4">
      <c r="A12" t="s">
        <v>67</v>
      </c>
      <c r="B12" t="s">
        <v>69</v>
      </c>
      <c r="C12">
        <v>4</v>
      </c>
      <c r="D12" t="s">
        <v>93</v>
      </c>
      <c r="E12" t="s">
        <v>94</v>
      </c>
      <c r="F12" t="s">
        <v>82</v>
      </c>
      <c r="G12">
        <v>755</v>
      </c>
      <c r="H12">
        <v>0</v>
      </c>
      <c r="I12" t="str">
        <f>OutputTable[[#This Row],[ProjectName]]&amp;OutputTable[[#This Row],[Name]]&amp;OutputTable[[#This Row],[Type]]&amp;OutputTable[[#This Row],[Source]]</f>
        <v>Unnamed ProjectTourist.NumberInNumber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6</v>
      </c>
      <c r="K12" cm="1">
        <f t="array" ref="K12">IFERROR(AVERAGE(IF((OutputTable[GroupByKey]=OutputTable[[#This Row],[GroupByKey]]),(OutputTable[GroupByKey]=OutputTable[[#This Row],[GroupByKey]])*OutputTable[RecordedValue])),0)</f>
        <v>778.33333333333337</v>
      </c>
      <c r="L12" cm="1">
        <f t="array" ref="L12">IFERROR(_xlfn.STDEV.S(IF((OutputTable[GroupByKey]=OutputTable[[#This Row],[GroupByKey]]),(OutputTable[GroupByKey]=OutputTable[[#This Row],[GroupByKey]])*OutputTable[RecordedValue])),0)</f>
        <v>30.813416991087934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2" cm="1">
        <f t="array" ref="O12">MIN(IF((OutputTable[GroupByKey]=OutputTable[[#This Row],[GroupByKey]]),(OutputTable[GroupByKey]=OutputTable[[#This Row],[GroupByKey]])*OutputTable[RecordedValue]))</f>
        <v>751</v>
      </c>
      <c r="P12" cm="1">
        <f t="array" ref="P12">MAX(IF((OutputTable[GroupByKey]=OutputTable[[#This Row],[GroupByKey]]),(OutputTable[GroupByKey]=OutputTable[[#This Row],[GroupByKey]])*OutputTable[RecordedValue]))</f>
        <v>835</v>
      </c>
    </row>
    <row r="13" spans="1:16" x14ac:dyDescent="0.4">
      <c r="A13" t="s">
        <v>67</v>
      </c>
      <c r="B13" t="s">
        <v>69</v>
      </c>
      <c r="C13">
        <v>4</v>
      </c>
      <c r="D13" t="s">
        <v>95</v>
      </c>
      <c r="E13" t="s">
        <v>91</v>
      </c>
      <c r="F13" t="s">
        <v>82</v>
      </c>
      <c r="G13">
        <v>644</v>
      </c>
      <c r="H13">
        <v>0</v>
      </c>
      <c r="I13" t="str">
        <f>OutputTable[[#This Row],[ProjectName]]&amp;OutputTable[[#This Row],[Name]]&amp;OutputTable[[#This Row],[Type]]&amp;OutputTable[[#This Row],[Source]]</f>
        <v>Unnamed ProjectTourist.NumberOutNumber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6</v>
      </c>
      <c r="K13" cm="1">
        <f t="array" ref="K13">IFERROR(AVERAGE(IF((OutputTable[GroupByKey]=OutputTable[[#This Row],[GroupByKey]]),(OutputTable[GroupByKey]=OutputTable[[#This Row],[GroupByKey]])*OutputTable[RecordedValue])),0)</f>
        <v>680.16666666666663</v>
      </c>
      <c r="L13" cm="1">
        <f t="array" ref="L13">IFERROR(_xlfn.STDEV.S(IF((OutputTable[GroupByKey]=OutputTable[[#This Row],[GroupByKey]]),(OutputTable[GroupByKey]=OutputTable[[#This Row],[GroupByKey]])*OutputTable[RecordedValue])),0)</f>
        <v>45.810115331296281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3" cm="1">
        <f t="array" ref="O13">MIN(IF((OutputTable[GroupByKey]=OutputTable[[#This Row],[GroupByKey]]),(OutputTable[GroupByKey]=OutputTable[[#This Row],[GroupByKey]])*OutputTable[RecordedValue]))</f>
        <v>628</v>
      </c>
      <c r="P13" cm="1">
        <f t="array" ref="P13">MAX(IF((OutputTable[GroupByKey]=OutputTable[[#This Row],[GroupByKey]]),(OutputTable[GroupByKey]=OutputTable[[#This Row],[GroupByKey]])*OutputTable[RecordedValue]))</f>
        <v>758</v>
      </c>
    </row>
    <row r="14" spans="1:16" x14ac:dyDescent="0.4">
      <c r="A14" t="s">
        <v>67</v>
      </c>
      <c r="B14" t="s">
        <v>69</v>
      </c>
      <c r="C14">
        <v>5</v>
      </c>
      <c r="D14" t="s">
        <v>90</v>
      </c>
      <c r="E14" t="s">
        <v>91</v>
      </c>
      <c r="F14" t="s">
        <v>92</v>
      </c>
      <c r="G14">
        <v>691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6</v>
      </c>
      <c r="K14" cm="1">
        <f t="array" ref="K14">IFERROR(AVERAGE(IF((OutputTable[GroupByKey]=OutputTable[[#This Row],[GroupByKey]]),(OutputTable[GroupByKey]=OutputTable[[#This Row],[GroupByKey]])*OutputTable[RecordedValue])),0)</f>
        <v>680.16666666666663</v>
      </c>
      <c r="L14" cm="1">
        <f t="array" ref="L14">IFERROR(_xlfn.STDEV.S(IF((OutputTable[GroupByKey]=OutputTable[[#This Row],[GroupByKey]]),(OutputTable[GroupByKey]=OutputTable[[#This Row],[GroupByKey]])*OutputTable[RecordedValue])),0)</f>
        <v>45.810115331296281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4" cm="1">
        <f t="array" ref="O14">MIN(IF((OutputTable[GroupByKey]=OutputTable[[#This Row],[GroupByKey]]),(OutputTable[GroupByKey]=OutputTable[[#This Row],[GroupByKey]])*OutputTable[RecordedValue]))</f>
        <v>628</v>
      </c>
      <c r="P14" cm="1">
        <f t="array" ref="P14">MAX(IF((OutputTable[GroupByKey]=OutputTable[[#This Row],[GroupByKey]]),(OutputTable[GroupByKey]=OutputTable[[#This Row],[GroupByKey]])*OutputTable[RecordedValue]))</f>
        <v>758</v>
      </c>
    </row>
    <row r="15" spans="1:16" x14ac:dyDescent="0.4">
      <c r="A15" t="s">
        <v>67</v>
      </c>
      <c r="B15" t="s">
        <v>69</v>
      </c>
      <c r="C15">
        <v>5</v>
      </c>
      <c r="D15" t="s">
        <v>93</v>
      </c>
      <c r="E15" t="s">
        <v>94</v>
      </c>
      <c r="F15" t="s">
        <v>82</v>
      </c>
      <c r="G15">
        <v>784</v>
      </c>
      <c r="H15">
        <v>0</v>
      </c>
      <c r="I15" t="str">
        <f>OutputTable[[#This Row],[ProjectName]]&amp;OutputTable[[#This Row],[Name]]&amp;OutputTable[[#This Row],[Type]]&amp;OutputTable[[#This Row],[Source]]</f>
        <v>Unnamed ProjectTourist.NumberInNumber InEntity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6</v>
      </c>
      <c r="K15" cm="1">
        <f t="array" ref="K15">IFERROR(AVERAGE(IF((OutputTable[GroupByKey]=OutputTable[[#This Row],[GroupByKey]]),(OutputTable[GroupByKey]=OutputTable[[#This Row],[GroupByKey]])*OutputTable[RecordedValue])),0)</f>
        <v>778.33333333333337</v>
      </c>
      <c r="L15" cm="1">
        <f t="array" ref="L15">IFERROR(_xlfn.STDEV.S(IF((OutputTable[GroupByKey]=OutputTable[[#This Row],[GroupByKey]]),(OutputTable[GroupByKey]=OutputTable[[#This Row],[GroupByKey]])*OutputTable[RecordedValue])),0)</f>
        <v>30.813416991087934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5" cm="1">
        <f t="array" ref="O15">MIN(IF((OutputTable[GroupByKey]=OutputTable[[#This Row],[GroupByKey]]),(OutputTable[GroupByKey]=OutputTable[[#This Row],[GroupByKey]])*OutputTable[RecordedValue]))</f>
        <v>751</v>
      </c>
      <c r="P15" cm="1">
        <f t="array" ref="P15">MAX(IF((OutputTable[GroupByKey]=OutputTable[[#This Row],[GroupByKey]]),(OutputTable[GroupByKey]=OutputTable[[#This Row],[GroupByKey]])*OutputTable[RecordedValue]))</f>
        <v>835</v>
      </c>
    </row>
    <row r="16" spans="1:16" x14ac:dyDescent="0.4">
      <c r="A16" t="s">
        <v>67</v>
      </c>
      <c r="B16" t="s">
        <v>69</v>
      </c>
      <c r="C16">
        <v>5</v>
      </c>
      <c r="D16" t="s">
        <v>95</v>
      </c>
      <c r="E16" t="s">
        <v>91</v>
      </c>
      <c r="F16" t="s">
        <v>82</v>
      </c>
      <c r="G16">
        <v>691</v>
      </c>
      <c r="H16">
        <v>0</v>
      </c>
      <c r="I16" t="str">
        <f>OutputTable[[#This Row],[ProjectName]]&amp;OutputTable[[#This Row],[Name]]&amp;OutputTable[[#This Row],[Type]]&amp;OutputTable[[#This Row],[Source]]</f>
        <v>Unnamed ProjectTourist.NumberOutNumber OutEntity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6</v>
      </c>
      <c r="K16" cm="1">
        <f t="array" ref="K16">IFERROR(AVERAGE(IF((OutputTable[GroupByKey]=OutputTable[[#This Row],[GroupByKey]]),(OutputTable[GroupByKey]=OutputTable[[#This Row],[GroupByKey]])*OutputTable[RecordedValue])),0)</f>
        <v>680.16666666666663</v>
      </c>
      <c r="L16" cm="1">
        <f t="array" ref="L16">IFERROR(_xlfn.STDEV.S(IF((OutputTable[GroupByKey]=OutputTable[[#This Row],[GroupByKey]]),(OutputTable[GroupByKey]=OutputTable[[#This Row],[GroupByKey]])*OutputTable[RecordedValue])),0)</f>
        <v>45.810115331296281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6" cm="1">
        <f t="array" ref="O16">MIN(IF((OutputTable[GroupByKey]=OutputTable[[#This Row],[GroupByKey]]),(OutputTable[GroupByKey]=OutputTable[[#This Row],[GroupByKey]])*OutputTable[RecordedValue]))</f>
        <v>628</v>
      </c>
      <c r="P16" cm="1">
        <f t="array" ref="P16">MAX(IF((OutputTable[GroupByKey]=OutputTable[[#This Row],[GroupByKey]]),(OutputTable[GroupByKey]=OutputTable[[#This Row],[GroupByKey]])*OutputTable[RecordedValue]))</f>
        <v>758</v>
      </c>
    </row>
    <row r="17" spans="1:16" x14ac:dyDescent="0.4">
      <c r="A17" t="s">
        <v>67</v>
      </c>
      <c r="B17" t="s">
        <v>69</v>
      </c>
      <c r="C17">
        <v>6</v>
      </c>
      <c r="D17" t="s">
        <v>90</v>
      </c>
      <c r="E17" t="s">
        <v>91</v>
      </c>
      <c r="F17" t="s">
        <v>92</v>
      </c>
      <c r="G17">
        <v>758</v>
      </c>
      <c r="H17">
        <v>0</v>
      </c>
      <c r="I17" t="str">
        <f>OutputTable[[#This Row],[ProjectName]]&amp;OutputTable[[#This Row],[Name]]&amp;OutputTable[[#This Row],[Type]]&amp;OutputTable[[#This Row],[Source]]</f>
        <v>Unnamed ProjectSystem.NumberOutNumber OutSystem</v>
      </c>
      <c r="J17" cm="1">
        <f t="array" ref="J17">MAX(IF((ProjectInfoTable[ProjectName]=OutputTable[[#This Row],[ProjectName]]),(ProjectInfoTable[ProjectName]=OutputTable[[#This Row],[ProjectName]])*ProjectInfoTable[NumberOfReplications]))</f>
        <v>6</v>
      </c>
      <c r="K17" cm="1">
        <f t="array" ref="K17">IFERROR(AVERAGE(IF((OutputTable[GroupByKey]=OutputTable[[#This Row],[GroupByKey]]),(OutputTable[GroupByKey]=OutputTable[[#This Row],[GroupByKey]])*OutputTable[RecordedValue])),0)</f>
        <v>680.16666666666663</v>
      </c>
      <c r="L17" cm="1">
        <f t="array" ref="L17">IFERROR(_xlfn.STDEV.S(IF((OutputTable[GroupByKey]=OutputTable[[#This Row],[GroupByKey]]),(OutputTable[GroupByKey]=OutputTable[[#This Row],[GroupByKey]])*OutputTable[RecordedValue])),0)</f>
        <v>45.810115331296281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7" cm="1">
        <f t="array" ref="O17">MIN(IF((OutputTable[GroupByKey]=OutputTable[[#This Row],[GroupByKey]]),(OutputTable[GroupByKey]=OutputTable[[#This Row],[GroupByKey]])*OutputTable[RecordedValue]))</f>
        <v>628</v>
      </c>
      <c r="P17" cm="1">
        <f t="array" ref="P17">MAX(IF((OutputTable[GroupByKey]=OutputTable[[#This Row],[GroupByKey]]),(OutputTable[GroupByKey]=OutputTable[[#This Row],[GroupByKey]])*OutputTable[RecordedValue]))</f>
        <v>758</v>
      </c>
    </row>
    <row r="18" spans="1:16" x14ac:dyDescent="0.4">
      <c r="A18" t="s">
        <v>67</v>
      </c>
      <c r="B18" t="s">
        <v>69</v>
      </c>
      <c r="C18">
        <v>6</v>
      </c>
      <c r="D18" t="s">
        <v>93</v>
      </c>
      <c r="E18" t="s">
        <v>94</v>
      </c>
      <c r="F18" t="s">
        <v>82</v>
      </c>
      <c r="G18">
        <v>835</v>
      </c>
      <c r="H18">
        <v>0</v>
      </c>
      <c r="I18" t="str">
        <f>OutputTable[[#This Row],[ProjectName]]&amp;OutputTable[[#This Row],[Name]]&amp;OutputTable[[#This Row],[Type]]&amp;OutputTable[[#This Row],[Source]]</f>
        <v>Unnamed ProjectTourist.NumberInNumber InEntity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6</v>
      </c>
      <c r="K18" cm="1">
        <f t="array" ref="K18">IFERROR(AVERAGE(IF((OutputTable[GroupByKey]=OutputTable[[#This Row],[GroupByKey]]),(OutputTable[GroupByKey]=OutputTable[[#This Row],[GroupByKey]])*OutputTable[RecordedValue])),0)</f>
        <v>778.33333333333337</v>
      </c>
      <c r="L18" cm="1">
        <f t="array" ref="L18">IFERROR(_xlfn.STDEV.S(IF((OutputTable[GroupByKey]=OutputTable[[#This Row],[GroupByKey]]),(OutputTable[GroupByKey]=OutputTable[[#This Row],[GroupByKey]])*OutputTable[RecordedValue])),0)</f>
        <v>30.813416991087934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32.336697977424173</v>
      </c>
      <c r="O18" cm="1">
        <f t="array" ref="O18">MIN(IF((OutputTable[GroupByKey]=OutputTable[[#This Row],[GroupByKey]]),(OutputTable[GroupByKey]=OutputTable[[#This Row],[GroupByKey]])*OutputTable[RecordedValue]))</f>
        <v>751</v>
      </c>
      <c r="P18" cm="1">
        <f t="array" ref="P18">MAX(IF((OutputTable[GroupByKey]=OutputTable[[#This Row],[GroupByKey]]),(OutputTable[GroupByKey]=OutputTable[[#This Row],[GroupByKey]])*OutputTable[RecordedValue]))</f>
        <v>835</v>
      </c>
    </row>
    <row r="19" spans="1:16" x14ac:dyDescent="0.4">
      <c r="A19" t="s">
        <v>67</v>
      </c>
      <c r="B19" t="s">
        <v>69</v>
      </c>
      <c r="C19">
        <v>6</v>
      </c>
      <c r="D19" t="s">
        <v>95</v>
      </c>
      <c r="E19" t="s">
        <v>91</v>
      </c>
      <c r="F19" t="s">
        <v>82</v>
      </c>
      <c r="G19">
        <v>758</v>
      </c>
      <c r="H19">
        <v>0</v>
      </c>
      <c r="I19" t="str">
        <f>OutputTable[[#This Row],[ProjectName]]&amp;OutputTable[[#This Row],[Name]]&amp;OutputTable[[#This Row],[Type]]&amp;OutputTable[[#This Row],[Source]]</f>
        <v>Unnamed ProjectTourist.NumberOutNumber OutEntity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6</v>
      </c>
      <c r="K19" cm="1">
        <f t="array" ref="K19">IFERROR(AVERAGE(IF((OutputTable[GroupByKey]=OutputTable[[#This Row],[GroupByKey]]),(OutputTable[GroupByKey]=OutputTable[[#This Row],[GroupByKey]])*OutputTable[RecordedValue])),0)</f>
        <v>680.16666666666663</v>
      </c>
      <c r="L19" cm="1">
        <f t="array" ref="L19">IFERROR(_xlfn.STDEV.S(IF((OutputTable[GroupByKey]=OutputTable[[#This Row],[GroupByKey]]),(OutputTable[GroupByKey]=OutputTable[[#This Row],[GroupByKey]])*OutputTable[RecordedValue])),0)</f>
        <v>45.810115331296281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48.074767696407768</v>
      </c>
      <c r="O19" cm="1">
        <f t="array" ref="O19">MIN(IF((OutputTable[GroupByKey]=OutputTable[[#This Row],[GroupByKey]]),(OutputTable[GroupByKey]=OutputTable[[#This Row],[GroupByKey]])*OutputTable[RecordedValue]))</f>
        <v>628</v>
      </c>
      <c r="P19" cm="1">
        <f t="array" ref="P19">MAX(IF((OutputTable[GroupByKey]=OutputTable[[#This Row],[GroupByKey]]),(OutputTable[GroupByKey]=OutputTable[[#This Row],[GroupByKey]])*OutputTable[RecordedValue]))</f>
        <v>758</v>
      </c>
    </row>
  </sheetData>
  <phoneticPr fontId="2" type="noConversion"/>
  <conditionalFormatting sqref="I2:P19">
    <cfRule type="expression" dxfId="2" priority="2">
      <formula>MOD(ROW(),2)=0</formula>
    </cfRule>
  </conditionalFormatting>
  <conditionalFormatting sqref="N2:N19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6" x14ac:dyDescent="0.4"/>
  <cols>
    <col min="1" max="1" width="13.921875" bestFit="1" customWidth="1"/>
    <col min="2" max="2" width="20.921875" bestFit="1" customWidth="1"/>
    <col min="3" max="3" width="12.3828125" bestFit="1" customWidth="1"/>
    <col min="4" max="4" width="8" bestFit="1" customWidth="1"/>
    <col min="5" max="5" width="10.4609375" bestFit="1" customWidth="1"/>
    <col min="6" max="6" width="8.69140625" bestFit="1" customWidth="1"/>
    <col min="7" max="7" width="20.07421875" bestFit="1" customWidth="1"/>
    <col min="8" max="8" width="20.921875" bestFit="1" customWidth="1"/>
    <col min="9" max="9" width="23.07421875" bestFit="1" customWidth="1"/>
    <col min="10" max="10" width="24.3046875" bestFit="1" customWidth="1"/>
    <col min="11" max="11" width="13.3828125" bestFit="1" customWidth="1"/>
    <col min="12" max="12" width="28.07421875" bestFit="1" customWidth="1"/>
    <col min="13" max="13" width="28.921875" bestFit="1" customWidth="1"/>
    <col min="14" max="14" width="16" bestFit="1" customWidth="1"/>
    <col min="15" max="15" width="26.921875" bestFit="1" customWidth="1"/>
    <col min="16" max="16" width="27.84375" bestFit="1" customWidth="1"/>
    <col min="17" max="17" width="29.23046875" bestFit="1" customWidth="1"/>
    <col min="18" max="18" width="28.3046875" bestFit="1" customWidth="1"/>
    <col min="19" max="19" width="26.23046875" bestFit="1" customWidth="1"/>
    <col min="20" max="20" width="29.84375" bestFit="1" customWidth="1"/>
    <col min="21" max="21" width="31.84375" bestFit="1" customWidth="1"/>
    <col min="22" max="22" width="32.07421875" bestFit="1" customWidth="1"/>
  </cols>
  <sheetData>
    <row r="1" spans="1:16" x14ac:dyDescent="0.4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4">
      <c r="B17" s="3"/>
    </row>
    <row r="18" spans="2:2" x14ac:dyDescent="0.4">
      <c r="B18" s="3"/>
    </row>
    <row r="19" spans="2:2" x14ac:dyDescent="0.4">
      <c r="B19" s="3"/>
    </row>
    <row r="20" spans="2:2" x14ac:dyDescent="0.4">
      <c r="B20" s="3"/>
    </row>
    <row r="21" spans="2:2" x14ac:dyDescent="0.4">
      <c r="B21" s="3"/>
    </row>
    <row r="22" spans="2:2" x14ac:dyDescent="0.4">
      <c r="B22" s="3"/>
    </row>
    <row r="23" spans="2:2" x14ac:dyDescent="0.4">
      <c r="B23" s="3"/>
    </row>
    <row r="24" spans="2:2" x14ac:dyDescent="0.4">
      <c r="B24" s="3"/>
    </row>
    <row r="25" spans="2:2" x14ac:dyDescent="0.4">
      <c r="B25" s="3"/>
    </row>
    <row r="26" spans="2:2" x14ac:dyDescent="0.4">
      <c r="B26" s="3"/>
    </row>
    <row r="27" spans="2:2" x14ac:dyDescent="0.4">
      <c r="B27" s="3"/>
    </row>
    <row r="28" spans="2:2" x14ac:dyDescent="0.4">
      <c r="B28" s="3"/>
    </row>
    <row r="29" spans="2:2" x14ac:dyDescent="0.4">
      <c r="B29" s="3"/>
    </row>
    <row r="30" spans="2:2" x14ac:dyDescent="0.4">
      <c r="B30" s="3"/>
    </row>
    <row r="31" spans="2:2" x14ac:dyDescent="0.4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Du Zhiyuan</cp:lastModifiedBy>
  <cp:lastPrinted>2022-03-22T10:33:10Z</cp:lastPrinted>
  <dcterms:created xsi:type="dcterms:W3CDTF">2020-06-29T21:30:31Z</dcterms:created>
  <dcterms:modified xsi:type="dcterms:W3CDTF">2025-03-22T11:51:42Z</dcterms:modified>
</cp:coreProperties>
</file>