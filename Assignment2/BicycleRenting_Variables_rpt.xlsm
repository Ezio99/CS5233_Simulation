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hiyuan\Documents\masters\CS5233_Simulation\Assignment2\"/>
    </mc:Choice>
  </mc:AlternateContent>
  <xr:revisionPtr revIDLastSave="0" documentId="13_ncr:1_{987FFA04-AC81-4CD3-84D8-C8BB4D59336A}" xr6:coauthVersionLast="47" xr6:coauthVersionMax="47" xr10:uidLastSave="{00000000-0000-0000-0000-000000000000}"/>
  <bookViews>
    <workbookView xWindow="-103" yWindow="-103" windowWidth="27634" windowHeight="17349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ContinuousTimeStatsByRep!$A$1:$L$451</definedName>
    <definedName name="ExternalData_1" localSheetId="4" hidden="1">CounterStatsByRep!$A$1:$G$2</definedName>
    <definedName name="ExternalData_1" localSheetId="2" hidden="1">DiscreteTimeStatsByRep!$A$1:$K$701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49" i="20" s="1" a="1"/>
  <c r="K49" i="20" s="1"/>
  <c r="I5" i="20"/>
  <c r="I6" i="20"/>
  <c r="K19" i="20" s="1" a="1"/>
  <c r="K19" i="20" s="1"/>
  <c r="I7" i="20"/>
  <c r="K7" i="20" s="1" a="1"/>
  <c r="K7" i="20" s="1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K20" i="20" s="1" a="1"/>
  <c r="K20" i="20" s="1"/>
  <c r="I21" i="20"/>
  <c r="I22" i="20"/>
  <c r="I23" i="20"/>
  <c r="K35" i="20" s="1" a="1"/>
  <c r="K35" i="20" s="1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K29" i="20" s="1" a="1"/>
  <c r="K29" i="20" s="1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N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/>
  <c r="J34" i="20" a="1"/>
  <c r="J34" i="20" s="1"/>
  <c r="J35" i="20" a="1"/>
  <c r="J35" i="20"/>
  <c r="J36" i="20" a="1"/>
  <c r="J36" i="20" s="1"/>
  <c r="J37" i="20" a="1"/>
  <c r="J37" i="20" s="1"/>
  <c r="J38" i="20" a="1"/>
  <c r="J38" i="20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/>
  <c r="J53" i="20" a="1"/>
  <c r="J53" i="20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/>
  <c r="J61" i="20" a="1"/>
  <c r="J61" i="20"/>
  <c r="J62" i="20" a="1"/>
  <c r="J62" i="20"/>
  <c r="J63" i="20" a="1"/>
  <c r="J63" i="20" s="1"/>
  <c r="J64" i="20" a="1"/>
  <c r="J64" i="20" s="1"/>
  <c r="J65" i="20" a="1"/>
  <c r="J65" i="20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N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/>
  <c r="J95" i="20" a="1"/>
  <c r="J95" i="20" s="1"/>
  <c r="J96" i="20" a="1"/>
  <c r="J96" i="20" s="1"/>
  <c r="J97" i="20" a="1"/>
  <c r="J97" i="20"/>
  <c r="J98" i="20" a="1"/>
  <c r="J98" i="20" s="1"/>
  <c r="J99" i="20" a="1"/>
  <c r="J99" i="20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/>
  <c r="J110" i="20" a="1"/>
  <c r="J110" i="20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/>
  <c r="J118" i="20" a="1"/>
  <c r="J118" i="20" s="1"/>
  <c r="J119" i="20" a="1"/>
  <c r="J119" i="20" s="1"/>
  <c r="J120" i="20" a="1"/>
  <c r="J120" i="20" s="1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/>
  <c r="J130" i="20" a="1"/>
  <c r="J130" i="20" s="1"/>
  <c r="J131" i="20" a="1"/>
  <c r="J131" i="20" s="1"/>
  <c r="J132" i="20" a="1"/>
  <c r="J132" i="20"/>
  <c r="J133" i="20" a="1"/>
  <c r="J133" i="20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/>
  <c r="J151" i="20" a="1"/>
  <c r="J151" i="20" s="1"/>
  <c r="K14" i="20" a="1"/>
  <c r="K14" i="20" s="1"/>
  <c r="K24" i="20" a="1"/>
  <c r="K24" i="20" s="1"/>
  <c r="K26" i="20" a="1"/>
  <c r="K26" i="20" s="1"/>
  <c r="K28" i="20" a="1"/>
  <c r="K28" i="20" s="1"/>
  <c r="K30" i="20" a="1"/>
  <c r="K30" i="20" s="1"/>
  <c r="K32" i="20" a="1"/>
  <c r="K32" i="20" s="1"/>
  <c r="K33" i="20" a="1"/>
  <c r="K33" i="20" s="1"/>
  <c r="K36" i="20" a="1"/>
  <c r="K36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50" i="20" a="1"/>
  <c r="K50" i="20" s="1"/>
  <c r="K51" i="20" a="1"/>
  <c r="K51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N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N2" i="20" s="1"/>
  <c r="M3" i="20" a="1"/>
  <c r="M3" i="20" s="1"/>
  <c r="M4" i="20" a="1"/>
  <c r="M4" i="20" s="1"/>
  <c r="N4" i="20" s="1"/>
  <c r="M5" i="20" a="1"/>
  <c r="M5" i="20" s="1"/>
  <c r="N5" i="20" s="1"/>
  <c r="M6" i="20" a="1"/>
  <c r="M6" i="20" s="1"/>
  <c r="M7" i="20" a="1"/>
  <c r="M7" i="20" s="1"/>
  <c r="M8" i="20" a="1"/>
  <c r="M8" i="20"/>
  <c r="N8" i="20" s="1"/>
  <c r="M9" i="20" a="1"/>
  <c r="M9" i="20"/>
  <c r="M10" i="20" a="1"/>
  <c r="M10" i="20"/>
  <c r="N10" i="20" s="1"/>
  <c r="M11" i="20" a="1"/>
  <c r="M11" i="20" s="1"/>
  <c r="N11" i="20" s="1"/>
  <c r="M12" i="20" a="1"/>
  <c r="M12" i="20" s="1"/>
  <c r="N12" i="20" s="1"/>
  <c r="M13" i="20" a="1"/>
  <c r="M13" i="20"/>
  <c r="M14" i="20" a="1"/>
  <c r="M14" i="20" s="1"/>
  <c r="M15" i="20" a="1"/>
  <c r="M15" i="20" s="1"/>
  <c r="M16" i="20" a="1"/>
  <c r="M16" i="20" s="1"/>
  <c r="N16" i="20" s="1"/>
  <c r="M17" i="20" a="1"/>
  <c r="M17" i="20" s="1"/>
  <c r="M18" i="20" a="1"/>
  <c r="M18" i="20" s="1"/>
  <c r="N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/>
  <c r="M25" i="20" a="1"/>
  <c r="M25" i="20" s="1"/>
  <c r="N25" i="20" s="1"/>
  <c r="M26" i="20" a="1"/>
  <c r="M26" i="20" s="1"/>
  <c r="N26" i="20" s="1"/>
  <c r="M27" i="20" a="1"/>
  <c r="M27" i="20"/>
  <c r="M28" i="20" a="1"/>
  <c r="M28" i="20"/>
  <c r="M29" i="20" a="1"/>
  <c r="M29" i="20" s="1"/>
  <c r="M30" i="20" a="1"/>
  <c r="M30" i="20" s="1"/>
  <c r="M31" i="20" a="1"/>
  <c r="M31" i="20" s="1"/>
  <c r="M32" i="20" a="1"/>
  <c r="M32" i="20" s="1"/>
  <c r="N32" i="20" s="1"/>
  <c r="M33" i="20" a="1"/>
  <c r="M33" i="20" s="1"/>
  <c r="N33" i="20" s="1"/>
  <c r="M34" i="20" a="1"/>
  <c r="M34" i="20" s="1"/>
  <c r="N34" i="20" s="1"/>
  <c r="M35" i="20" a="1"/>
  <c r="M35" i="20" s="1"/>
  <c r="N35" i="20" s="1"/>
  <c r="M36" i="20" a="1"/>
  <c r="M36" i="20" s="1"/>
  <c r="M37" i="20" a="1"/>
  <c r="M37" i="20" s="1"/>
  <c r="M38" i="20" a="1"/>
  <c r="M38" i="20" s="1"/>
  <c r="M39" i="20" a="1"/>
  <c r="M39" i="20"/>
  <c r="M40" i="20" a="1"/>
  <c r="M40" i="20" s="1"/>
  <c r="N40" i="20" s="1"/>
  <c r="M41" i="20" a="1"/>
  <c r="M41" i="20"/>
  <c r="M42" i="20" a="1"/>
  <c r="M42" i="20"/>
  <c r="N42" i="20" s="1"/>
  <c r="M43" i="20" a="1"/>
  <c r="M43" i="20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N50" i="20" s="1"/>
  <c r="M51" i="20" a="1"/>
  <c r="M51" i="20" s="1"/>
  <c r="M52" i="20" a="1"/>
  <c r="M52" i="20" s="1"/>
  <c r="N52" i="20" s="1"/>
  <c r="M53" i="20" a="1"/>
  <c r="M53" i="20" s="1"/>
  <c r="N53" i="20" s="1"/>
  <c r="M54" i="20" a="1"/>
  <c r="M54" i="20" s="1"/>
  <c r="M55" i="20" a="1"/>
  <c r="M55" i="20" s="1"/>
  <c r="M56" i="20" a="1"/>
  <c r="M56" i="20" s="1"/>
  <c r="N56" i="20" s="1"/>
  <c r="M57" i="20" a="1"/>
  <c r="M57" i="20"/>
  <c r="M58" i="20" a="1"/>
  <c r="M58" i="20" s="1"/>
  <c r="M59" i="20" a="1"/>
  <c r="M59" i="20" s="1"/>
  <c r="M60" i="20" a="1"/>
  <c r="M60" i="20"/>
  <c r="N60" i="20" s="1"/>
  <c r="M61" i="20" a="1"/>
  <c r="M61" i="20"/>
  <c r="M62" i="20" a="1"/>
  <c r="M62" i="20" s="1"/>
  <c r="M63" i="20" a="1"/>
  <c r="M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/>
  <c r="M72" i="20" a="1"/>
  <c r="M72" i="20"/>
  <c r="N72" i="20" s="1"/>
  <c r="M73" i="20" a="1"/>
  <c r="M73" i="20" s="1"/>
  <c r="M74" i="20" a="1"/>
  <c r="M74" i="20"/>
  <c r="N74" i="20" s="1"/>
  <c r="M75" i="20" a="1"/>
  <c r="M75" i="20"/>
  <c r="M76" i="20" a="1"/>
  <c r="M76" i="20"/>
  <c r="M77" i="20" a="1"/>
  <c r="M77" i="20" s="1"/>
  <c r="N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N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N89" i="20" s="1"/>
  <c r="M90" i="20" a="1"/>
  <c r="M90" i="20"/>
  <c r="N90" i="20" s="1"/>
  <c r="M91" i="20" a="1"/>
  <c r="M91" i="20" s="1"/>
  <c r="N91" i="20" s="1"/>
  <c r="M92" i="20" a="1"/>
  <c r="M92" i="20" s="1"/>
  <c r="M93" i="20" a="1"/>
  <c r="M93" i="20"/>
  <c r="M94" i="20" a="1"/>
  <c r="M94" i="20" s="1"/>
  <c r="M95" i="20" a="1"/>
  <c r="M95" i="20" s="1"/>
  <c r="M96" i="20" a="1"/>
  <c r="M96" i="20" s="1"/>
  <c r="N96" i="20" s="1"/>
  <c r="M97" i="20" a="1"/>
  <c r="M97" i="20" s="1"/>
  <c r="N97" i="20" s="1"/>
  <c r="M98" i="20" a="1"/>
  <c r="M98" i="20" s="1"/>
  <c r="N98" i="20" s="1"/>
  <c r="M99" i="20" a="1"/>
  <c r="M99" i="20" s="1"/>
  <c r="N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N104" i="20" s="1"/>
  <c r="M105" i="20" a="1"/>
  <c r="M105" i="20"/>
  <c r="M106" i="20" a="1"/>
  <c r="M106" i="20" s="1"/>
  <c r="N106" i="20" s="1"/>
  <c r="M107" i="20" a="1"/>
  <c r="M107" i="20"/>
  <c r="M108" i="20" a="1"/>
  <c r="M108" i="20"/>
  <c r="M109" i="20" a="1"/>
  <c r="M109" i="20"/>
  <c r="M110" i="20" a="1"/>
  <c r="M110" i="20" s="1"/>
  <c r="N110" i="20" s="1"/>
  <c r="M111" i="20" a="1"/>
  <c r="M111" i="20" s="1"/>
  <c r="M112" i="20" a="1"/>
  <c r="M112" i="20" s="1"/>
  <c r="N112" i="20" s="1"/>
  <c r="M113" i="20" a="1"/>
  <c r="M113" i="20" s="1"/>
  <c r="M114" i="20" a="1"/>
  <c r="M114" i="20" s="1"/>
  <c r="N114" i="20" s="1"/>
  <c r="M115" i="20" a="1"/>
  <c r="M115" i="20" s="1"/>
  <c r="M116" i="20" a="1"/>
  <c r="M116" i="20" s="1"/>
  <c r="M117" i="20" a="1"/>
  <c r="M117" i="20" s="1"/>
  <c r="N117" i="20" s="1"/>
  <c r="M118" i="20" a="1"/>
  <c r="M118" i="20" s="1"/>
  <c r="M119" i="20" a="1"/>
  <c r="M119" i="20"/>
  <c r="M120" i="20" a="1"/>
  <c r="M120" i="20" s="1"/>
  <c r="N120" i="20" s="1"/>
  <c r="M121" i="20" a="1"/>
  <c r="M121" i="20" s="1"/>
  <c r="N121" i="20" s="1"/>
  <c r="M122" i="20" a="1"/>
  <c r="M122" i="20" s="1"/>
  <c r="M123" i="20" a="1"/>
  <c r="M123" i="20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N129" i="20" s="1"/>
  <c r="M130" i="20" a="1"/>
  <c r="M130" i="20" s="1"/>
  <c r="N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N136" i="20" s="1"/>
  <c r="M137" i="20" a="1"/>
  <c r="M137" i="20" s="1"/>
  <c r="M138" i="20" a="1"/>
  <c r="M138" i="20"/>
  <c r="N138" i="20" s="1"/>
  <c r="M139" i="20" a="1"/>
  <c r="M139" i="20" s="1"/>
  <c r="N139" i="20" s="1"/>
  <c r="M140" i="20" a="1"/>
  <c r="M140" i="20"/>
  <c r="M141" i="20" a="1"/>
  <c r="M141" i="20"/>
  <c r="M142" i="20" a="1"/>
  <c r="M142" i="20" s="1"/>
  <c r="M143" i="20" a="1"/>
  <c r="M143" i="20" s="1"/>
  <c r="M144" i="20" a="1"/>
  <c r="M144" i="20" s="1"/>
  <c r="N144" i="20" s="1"/>
  <c r="M145" i="20" a="1"/>
  <c r="M145" i="20" s="1"/>
  <c r="M146" i="20" a="1"/>
  <c r="M146" i="20" s="1"/>
  <c r="N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/>
  <c r="O7" i="20" a="1"/>
  <c r="O7" i="20" s="1"/>
  <c r="O8" i="20" a="1"/>
  <c r="O8" i="20" s="1"/>
  <c r="O9" i="20" a="1"/>
  <c r="O9" i="20" s="1"/>
  <c r="O10" i="20" a="1"/>
  <c r="O10" i="20"/>
  <c r="O11" i="20" a="1"/>
  <c r="O11" i="20" s="1"/>
  <c r="O12" i="20" a="1"/>
  <c r="O12" i="20" s="1"/>
  <c r="O13" i="20" a="1"/>
  <c r="O13" i="20" s="1"/>
  <c r="O14" i="20" a="1"/>
  <c r="O14" i="20"/>
  <c r="O15" i="20" a="1"/>
  <c r="O15" i="20" s="1"/>
  <c r="O16" i="20" a="1"/>
  <c r="O16" i="20" s="1"/>
  <c r="O17" i="20" a="1"/>
  <c r="O17" i="20" s="1"/>
  <c r="O18" i="20" a="1"/>
  <c r="O18" i="20"/>
  <c r="O19" i="20" a="1"/>
  <c r="O19" i="20" s="1"/>
  <c r="O20" i="20" a="1"/>
  <c r="O20" i="20" s="1"/>
  <c r="O21" i="20" a="1"/>
  <c r="O21" i="20" s="1"/>
  <c r="O22" i="20" a="1"/>
  <c r="O22" i="20"/>
  <c r="O23" i="20" a="1"/>
  <c r="O23" i="20" s="1"/>
  <c r="O24" i="20" a="1"/>
  <c r="O24" i="20" s="1"/>
  <c r="O25" i="20" a="1"/>
  <c r="O25" i="20" s="1"/>
  <c r="O26" i="20" a="1"/>
  <c r="O26" i="20"/>
  <c r="O27" i="20" a="1"/>
  <c r="O27" i="20" s="1"/>
  <c r="O28" i="20" a="1"/>
  <c r="O28" i="20" s="1"/>
  <c r="O29" i="20" a="1"/>
  <c r="O29" i="20" s="1"/>
  <c r="O30" i="20" a="1"/>
  <c r="O30" i="20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/>
  <c r="O143" i="20" a="1"/>
  <c r="O143" i="20"/>
  <c r="O144" i="20" a="1"/>
  <c r="O144" i="20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/>
  <c r="O151" i="20" a="1"/>
  <c r="O151" i="20"/>
  <c r="P2" i="20" a="1"/>
  <c r="P2" i="20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/>
  <c r="P9" i="20" a="1"/>
  <c r="P9" i="20"/>
  <c r="P10" i="20" a="1"/>
  <c r="P10" i="20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/>
  <c r="P17" i="20" a="1"/>
  <c r="P17" i="20"/>
  <c r="P18" i="20" a="1"/>
  <c r="P18" i="20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/>
  <c r="P25" i="20" a="1"/>
  <c r="P25" i="20"/>
  <c r="P26" i="20" a="1"/>
  <c r="P26" i="20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/>
  <c r="P33" i="20" a="1"/>
  <c r="P33" i="20"/>
  <c r="P34" i="20" a="1"/>
  <c r="P34" i="20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/>
  <c r="P41" i="20" a="1"/>
  <c r="P41" i="20"/>
  <c r="P42" i="20" a="1"/>
  <c r="P42" i="20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/>
  <c r="P49" i="20" a="1"/>
  <c r="P49" i="20"/>
  <c r="P50" i="20" a="1"/>
  <c r="P50" i="20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O56" i="18" s="1" a="1"/>
  <c r="O56" i="18" s="1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75" i="18" s="1" a="1"/>
  <c r="O75" i="18" s="1"/>
  <c r="M48" i="18"/>
  <c r="M49" i="18"/>
  <c r="O49" i="18" s="1" a="1"/>
  <c r="O49" i="18" s="1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O63" i="18" s="1" a="1"/>
  <c r="O63" i="18" s="1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O82" i="18" s="1" a="1"/>
  <c r="O82" i="18" s="1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O91" i="18" s="1" a="1"/>
  <c r="O91" i="18" s="1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O107" i="18" s="1" a="1"/>
  <c r="O107" i="18" s="1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R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R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R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/>
  <c r="N359" i="18" a="1"/>
  <c r="N359" i="18" s="1"/>
  <c r="N360" i="18" a="1"/>
  <c r="N360" i="18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R374" i="18" s="1"/>
  <c r="N375" i="18" a="1"/>
  <c r="N375" i="18" s="1"/>
  <c r="N376" i="18" a="1"/>
  <c r="N376" i="18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/>
  <c r="N391" i="18" a="1"/>
  <c r="N391" i="18"/>
  <c r="N392" i="18" a="1"/>
  <c r="N392" i="18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R423" i="18" s="1"/>
  <c r="N424" i="18" a="1"/>
  <c r="N424" i="18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R438" i="18" s="1"/>
  <c r="N439" i="18" a="1"/>
  <c r="N439" i="18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O57" i="18" a="1"/>
  <c r="O57" i="18" s="1"/>
  <c r="O74" i="18" a="1"/>
  <c r="O74" i="18" s="1"/>
  <c r="O88" i="18" a="1"/>
  <c r="O88" i="18" s="1"/>
  <c r="O90" i="18" a="1"/>
  <c r="O90" i="18" s="1"/>
  <c r="O104" i="18" a="1"/>
  <c r="O104" i="18" s="1"/>
  <c r="O106" i="18" a="1"/>
  <c r="O106" i="18" s="1"/>
  <c r="O111" i="18" a="1"/>
  <c r="O111" i="18" s="1"/>
  <c r="O112" i="18" a="1"/>
  <c r="O112" i="18" s="1"/>
  <c r="O113" i="18" a="1"/>
  <c r="O113" i="18" s="1"/>
  <c r="O117" i="18" a="1"/>
  <c r="O117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/>
  <c r="O263" i="18" a="1"/>
  <c r="O263" i="18"/>
  <c r="O264" i="18" a="1"/>
  <c r="O264" i="18"/>
  <c r="O265" i="18" a="1"/>
  <c r="O265" i="18"/>
  <c r="O266" i="18" a="1"/>
  <c r="O266" i="18"/>
  <c r="O267" i="18" a="1"/>
  <c r="O267" i="18"/>
  <c r="O268" i="18" a="1"/>
  <c r="O268" i="18" s="1"/>
  <c r="O269" i="18" a="1"/>
  <c r="O269" i="18" s="1"/>
  <c r="O270" i="18" a="1"/>
  <c r="O270" i="18"/>
  <c r="O271" i="18" a="1"/>
  <c r="O271" i="18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/>
  <c r="O298" i="18" a="1"/>
  <c r="O298" i="18"/>
  <c r="O299" i="18" a="1"/>
  <c r="O299" i="18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/>
  <c r="P445" i="18" a="1"/>
  <c r="P445" i="18"/>
  <c r="P446" i="18" a="1"/>
  <c r="P446" i="18"/>
  <c r="P447" i="18" a="1"/>
  <c r="P447" i="18"/>
  <c r="P448" i="18" a="1"/>
  <c r="P448" i="18"/>
  <c r="P449" i="18" a="1"/>
  <c r="P449" i="18"/>
  <c r="P450" i="18" a="1"/>
  <c r="P450" i="18"/>
  <c r="P451" i="18" a="1"/>
  <c r="P451" i="18"/>
  <c r="Q2" i="18" a="1"/>
  <c r="Q2" i="18"/>
  <c r="Q3" i="18" a="1"/>
  <c r="Q3" i="18"/>
  <c r="R3" i="18" s="1"/>
  <c r="Q4" i="18" a="1"/>
  <c r="Q4" i="18"/>
  <c r="Q5" i="18" a="1"/>
  <c r="Q5" i="18"/>
  <c r="R5" i="18" s="1"/>
  <c r="Q6" i="18" a="1"/>
  <c r="Q6" i="18"/>
  <c r="R6" i="18" s="1"/>
  <c r="Q7" i="18" a="1"/>
  <c r="Q7" i="18"/>
  <c r="Q8" i="18" a="1"/>
  <c r="Q8" i="18"/>
  <c r="Q9" i="18" a="1"/>
  <c r="Q9" i="18"/>
  <c r="R9" i="18" s="1"/>
  <c r="Q10" i="18" a="1"/>
  <c r="Q10" i="18"/>
  <c r="Q11" i="18" a="1"/>
  <c r="Q11" i="18"/>
  <c r="R11" i="18" s="1"/>
  <c r="Q12" i="18" a="1"/>
  <c r="Q12" i="18"/>
  <c r="R12" i="18" s="1"/>
  <c r="Q13" i="18" a="1"/>
  <c r="Q13" i="18"/>
  <c r="R13" i="18" s="1"/>
  <c r="Q14" i="18" a="1"/>
  <c r="Q14" i="18"/>
  <c r="Q15" i="18" a="1"/>
  <c r="Q15" i="18"/>
  <c r="Q16" i="18" a="1"/>
  <c r="Q16" i="18"/>
  <c r="R16" i="18" s="1"/>
  <c r="Q17" i="18" a="1"/>
  <c r="Q17" i="18"/>
  <c r="R17" i="18" s="1"/>
  <c r="U17" i="18" s="1"/>
  <c r="Q18" i="18" a="1"/>
  <c r="Q18" i="18"/>
  <c r="Q19" i="18" a="1"/>
  <c r="Q19" i="18"/>
  <c r="R19" i="18" s="1"/>
  <c r="Q20" i="18" a="1"/>
  <c r="Q20" i="18"/>
  <c r="R20" i="18" s="1"/>
  <c r="Q21" i="18" a="1"/>
  <c r="Q21" i="18"/>
  <c r="Q22" i="18" a="1"/>
  <c r="Q22" i="18"/>
  <c r="R22" i="18" s="1"/>
  <c r="U22" i="18" s="1"/>
  <c r="Q23" i="18" a="1"/>
  <c r="Q23" i="18"/>
  <c r="Q24" i="18" a="1"/>
  <c r="Q24" i="18"/>
  <c r="R24" i="18" s="1"/>
  <c r="Q25" i="18" a="1"/>
  <c r="Q25" i="18"/>
  <c r="R25" i="18" s="1"/>
  <c r="Q26" i="18" a="1"/>
  <c r="Q26" i="18"/>
  <c r="Q27" i="18" a="1"/>
  <c r="Q27" i="18"/>
  <c r="R27" i="18" s="1"/>
  <c r="Q28" i="18" a="1"/>
  <c r="Q28" i="18"/>
  <c r="R28" i="18" s="1"/>
  <c r="Q29" i="18" a="1"/>
  <c r="Q29" i="18"/>
  <c r="Q30" i="18" a="1"/>
  <c r="Q30" i="18"/>
  <c r="Q31" i="18" a="1"/>
  <c r="Q31" i="18"/>
  <c r="R31" i="18" s="1"/>
  <c r="Q32" i="18" a="1"/>
  <c r="Q32" i="18"/>
  <c r="R32" i="18" s="1"/>
  <c r="Q33" i="18" a="1"/>
  <c r="Q33" i="18"/>
  <c r="R33" i="18" s="1"/>
  <c r="Q34" i="18" a="1"/>
  <c r="Q34" i="18"/>
  <c r="Q35" i="18" a="1"/>
  <c r="Q35" i="18"/>
  <c r="R35" i="18" s="1"/>
  <c r="Q36" i="18" a="1"/>
  <c r="Q36" i="18"/>
  <c r="R36" i="18" s="1"/>
  <c r="Q37" i="18" a="1"/>
  <c r="Q37" i="18"/>
  <c r="Q38" i="18" a="1"/>
  <c r="Q38" i="18"/>
  <c r="R38" i="18" s="1"/>
  <c r="Q39" i="18" a="1"/>
  <c r="Q39" i="18"/>
  <c r="Q40" i="18" a="1"/>
  <c r="Q40" i="18"/>
  <c r="R40" i="18" s="1"/>
  <c r="Q41" i="18" a="1"/>
  <c r="Q41" i="18"/>
  <c r="R41" i="18" s="1"/>
  <c r="U41" i="18" s="1"/>
  <c r="Q42" i="18" a="1"/>
  <c r="Q42" i="18"/>
  <c r="Q43" i="18" a="1"/>
  <c r="Q43" i="18"/>
  <c r="Q44" i="18" a="1"/>
  <c r="Q44" i="18"/>
  <c r="R44" i="18" s="1"/>
  <c r="Q45" i="18" a="1"/>
  <c r="Q45" i="18"/>
  <c r="R45" i="18" s="1"/>
  <c r="Q46" i="18" a="1"/>
  <c r="Q46" i="18"/>
  <c r="Q47" i="18" a="1"/>
  <c r="Q47" i="18"/>
  <c r="Q48" i="18" a="1"/>
  <c r="Q48" i="18"/>
  <c r="R48" i="18" s="1"/>
  <c r="Q49" i="18" a="1"/>
  <c r="Q49" i="18"/>
  <c r="R49" i="18" s="1"/>
  <c r="Q50" i="18" a="1"/>
  <c r="Q50" i="18"/>
  <c r="Q51" i="18" a="1"/>
  <c r="Q51" i="18"/>
  <c r="R51" i="18" s="1"/>
  <c r="Q52" i="18" a="1"/>
  <c r="Q52" i="18"/>
  <c r="Q53" i="18" a="1"/>
  <c r="Q53" i="18"/>
  <c r="R53" i="18" s="1"/>
  <c r="Q54" i="18" a="1"/>
  <c r="Q54" i="18"/>
  <c r="R54" i="18" s="1"/>
  <c r="Q55" i="18" a="1"/>
  <c r="Q55" i="18"/>
  <c r="Q56" i="18" a="1"/>
  <c r="Q56" i="18"/>
  <c r="R56" i="18" s="1"/>
  <c r="Q57" i="18" a="1"/>
  <c r="Q57" i="18"/>
  <c r="R57" i="18" s="1"/>
  <c r="Q58" i="18" a="1"/>
  <c r="Q58" i="18"/>
  <c r="Q59" i="18" a="1"/>
  <c r="Q59" i="18"/>
  <c r="Q60" i="18" a="1"/>
  <c r="Q60" i="18"/>
  <c r="R60" i="18" s="1"/>
  <c r="Q61" i="18" a="1"/>
  <c r="Q61" i="18"/>
  <c r="R61" i="18" s="1"/>
  <c r="Q62" i="18" a="1"/>
  <c r="Q62" i="18"/>
  <c r="Q63" i="18" a="1"/>
  <c r="Q63" i="18"/>
  <c r="R63" i="18" s="1"/>
  <c r="Q64" i="18" a="1"/>
  <c r="Q64" i="18"/>
  <c r="R64" i="18" s="1"/>
  <c r="Q65" i="18" a="1"/>
  <c r="Q65" i="18"/>
  <c r="R65" i="18" s="1"/>
  <c r="Q66" i="18" a="1"/>
  <c r="Q66" i="18"/>
  <c r="Q67" i="18" a="1"/>
  <c r="Q67" i="18"/>
  <c r="R67" i="18" s="1"/>
  <c r="Q68" i="18" a="1"/>
  <c r="Q68" i="18"/>
  <c r="Q69" i="18" a="1"/>
  <c r="Q69" i="18"/>
  <c r="R69" i="18" s="1"/>
  <c r="Q70" i="18" a="1"/>
  <c r="Q70" i="18"/>
  <c r="Q71" i="18" a="1"/>
  <c r="Q71" i="18"/>
  <c r="R71" i="18" s="1"/>
  <c r="Q72" i="18" a="1"/>
  <c r="Q72" i="18"/>
  <c r="R72" i="18" s="1"/>
  <c r="Q73" i="18" a="1"/>
  <c r="Q73" i="18"/>
  <c r="R73" i="18" s="1"/>
  <c r="Q74" i="18" a="1"/>
  <c r="Q74" i="18"/>
  <c r="Q75" i="18" a="1"/>
  <c r="Q75" i="18"/>
  <c r="Q76" i="18" a="1"/>
  <c r="Q76" i="18"/>
  <c r="R76" i="18" s="1"/>
  <c r="Q77" i="18" a="1"/>
  <c r="Q77" i="18"/>
  <c r="R77" i="18" s="1"/>
  <c r="Q78" i="18" a="1"/>
  <c r="Q78" i="18"/>
  <c r="Q79" i="18" a="1"/>
  <c r="Q79" i="18"/>
  <c r="R79" i="18" s="1"/>
  <c r="Q80" i="18" a="1"/>
  <c r="Q80" i="18"/>
  <c r="R80" i="18" s="1"/>
  <c r="Q81" i="18" a="1"/>
  <c r="Q81" i="18"/>
  <c r="R81" i="18" s="1"/>
  <c r="Q82" i="18" a="1"/>
  <c r="Q82" i="18"/>
  <c r="Q83" i="18" a="1"/>
  <c r="Q83" i="18"/>
  <c r="Q84" i="18" a="1"/>
  <c r="Q84" i="18"/>
  <c r="R84" i="18" s="1"/>
  <c r="Q85" i="18" a="1"/>
  <c r="Q85" i="18"/>
  <c r="R85" i="18" s="1"/>
  <c r="Q86" i="18" a="1"/>
  <c r="Q86" i="18"/>
  <c r="Q87" i="18" a="1"/>
  <c r="Q87" i="18"/>
  <c r="R87" i="18" s="1"/>
  <c r="Q88" i="18" a="1"/>
  <c r="Q88" i="18"/>
  <c r="R88" i="18" s="1"/>
  <c r="Q89" i="18" a="1"/>
  <c r="Q89" i="18"/>
  <c r="R89" i="18" s="1"/>
  <c r="Q90" i="18" a="1"/>
  <c r="Q90" i="18"/>
  <c r="Q91" i="18" a="1"/>
  <c r="Q91" i="18"/>
  <c r="R91" i="18" s="1"/>
  <c r="Q92" i="18" a="1"/>
  <c r="Q92" i="18"/>
  <c r="R92" i="18" s="1"/>
  <c r="Q93" i="18" a="1"/>
  <c r="Q93" i="18"/>
  <c r="R93" i="18" s="1"/>
  <c r="Q94" i="18" a="1"/>
  <c r="Q94" i="18"/>
  <c r="Q95" i="18" a="1"/>
  <c r="Q95" i="18"/>
  <c r="Q96" i="18" a="1"/>
  <c r="Q96" i="18"/>
  <c r="Q97" i="18" a="1"/>
  <c r="Q97" i="18"/>
  <c r="R97" i="18" s="1"/>
  <c r="Q98" i="18" a="1"/>
  <c r="Q98" i="18"/>
  <c r="Q99" i="18" a="1"/>
  <c r="Q99" i="18"/>
  <c r="R99" i="18" s="1"/>
  <c r="Q100" i="18" a="1"/>
  <c r="Q100" i="18"/>
  <c r="R100" i="18" s="1"/>
  <c r="Q101" i="18" a="1"/>
  <c r="Q101" i="18"/>
  <c r="Q102" i="18" a="1"/>
  <c r="Q102" i="18"/>
  <c r="R102" i="18" s="1"/>
  <c r="Q103" i="18" a="1"/>
  <c r="Q103" i="18"/>
  <c r="R103" i="18" s="1"/>
  <c r="Q104" i="18" a="1"/>
  <c r="Q104" i="18"/>
  <c r="R104" i="18" s="1"/>
  <c r="Q105" i="18" a="1"/>
  <c r="Q105" i="18"/>
  <c r="Q106" i="18" a="1"/>
  <c r="Q106" i="18"/>
  <c r="Q107" i="18" a="1"/>
  <c r="Q107" i="18"/>
  <c r="R107" i="18" s="1"/>
  <c r="Q108" i="18" a="1"/>
  <c r="Q108" i="18"/>
  <c r="R108" i="18" s="1"/>
  <c r="Q109" i="18" a="1"/>
  <c r="Q109" i="18"/>
  <c r="Q110" i="18" a="1"/>
  <c r="Q110" i="18"/>
  <c r="Q111" i="18" a="1"/>
  <c r="Q111" i="18"/>
  <c r="R111" i="18" s="1"/>
  <c r="Q112" i="18" a="1"/>
  <c r="Q112" i="18"/>
  <c r="R112" i="18" s="1"/>
  <c r="Q113" i="18" a="1"/>
  <c r="Q113" i="18"/>
  <c r="R113" i="18" s="1"/>
  <c r="Q114" i="18" a="1"/>
  <c r="Q114" i="18"/>
  <c r="Q115" i="18" a="1"/>
  <c r="Q115" i="18"/>
  <c r="Q116" i="18" a="1"/>
  <c r="Q116" i="18"/>
  <c r="R116" i="18" s="1"/>
  <c r="U116" i="18" s="1"/>
  <c r="Q117" i="18" a="1"/>
  <c r="Q117" i="18"/>
  <c r="Q118" i="18" a="1"/>
  <c r="Q118" i="18" s="1"/>
  <c r="Q119" i="18" a="1"/>
  <c r="Q119" i="18" s="1"/>
  <c r="R119" i="18" s="1"/>
  <c r="Q120" i="18" a="1"/>
  <c r="Q120" i="18" s="1"/>
  <c r="R120" i="18" s="1"/>
  <c r="U120" i="18" s="1"/>
  <c r="Q121" i="18" a="1"/>
  <c r="Q121" i="18" s="1"/>
  <c r="R121" i="18" s="1"/>
  <c r="Q122" i="18" a="1"/>
  <c r="Q122" i="18" s="1"/>
  <c r="Q123" i="18" a="1"/>
  <c r="Q123" i="18" s="1"/>
  <c r="R123" i="18" s="1"/>
  <c r="Q124" i="18" a="1"/>
  <c r="Q124" i="18" s="1"/>
  <c r="R124" i="18" s="1"/>
  <c r="Q125" i="18" a="1"/>
  <c r="Q125" i="18" s="1"/>
  <c r="R125" i="18" s="1"/>
  <c r="Q126" i="18" a="1"/>
  <c r="Q126" i="18" s="1"/>
  <c r="R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Q130" i="18" a="1"/>
  <c r="Q130" i="18" s="1"/>
  <c r="Q131" i="18" a="1"/>
  <c r="Q131" i="18" s="1"/>
  <c r="R131" i="18" s="1"/>
  <c r="Q132" i="18" a="1"/>
  <c r="Q132" i="18" s="1"/>
  <c r="R132" i="18" s="1"/>
  <c r="Q133" i="18" a="1"/>
  <c r="Q133" i="18" s="1"/>
  <c r="R133" i="18" s="1"/>
  <c r="Q134" i="18" a="1"/>
  <c r="Q134" i="18" s="1"/>
  <c r="Q135" i="18" a="1"/>
  <c r="Q135" i="18"/>
  <c r="R135" i="18" s="1"/>
  <c r="Q136" i="18" a="1"/>
  <c r="Q136" i="18"/>
  <c r="R136" i="18" s="1"/>
  <c r="Q137" i="18" a="1"/>
  <c r="Q137" i="18"/>
  <c r="R137" i="18" s="1"/>
  <c r="Q138" i="18" a="1"/>
  <c r="Q138" i="18"/>
  <c r="Q139" i="18" a="1"/>
  <c r="Q139" i="18"/>
  <c r="Q140" i="18" a="1"/>
  <c r="Q140" i="18"/>
  <c r="R140" i="18" s="1"/>
  <c r="Q141" i="18" a="1"/>
  <c r="Q141" i="18" s="1"/>
  <c r="R141" i="18" s="1"/>
  <c r="Q142" i="18" a="1"/>
  <c r="Q142" i="18" s="1"/>
  <c r="R142" i="18" s="1"/>
  <c r="Q143" i="18" a="1"/>
  <c r="Q143" i="18"/>
  <c r="R143" i="18" s="1"/>
  <c r="Q144" i="18" a="1"/>
  <c r="Q144" i="18"/>
  <c r="R144" i="18" s="1"/>
  <c r="Q145" i="18" a="1"/>
  <c r="Q145" i="18"/>
  <c r="R145" i="18" s="1"/>
  <c r="Q146" i="18" a="1"/>
  <c r="Q146" i="18"/>
  <c r="Q147" i="18" a="1"/>
  <c r="Q147" i="18"/>
  <c r="R147" i="18" s="1"/>
  <c r="Q148" i="18" a="1"/>
  <c r="Q148" i="18"/>
  <c r="R148" i="18" s="1"/>
  <c r="Q149" i="18" a="1"/>
  <c r="Q149" i="18"/>
  <c r="R149" i="18" s="1"/>
  <c r="Q150" i="18" a="1"/>
  <c r="Q150" i="18" s="1"/>
  <c r="R150" i="18" s="1"/>
  <c r="Q151" i="18" a="1"/>
  <c r="Q151" i="18" s="1"/>
  <c r="R151" i="18" s="1"/>
  <c r="Q152" i="18" a="1"/>
  <c r="Q152" i="18" s="1"/>
  <c r="R152" i="18" s="1"/>
  <c r="U152" i="18" s="1"/>
  <c r="Q153" i="18" a="1"/>
  <c r="Q153" i="18" s="1"/>
  <c r="R153" i="18" s="1"/>
  <c r="Q154" i="18" a="1"/>
  <c r="Q154" i="18" s="1"/>
  <c r="Q155" i="18" a="1"/>
  <c r="Q155" i="18" s="1"/>
  <c r="R155" i="18" s="1"/>
  <c r="Q156" i="18" a="1"/>
  <c r="Q156" i="18" s="1"/>
  <c r="R156" i="18" s="1"/>
  <c r="Q157" i="18" a="1"/>
  <c r="Q157" i="18" s="1"/>
  <c r="R157" i="18" s="1"/>
  <c r="Q158" i="18" a="1"/>
  <c r="Q158" i="18" s="1"/>
  <c r="R158" i="18" s="1"/>
  <c r="Q159" i="18" a="1"/>
  <c r="Q159" i="18" s="1"/>
  <c r="R159" i="18" s="1"/>
  <c r="Q160" i="18" a="1"/>
  <c r="Q160" i="18" s="1"/>
  <c r="R160" i="18" s="1"/>
  <c r="Q161" i="18" a="1"/>
  <c r="Q161" i="18" s="1"/>
  <c r="R161" i="18" s="1"/>
  <c r="Q162" i="18" a="1"/>
  <c r="Q162" i="18" s="1"/>
  <c r="Q163" i="18" a="1"/>
  <c r="Q163" i="18" s="1"/>
  <c r="R163" i="18" s="1"/>
  <c r="Q164" i="18" a="1"/>
  <c r="Q164" i="18" s="1"/>
  <c r="R164" i="18" s="1"/>
  <c r="Q165" i="18" a="1"/>
  <c r="Q165" i="18" s="1"/>
  <c r="R165" i="18" s="1"/>
  <c r="Q166" i="18" a="1"/>
  <c r="Q166" i="18" s="1"/>
  <c r="R166" i="18" s="1"/>
  <c r="Q167" i="18" a="1"/>
  <c r="Q167" i="18"/>
  <c r="R167" i="18" s="1"/>
  <c r="Q168" i="18" a="1"/>
  <c r="Q168" i="18"/>
  <c r="R168" i="18" s="1"/>
  <c r="Q169" i="18" a="1"/>
  <c r="Q169" i="18"/>
  <c r="Q170" i="18" a="1"/>
  <c r="Q170" i="18"/>
  <c r="Q171" i="18" a="1"/>
  <c r="Q171" i="18"/>
  <c r="R171" i="18" s="1"/>
  <c r="U171" i="18" s="1"/>
  <c r="Q172" i="18" a="1"/>
  <c r="Q172" i="18"/>
  <c r="R172" i="18" s="1"/>
  <c r="Q173" i="18" a="1"/>
  <c r="Q173" i="18" s="1"/>
  <c r="R173" i="18" s="1"/>
  <c r="Q174" i="18" a="1"/>
  <c r="Q174" i="18" s="1"/>
  <c r="R174" i="18" s="1"/>
  <c r="Q175" i="18" a="1"/>
  <c r="Q175" i="18"/>
  <c r="Q176" i="18" a="1"/>
  <c r="Q176" i="18"/>
  <c r="R176" i="18" s="1"/>
  <c r="Q177" i="18" a="1"/>
  <c r="Q177" i="18"/>
  <c r="R177" i="18" s="1"/>
  <c r="Q178" i="18" a="1"/>
  <c r="Q178" i="18"/>
  <c r="Q179" i="18" a="1"/>
  <c r="Q179" i="18"/>
  <c r="R179" i="18" s="1"/>
  <c r="Q180" i="18" a="1"/>
  <c r="Q180" i="18"/>
  <c r="Q181" i="18" a="1"/>
  <c r="Q181" i="18"/>
  <c r="R181" i="18" s="1"/>
  <c r="Q182" i="18" a="1"/>
  <c r="Q182" i="18" s="1"/>
  <c r="Q183" i="18" a="1"/>
  <c r="Q183" i="18" s="1"/>
  <c r="R183" i="18" s="1"/>
  <c r="Q184" i="18" a="1"/>
  <c r="Q184" i="18" s="1"/>
  <c r="R184" i="18" s="1"/>
  <c r="Q185" i="18" a="1"/>
  <c r="Q185" i="18" s="1"/>
  <c r="R185" i="18" s="1"/>
  <c r="Q186" i="18" a="1"/>
  <c r="Q186" i="18" s="1"/>
  <c r="Q187" i="18" a="1"/>
  <c r="Q187" i="18" s="1"/>
  <c r="R187" i="18" s="1"/>
  <c r="Q188" i="18" a="1"/>
  <c r="Q188" i="18" s="1"/>
  <c r="R188" i="18" s="1"/>
  <c r="Q189" i="18" a="1"/>
  <c r="Q189" i="18" s="1"/>
  <c r="R189" i="18" s="1"/>
  <c r="Q190" i="18" a="1"/>
  <c r="Q190" i="18" s="1"/>
  <c r="R190" i="18" s="1"/>
  <c r="Q191" i="18" a="1"/>
  <c r="Q191" i="18" s="1"/>
  <c r="R191" i="18" s="1"/>
  <c r="Q192" i="18" a="1"/>
  <c r="Q192" i="18" s="1"/>
  <c r="R192" i="18" s="1"/>
  <c r="Q193" i="18" a="1"/>
  <c r="Q193" i="18" s="1"/>
  <c r="R193" i="18" s="1"/>
  <c r="U193" i="18" s="1"/>
  <c r="Q194" i="18" a="1"/>
  <c r="Q194" i="18" s="1"/>
  <c r="Q195" i="18" a="1"/>
  <c r="Q195" i="18" s="1"/>
  <c r="R195" i="18" s="1"/>
  <c r="Q196" i="18" a="1"/>
  <c r="Q196" i="18" s="1"/>
  <c r="R196" i="18" s="1"/>
  <c r="Q197" i="18" a="1"/>
  <c r="Q197" i="18" s="1"/>
  <c r="R197" i="18" s="1"/>
  <c r="Q198" i="18" a="1"/>
  <c r="Q198" i="18" s="1"/>
  <c r="Q199" i="18" a="1"/>
  <c r="Q199" i="18"/>
  <c r="Q200" i="18" a="1"/>
  <c r="Q200" i="18"/>
  <c r="R200" i="18" s="1"/>
  <c r="Q201" i="18" a="1"/>
  <c r="Q201" i="18"/>
  <c r="R201" i="18" s="1"/>
  <c r="Q202" i="18" a="1"/>
  <c r="Q202" i="18"/>
  <c r="Q203" i="18" a="1"/>
  <c r="Q203" i="18"/>
  <c r="Q204" i="18" a="1"/>
  <c r="Q204" i="18"/>
  <c r="R204" i="18" s="1"/>
  <c r="Q205" i="18" a="1"/>
  <c r="Q205" i="18"/>
  <c r="R205" i="18" s="1"/>
  <c r="Q206" i="18" a="1"/>
  <c r="Q206" i="18" s="1"/>
  <c r="R206" i="18" s="1"/>
  <c r="Q207" i="18" a="1"/>
  <c r="Q207" i="18" s="1"/>
  <c r="R207" i="18" s="1"/>
  <c r="U207" i="18" s="1"/>
  <c r="Q208" i="18" a="1"/>
  <c r="Q208" i="18" s="1"/>
  <c r="R208" i="18" s="1"/>
  <c r="Q209" i="18" a="1"/>
  <c r="Q209" i="18" s="1"/>
  <c r="R209" i="18" s="1"/>
  <c r="Q210" i="18" a="1"/>
  <c r="Q210" i="18" s="1"/>
  <c r="Q211" i="18" a="1"/>
  <c r="Q211" i="18" s="1"/>
  <c r="R211" i="18" s="1"/>
  <c r="Q212" i="18" a="1"/>
  <c r="Q212" i="18" s="1"/>
  <c r="R212" i="18" s="1"/>
  <c r="U212" i="18" s="1"/>
  <c r="Q213" i="18" a="1"/>
  <c r="Q213" i="18" s="1"/>
  <c r="R213" i="18" s="1"/>
  <c r="Q214" i="18" a="1"/>
  <c r="Q214" i="18" s="1"/>
  <c r="R214" i="18" s="1"/>
  <c r="Q215" i="18" a="1"/>
  <c r="Q215" i="18" s="1"/>
  <c r="R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 s="1"/>
  <c r="R219" i="18" s="1"/>
  <c r="Q220" i="18" a="1"/>
  <c r="Q220" i="18" s="1"/>
  <c r="R220" i="18" s="1"/>
  <c r="Q221" i="18" a="1"/>
  <c r="Q221" i="18" s="1"/>
  <c r="R221" i="18" s="1"/>
  <c r="Q222" i="18" a="1"/>
  <c r="Q222" i="18" s="1"/>
  <c r="R222" i="18" s="1"/>
  <c r="Q223" i="18" a="1"/>
  <c r="Q223" i="18"/>
  <c r="R223" i="18" s="1"/>
  <c r="Q224" i="18" a="1"/>
  <c r="Q224" i="18"/>
  <c r="R224" i="18" s="1"/>
  <c r="Q225" i="18" a="1"/>
  <c r="Q225" i="18"/>
  <c r="R225" i="18" s="1"/>
  <c r="U225" i="18" s="1"/>
  <c r="Q226" i="18" a="1"/>
  <c r="Q226" i="18"/>
  <c r="Q227" i="18" a="1"/>
  <c r="Q227" i="18"/>
  <c r="Q228" i="18" a="1"/>
  <c r="Q228" i="18"/>
  <c r="R228" i="18" s="1"/>
  <c r="Q229" i="18" a="1"/>
  <c r="Q229" i="18" s="1"/>
  <c r="R229" i="18" s="1"/>
  <c r="Q230" i="18" a="1"/>
  <c r="Q230" i="18" s="1"/>
  <c r="R230" i="18" s="1"/>
  <c r="U230" i="18" s="1"/>
  <c r="Q231" i="18" a="1"/>
  <c r="Q231" i="18"/>
  <c r="R231" i="18" s="1"/>
  <c r="Q232" i="18" a="1"/>
  <c r="Q232" i="18"/>
  <c r="R232" i="18" s="1"/>
  <c r="Q233" i="18" a="1"/>
  <c r="Q233" i="18"/>
  <c r="Q234" i="18" a="1"/>
  <c r="Q234" i="18"/>
  <c r="Q235" i="18" a="1"/>
  <c r="Q235" i="18"/>
  <c r="R235" i="18" s="1"/>
  <c r="Q236" i="18" a="1"/>
  <c r="Q236" i="18"/>
  <c r="R236" i="18" s="1"/>
  <c r="Q237" i="18" a="1"/>
  <c r="Q237" i="18" s="1"/>
  <c r="R237" i="18" s="1"/>
  <c r="Q238" i="18" a="1"/>
  <c r="Q238" i="18" s="1"/>
  <c r="R238" i="18" s="1"/>
  <c r="Q239" i="18" a="1"/>
  <c r="Q239" i="18"/>
  <c r="Q240" i="18" a="1"/>
  <c r="Q240" i="18"/>
  <c r="R240" i="18" s="1"/>
  <c r="Q241" i="18" a="1"/>
  <c r="Q241" i="18"/>
  <c r="R241" i="18" s="1"/>
  <c r="Q242" i="18" a="1"/>
  <c r="Q242" i="18"/>
  <c r="Q243" i="18" a="1"/>
  <c r="Q243" i="18"/>
  <c r="R243" i="18" s="1"/>
  <c r="Q244" i="18" a="1"/>
  <c r="Q244" i="18"/>
  <c r="R244" i="18" s="1"/>
  <c r="U244" i="18" s="1"/>
  <c r="Q245" i="18" a="1"/>
  <c r="Q245" i="18"/>
  <c r="R245" i="18" s="1"/>
  <c r="Q246" i="18" a="1"/>
  <c r="Q246" i="18" s="1"/>
  <c r="Q247" i="18" a="1"/>
  <c r="Q247" i="18" s="1"/>
  <c r="R247" i="18" s="1"/>
  <c r="Q248" i="18" a="1"/>
  <c r="Q248" i="18" s="1"/>
  <c r="R248" i="18" s="1"/>
  <c r="U248" i="18" s="1"/>
  <c r="Q249" i="18" a="1"/>
  <c r="Q249" i="18" s="1"/>
  <c r="R249" i="18" s="1"/>
  <c r="Q250" i="18" a="1"/>
  <c r="Q250" i="18" s="1"/>
  <c r="Q251" i="18" a="1"/>
  <c r="Q251" i="18" s="1"/>
  <c r="R251" i="18" s="1"/>
  <c r="Q252" i="18" a="1"/>
  <c r="Q252" i="18" s="1"/>
  <c r="R252" i="18" s="1"/>
  <c r="Q253" i="18" a="1"/>
  <c r="Q253" i="18" s="1"/>
  <c r="R253" i="18" s="1"/>
  <c r="Q254" i="18" a="1"/>
  <c r="Q254" i="18" s="1"/>
  <c r="R254" i="18" s="1"/>
  <c r="Q255" i="18" a="1"/>
  <c r="Q255" i="18" s="1"/>
  <c r="R255" i="18" s="1"/>
  <c r="Q256" i="18" a="1"/>
  <c r="Q256" i="18" s="1"/>
  <c r="R256" i="18" s="1"/>
  <c r="Q257" i="18" a="1"/>
  <c r="Q257" i="18" s="1"/>
  <c r="R257" i="18" s="1"/>
  <c r="Q258" i="18" a="1"/>
  <c r="Q258" i="18" s="1"/>
  <c r="Q259" i="18" a="1"/>
  <c r="Q259" i="18" s="1"/>
  <c r="R259" i="18" s="1"/>
  <c r="Q260" i="18" a="1"/>
  <c r="Q260" i="18" s="1"/>
  <c r="R260" i="18" s="1"/>
  <c r="Q261" i="18" a="1"/>
  <c r="Q261" i="18" s="1"/>
  <c r="R261" i="18" s="1"/>
  <c r="Q262" i="18" a="1"/>
  <c r="Q262" i="18" s="1"/>
  <c r="R262" i="18" s="1"/>
  <c r="U262" i="18" s="1"/>
  <c r="Q263" i="18" a="1"/>
  <c r="Q263" i="18"/>
  <c r="Q264" i="18" a="1"/>
  <c r="Q264" i="18"/>
  <c r="R264" i="18" s="1"/>
  <c r="Q265" i="18" a="1"/>
  <c r="Q265" i="18"/>
  <c r="R265" i="18" s="1"/>
  <c r="Q266" i="18" a="1"/>
  <c r="Q266" i="18"/>
  <c r="Q267" i="18" a="1"/>
  <c r="Q267" i="18"/>
  <c r="R267" i="18" s="1"/>
  <c r="U267" i="18" s="1"/>
  <c r="Q268" i="18" a="1"/>
  <c r="Q268" i="18"/>
  <c r="R268" i="18" s="1"/>
  <c r="Q269" i="18" a="1"/>
  <c r="Q269" i="18" s="1"/>
  <c r="R269" i="18" s="1"/>
  <c r="Q270" i="18" a="1"/>
  <c r="Q270" i="18" s="1"/>
  <c r="R270" i="18" s="1"/>
  <c r="Q271" i="18" a="1"/>
  <c r="Q271" i="18"/>
  <c r="Q272" i="18" a="1"/>
  <c r="Q272" i="18"/>
  <c r="R272" i="18" s="1"/>
  <c r="Q273" i="18" a="1"/>
  <c r="Q273" i="18"/>
  <c r="R273" i="18" s="1"/>
  <c r="Q274" i="18" a="1"/>
  <c r="Q274" i="18"/>
  <c r="Q275" i="18" a="1"/>
  <c r="Q275" i="18"/>
  <c r="R275" i="18" s="1"/>
  <c r="Q276" i="18" a="1"/>
  <c r="Q276" i="18"/>
  <c r="R276" i="18" s="1"/>
  <c r="Q277" i="18" a="1"/>
  <c r="Q277" i="18"/>
  <c r="Q278" i="18" a="1"/>
  <c r="Q278" i="18" s="1"/>
  <c r="R278" i="18" s="1"/>
  <c r="Q279" i="18" a="1"/>
  <c r="Q279" i="18" s="1"/>
  <c r="R279" i="18" s="1"/>
  <c r="Q280" i="18" a="1"/>
  <c r="Q280" i="18" s="1"/>
  <c r="R280" i="18" s="1"/>
  <c r="U280" i="18" s="1"/>
  <c r="Q281" i="18" a="1"/>
  <c r="Q281" i="18" s="1"/>
  <c r="R281" i="18" s="1"/>
  <c r="Q282" i="18" a="1"/>
  <c r="Q282" i="18" s="1"/>
  <c r="Q283" i="18" a="1"/>
  <c r="Q283" i="18" s="1"/>
  <c r="R283" i="18" s="1"/>
  <c r="Q284" i="18" a="1"/>
  <c r="Q284" i="18" s="1"/>
  <c r="R284" i="18" s="1"/>
  <c r="Q285" i="18" a="1"/>
  <c r="Q285" i="18" s="1"/>
  <c r="R285" i="18" s="1"/>
  <c r="Q286" i="18" a="1"/>
  <c r="Q286" i="18" s="1"/>
  <c r="R286" i="18" s="1"/>
  <c r="Q287" i="18" a="1"/>
  <c r="Q287" i="18" s="1"/>
  <c r="R287" i="18" s="1"/>
  <c r="Q288" i="18" a="1"/>
  <c r="Q288" i="18" s="1"/>
  <c r="R288" i="18" s="1"/>
  <c r="Q289" i="18" a="1"/>
  <c r="Q289" i="18" s="1"/>
  <c r="R289" i="18" s="1"/>
  <c r="Q290" i="18" a="1"/>
  <c r="Q290" i="18" s="1"/>
  <c r="Q291" i="18" a="1"/>
  <c r="Q291" i="18" s="1"/>
  <c r="R291" i="18" s="1"/>
  <c r="Q292" i="18" a="1"/>
  <c r="Q292" i="18" s="1"/>
  <c r="R292" i="18" s="1"/>
  <c r="Q293" i="18" a="1"/>
  <c r="Q293" i="18" s="1"/>
  <c r="R293" i="18" s="1"/>
  <c r="Q294" i="18" a="1"/>
  <c r="Q294" i="18" s="1"/>
  <c r="R294" i="18" s="1"/>
  <c r="Q295" i="18" a="1"/>
  <c r="Q295" i="18"/>
  <c r="Q296" i="18" a="1"/>
  <c r="Q296" i="18"/>
  <c r="R296" i="18" s="1"/>
  <c r="Q297" i="18" a="1"/>
  <c r="Q297" i="18"/>
  <c r="R297" i="18" s="1"/>
  <c r="Q298" i="18" a="1"/>
  <c r="Q298" i="18"/>
  <c r="Q299" i="18" a="1"/>
  <c r="Q299" i="18"/>
  <c r="Q300" i="18" a="1"/>
  <c r="Q300" i="18"/>
  <c r="R300" i="18" s="1"/>
  <c r="Q301" i="18" a="1"/>
  <c r="Q301" i="18" s="1"/>
  <c r="R301" i="18" s="1"/>
  <c r="Q302" i="18" a="1"/>
  <c r="Q302" i="18" s="1"/>
  <c r="R302" i="18" s="1"/>
  <c r="Q303" i="18" a="1"/>
  <c r="Q303" i="18"/>
  <c r="R303" i="18" s="1"/>
  <c r="U303" i="18" s="1"/>
  <c r="Q304" i="18" a="1"/>
  <c r="Q304" i="18"/>
  <c r="R304" i="18" s="1"/>
  <c r="Q305" i="18" a="1"/>
  <c r="Q305" i="18"/>
  <c r="R305" i="18" s="1"/>
  <c r="Q306" i="18" a="1"/>
  <c r="Q306" i="18"/>
  <c r="Q307" i="18" a="1"/>
  <c r="Q307" i="18"/>
  <c r="R307" i="18" s="1"/>
  <c r="Q308" i="18" a="1"/>
  <c r="Q308" i="18"/>
  <c r="R308" i="18" s="1"/>
  <c r="Q309" i="18" a="1"/>
  <c r="Q309" i="18"/>
  <c r="R309" i="18" s="1"/>
  <c r="Q310" i="18" a="1"/>
  <c r="Q310" i="18" s="1"/>
  <c r="Q311" i="18" a="1"/>
  <c r="Q311" i="18" s="1"/>
  <c r="R311" i="18" s="1"/>
  <c r="Q312" i="18" a="1"/>
  <c r="Q312" i="18" s="1"/>
  <c r="R312" i="18" s="1"/>
  <c r="Q313" i="18" a="1"/>
  <c r="Q313" i="18" s="1"/>
  <c r="R313" i="18" s="1"/>
  <c r="Q314" i="18" a="1"/>
  <c r="Q314" i="18" s="1"/>
  <c r="Q315" i="18" a="1"/>
  <c r="Q315" i="18" s="1"/>
  <c r="R315" i="18" s="1"/>
  <c r="Q316" i="18" a="1"/>
  <c r="Q316" i="18" s="1"/>
  <c r="R316" i="18" s="1"/>
  <c r="Q317" i="18" a="1"/>
  <c r="Q317" i="18" s="1"/>
  <c r="R317" i="18" s="1"/>
  <c r="Q318" i="18" a="1"/>
  <c r="Q318" i="18" s="1"/>
  <c r="R318" i="18" s="1"/>
  <c r="Q319" i="18" a="1"/>
  <c r="Q319" i="18" s="1"/>
  <c r="R319" i="18" s="1"/>
  <c r="Q320" i="18" a="1"/>
  <c r="Q320" i="18" s="1"/>
  <c r="R320" i="18" s="1"/>
  <c r="Q321" i="18" a="1"/>
  <c r="Q321" i="18" s="1"/>
  <c r="R321" i="18" s="1"/>
  <c r="U321" i="18" s="1"/>
  <c r="Q322" i="18" a="1"/>
  <c r="Q322" i="18" s="1"/>
  <c r="Q323" i="18" a="1"/>
  <c r="Q323" i="18" s="1"/>
  <c r="R323" i="18" s="1"/>
  <c r="Q324" i="18" a="1"/>
  <c r="Q324" i="18" s="1"/>
  <c r="R324" i="18" s="1"/>
  <c r="Q325" i="18" a="1"/>
  <c r="Q325" i="18" s="1"/>
  <c r="R325" i="18" s="1"/>
  <c r="Q326" i="18" a="1"/>
  <c r="Q326" i="18" s="1"/>
  <c r="Q327" i="18" a="1"/>
  <c r="Q327" i="18"/>
  <c r="R327" i="18" s="1"/>
  <c r="Q328" i="18" a="1"/>
  <c r="Q328" i="18"/>
  <c r="R328" i="18" s="1"/>
  <c r="Q329" i="18" a="1"/>
  <c r="Q329" i="18"/>
  <c r="R329" i="18" s="1"/>
  <c r="Q330" i="18" a="1"/>
  <c r="Q330" i="18"/>
  <c r="Q331" i="18" a="1"/>
  <c r="Q331" i="18"/>
  <c r="Q332" i="18" a="1"/>
  <c r="Q332" i="18"/>
  <c r="R332" i="18" s="1"/>
  <c r="Q333" i="18" a="1"/>
  <c r="Q333" i="18"/>
  <c r="R333" i="18" s="1"/>
  <c r="Q334" i="18" a="1"/>
  <c r="Q334" i="18" s="1"/>
  <c r="R334" i="18" s="1"/>
  <c r="Q335" i="18" a="1"/>
  <c r="Q335" i="18" s="1"/>
  <c r="R335" i="18" s="1"/>
  <c r="U335" i="18" s="1"/>
  <c r="Q336" i="18" a="1"/>
  <c r="Q336" i="18" s="1"/>
  <c r="R336" i="18" s="1"/>
  <c r="Q337" i="18" a="1"/>
  <c r="Q337" i="18" s="1"/>
  <c r="R337" i="18" s="1"/>
  <c r="Q338" i="18" a="1"/>
  <c r="Q338" i="18" s="1"/>
  <c r="Q339" i="18" a="1"/>
  <c r="Q339" i="18" s="1"/>
  <c r="R339" i="18" s="1"/>
  <c r="Q340" i="18" a="1"/>
  <c r="Q340" i="18" s="1"/>
  <c r="R340" i="18" s="1"/>
  <c r="U340" i="18" s="1"/>
  <c r="Q341" i="18" a="1"/>
  <c r="Q341" i="18" s="1"/>
  <c r="R341" i="18" s="1"/>
  <c r="Q342" i="18" a="1"/>
  <c r="Q342" i="18" s="1"/>
  <c r="R342" i="18" s="1"/>
  <c r="Q343" i="18" a="1"/>
  <c r="Q343" i="18" s="1"/>
  <c r="R343" i="18" s="1"/>
  <c r="Q344" i="18" a="1"/>
  <c r="Q344" i="18" s="1"/>
  <c r="R344" i="18" s="1"/>
  <c r="Q345" i="18" a="1"/>
  <c r="Q345" i="18" s="1"/>
  <c r="R345" i="18" s="1"/>
  <c r="Q346" i="18" a="1"/>
  <c r="Q346" i="18" s="1"/>
  <c r="Q347" i="18" a="1"/>
  <c r="Q347" i="18" s="1"/>
  <c r="R347" i="18" s="1"/>
  <c r="Q348" i="18" a="1"/>
  <c r="Q348" i="18" s="1"/>
  <c r="R348" i="18" s="1"/>
  <c r="Q349" i="18" a="1"/>
  <c r="Q349" i="18" s="1"/>
  <c r="R349" i="18" s="1"/>
  <c r="Q350" i="18" a="1"/>
  <c r="Q350" i="18" s="1"/>
  <c r="R350" i="18" s="1"/>
  <c r="Q351" i="18" a="1"/>
  <c r="Q351" i="18"/>
  <c r="R351" i="18" s="1"/>
  <c r="Q352" i="18" a="1"/>
  <c r="Q352" i="18"/>
  <c r="R352" i="18" s="1"/>
  <c r="Q353" i="18" a="1"/>
  <c r="Q353" i="18"/>
  <c r="R353" i="18" s="1"/>
  <c r="U353" i="18" s="1"/>
  <c r="Q354" i="18" a="1"/>
  <c r="Q354" i="18"/>
  <c r="Q355" i="18" a="1"/>
  <c r="Q355" i="18"/>
  <c r="R355" i="18" s="1"/>
  <c r="Q356" i="18" a="1"/>
  <c r="Q356" i="18"/>
  <c r="R356" i="18" s="1"/>
  <c r="Q357" i="18" a="1"/>
  <c r="Q357" i="18" s="1"/>
  <c r="R357" i="18" s="1"/>
  <c r="Q358" i="18" a="1"/>
  <c r="Q358" i="18" s="1"/>
  <c r="R358" i="18" s="1"/>
  <c r="U358" i="18" s="1"/>
  <c r="Q359" i="18" a="1"/>
  <c r="Q359" i="18"/>
  <c r="Q360" i="18" a="1"/>
  <c r="Q360" i="18"/>
  <c r="R360" i="18" s="1"/>
  <c r="Q361" i="18" a="1"/>
  <c r="Q361" i="18"/>
  <c r="R361" i="18" s="1"/>
  <c r="Q362" i="18" a="1"/>
  <c r="Q362" i="18"/>
  <c r="Q363" i="18" a="1"/>
  <c r="Q363" i="18"/>
  <c r="R363" i="18" s="1"/>
  <c r="Q364" i="18" a="1"/>
  <c r="Q364" i="18"/>
  <c r="R364" i="18" s="1"/>
  <c r="Q365" i="18" a="1"/>
  <c r="Q365" i="18" s="1"/>
  <c r="R365" i="18" s="1"/>
  <c r="Q366" i="18" a="1"/>
  <c r="Q366" i="18" s="1"/>
  <c r="R366" i="18" s="1"/>
  <c r="Q367" i="18" a="1"/>
  <c r="Q367" i="18"/>
  <c r="Q368" i="18" a="1"/>
  <c r="Q368" i="18"/>
  <c r="R368" i="18" s="1"/>
  <c r="Q369" i="18" a="1"/>
  <c r="Q369" i="18"/>
  <c r="R369" i="18" s="1"/>
  <c r="Q370" i="18" a="1"/>
  <c r="Q370" i="18"/>
  <c r="Q371" i="18" a="1"/>
  <c r="Q371" i="18"/>
  <c r="R371" i="18" s="1"/>
  <c r="Q372" i="18" a="1"/>
  <c r="Q372" i="18"/>
  <c r="Q373" i="18" a="1"/>
  <c r="Q373" i="18"/>
  <c r="R373" i="18" s="1"/>
  <c r="Q374" i="18" a="1"/>
  <c r="Q374" i="18" s="1"/>
  <c r="Q375" i="18" a="1"/>
  <c r="Q375" i="18" s="1"/>
  <c r="R375" i="18" s="1"/>
  <c r="Q376" i="18" a="1"/>
  <c r="Q376" i="18" s="1"/>
  <c r="R376" i="18" s="1"/>
  <c r="U376" i="18" s="1"/>
  <c r="Q377" i="18" a="1"/>
  <c r="Q377" i="18" s="1"/>
  <c r="R377" i="18" s="1"/>
  <c r="Q378" i="18" a="1"/>
  <c r="Q378" i="18" s="1"/>
  <c r="Q379" i="18" a="1"/>
  <c r="Q379" i="18" s="1"/>
  <c r="R379" i="18" s="1"/>
  <c r="Q380" i="18" a="1"/>
  <c r="Q380" i="18" s="1"/>
  <c r="R380" i="18" s="1"/>
  <c r="Q381" i="18" a="1"/>
  <c r="Q381" i="18" s="1"/>
  <c r="R381" i="18" s="1"/>
  <c r="Q382" i="18" a="1"/>
  <c r="Q382" i="18" s="1"/>
  <c r="R382" i="18" s="1"/>
  <c r="Q383" i="18" a="1"/>
  <c r="Q383" i="18" s="1"/>
  <c r="R383" i="18" s="1"/>
  <c r="Q384" i="18" a="1"/>
  <c r="Q384" i="18" s="1"/>
  <c r="R384" i="18" s="1"/>
  <c r="Q385" i="18" a="1"/>
  <c r="Q385" i="18" s="1"/>
  <c r="R385" i="18" s="1"/>
  <c r="Q386" i="18" a="1"/>
  <c r="Q386" i="18" s="1"/>
  <c r="Q387" i="18" a="1"/>
  <c r="Q387" i="18" s="1"/>
  <c r="R387" i="18" s="1"/>
  <c r="Q388" i="18" a="1"/>
  <c r="Q388" i="18" s="1"/>
  <c r="R388" i="18" s="1"/>
  <c r="Q389" i="18" a="1"/>
  <c r="Q389" i="18" s="1"/>
  <c r="R389" i="18" s="1"/>
  <c r="Q390" i="18" a="1"/>
  <c r="Q390" i="18" s="1"/>
  <c r="R390" i="18" s="1"/>
  <c r="U390" i="18" s="1"/>
  <c r="Q391" i="18" a="1"/>
  <c r="Q391" i="18"/>
  <c r="R391" i="18" s="1"/>
  <c r="Q392" i="18" a="1"/>
  <c r="Q392" i="18"/>
  <c r="R392" i="18" s="1"/>
  <c r="Q393" i="18" a="1"/>
  <c r="Q393" i="18"/>
  <c r="R393" i="18" s="1"/>
  <c r="Q394" i="18" a="1"/>
  <c r="Q394" i="18"/>
  <c r="Q395" i="18" a="1"/>
  <c r="Q395" i="18"/>
  <c r="R395" i="18" s="1"/>
  <c r="U395" i="18" s="1"/>
  <c r="Q396" i="18" a="1"/>
  <c r="Q396" i="18"/>
  <c r="R396" i="18" s="1"/>
  <c r="Q397" i="18" a="1"/>
  <c r="Q397" i="18" s="1"/>
  <c r="R397" i="18" s="1"/>
  <c r="Q398" i="18" a="1"/>
  <c r="Q398" i="18" s="1"/>
  <c r="R398" i="18" s="1"/>
  <c r="Q399" i="18" a="1"/>
  <c r="Q399" i="18"/>
  <c r="R399" i="18" s="1"/>
  <c r="Q400" i="18" a="1"/>
  <c r="Q400" i="18"/>
  <c r="R400" i="18" s="1"/>
  <c r="Q401" i="18" a="1"/>
  <c r="Q401" i="18"/>
  <c r="R401" i="18" s="1"/>
  <c r="Q402" i="18" a="1"/>
  <c r="Q402" i="18"/>
  <c r="Q403" i="18" a="1"/>
  <c r="Q403" i="18"/>
  <c r="R403" i="18" s="1"/>
  <c r="Q404" i="18" a="1"/>
  <c r="Q404" i="18"/>
  <c r="Q405" i="18" a="1"/>
  <c r="Q405" i="18"/>
  <c r="R405" i="18" s="1"/>
  <c r="Q406" i="18" a="1"/>
  <c r="Q406" i="18" s="1"/>
  <c r="Q407" i="18" a="1"/>
  <c r="Q407" i="18" s="1"/>
  <c r="Q408" i="18" a="1"/>
  <c r="Q408" i="18" s="1"/>
  <c r="R408" i="18" s="1"/>
  <c r="Q409" i="18" a="1"/>
  <c r="Q409" i="18" s="1"/>
  <c r="R409" i="18" s="1"/>
  <c r="Q410" i="18" a="1"/>
  <c r="Q410" i="18" s="1"/>
  <c r="Q411" i="18" a="1"/>
  <c r="Q411" i="18" s="1"/>
  <c r="R411" i="18" s="1"/>
  <c r="Q412" i="18" a="1"/>
  <c r="Q412" i="18" s="1"/>
  <c r="R412" i="18" s="1"/>
  <c r="Q413" i="18" a="1"/>
  <c r="Q413" i="18" s="1"/>
  <c r="R413" i="18" s="1"/>
  <c r="Q414" i="18" a="1"/>
  <c r="Q414" i="18" s="1"/>
  <c r="Q415" i="18" a="1"/>
  <c r="Q415" i="18" s="1"/>
  <c r="R415" i="18" s="1"/>
  <c r="Q416" i="18" a="1"/>
  <c r="Q416" i="18" s="1"/>
  <c r="R416" i="18" s="1"/>
  <c r="Q417" i="18" a="1"/>
  <c r="Q417" i="18" s="1"/>
  <c r="R417" i="18" s="1"/>
  <c r="Q418" i="18" a="1"/>
  <c r="Q418" i="18" s="1"/>
  <c r="Q419" i="18" a="1"/>
  <c r="Q419" i="18" s="1"/>
  <c r="R419" i="18" s="1"/>
  <c r="Q420" i="18" a="1"/>
  <c r="Q420" i="18" s="1"/>
  <c r="R420" i="18" s="1"/>
  <c r="Q421" i="18" a="1"/>
  <c r="Q421" i="18" s="1"/>
  <c r="R421" i="18" s="1"/>
  <c r="Q422" i="18" a="1"/>
  <c r="Q422" i="18" s="1"/>
  <c r="Q423" i="18" a="1"/>
  <c r="Q423" i="18"/>
  <c r="Q424" i="18" a="1"/>
  <c r="Q424" i="18"/>
  <c r="R424" i="18" s="1"/>
  <c r="Q425" i="18" a="1"/>
  <c r="Q425" i="18"/>
  <c r="Q426" i="18" a="1"/>
  <c r="Q426" i="18"/>
  <c r="Q427" i="18" a="1"/>
  <c r="Q427" i="18"/>
  <c r="R427" i="18" s="1"/>
  <c r="Q428" i="18" a="1"/>
  <c r="Q428" i="18"/>
  <c r="Q429" i="18" a="1"/>
  <c r="Q429" i="18" s="1"/>
  <c r="Q430" i="18" a="1"/>
  <c r="Q430" i="18" s="1"/>
  <c r="Q431" i="18" a="1"/>
  <c r="Q431" i="18"/>
  <c r="R431" i="18" s="1"/>
  <c r="U431" i="18" s="1"/>
  <c r="Q432" i="18" a="1"/>
  <c r="Q432" i="18"/>
  <c r="Q433" i="18" a="1"/>
  <c r="Q433" i="18"/>
  <c r="Q434" i="18" a="1"/>
  <c r="Q434" i="18"/>
  <c r="Q435" i="18" a="1"/>
  <c r="Q435" i="18"/>
  <c r="R435" i="18" s="1"/>
  <c r="Q436" i="18" a="1"/>
  <c r="Q436" i="18"/>
  <c r="Q437" i="18" a="1"/>
  <c r="Q437" i="18"/>
  <c r="R437" i="18" s="1"/>
  <c r="Q438" i="18" a="1"/>
  <c r="Q438" i="18" s="1"/>
  <c r="Q439" i="18" a="1"/>
  <c r="Q439" i="18" s="1"/>
  <c r="R439" i="18" s="1"/>
  <c r="Q440" i="18" a="1"/>
  <c r="Q440" i="18" s="1"/>
  <c r="R440" i="18" s="1"/>
  <c r="Q441" i="18" a="1"/>
  <c r="Q441" i="18" s="1"/>
  <c r="R441" i="18" s="1"/>
  <c r="Q442" i="18" a="1"/>
  <c r="Q442" i="18" s="1"/>
  <c r="Q443" i="18" a="1"/>
  <c r="Q443" i="18" s="1"/>
  <c r="R443" i="18" s="1"/>
  <c r="Q444" i="18" a="1"/>
  <c r="Q444" i="18" s="1"/>
  <c r="R444" i="18" s="1"/>
  <c r="Q445" i="18" a="1"/>
  <c r="Q445" i="18" s="1"/>
  <c r="R445" i="18" s="1"/>
  <c r="Q446" i="18" a="1"/>
  <c r="Q446" i="18" s="1"/>
  <c r="Q447" i="18" a="1"/>
  <c r="Q447" i="18" s="1"/>
  <c r="R447" i="18" s="1"/>
  <c r="Q448" i="18" a="1"/>
  <c r="Q448" i="18" s="1"/>
  <c r="R448" i="18" s="1"/>
  <c r="Q449" i="18" a="1"/>
  <c r="Q449" i="18" s="1"/>
  <c r="R449" i="18" s="1"/>
  <c r="U449" i="18" s="1"/>
  <c r="Q450" i="18" a="1"/>
  <c r="Q450" i="18" s="1"/>
  <c r="Q451" i="18" a="1"/>
  <c r="Q451" i="18" s="1"/>
  <c r="R451" i="18" s="1"/>
  <c r="R4" i="18"/>
  <c r="R21" i="18"/>
  <c r="R23" i="18"/>
  <c r="R29" i="18"/>
  <c r="R37" i="18"/>
  <c r="R39" i="18"/>
  <c r="R43" i="18"/>
  <c r="R47" i="18"/>
  <c r="R52" i="18"/>
  <c r="R55" i="18"/>
  <c r="R59" i="18"/>
  <c r="R68" i="18"/>
  <c r="R70" i="18"/>
  <c r="R75" i="18"/>
  <c r="R83" i="18"/>
  <c r="R95" i="18"/>
  <c r="R101" i="18"/>
  <c r="R105" i="18"/>
  <c r="R109" i="18"/>
  <c r="R115" i="18"/>
  <c r="R117" i="18"/>
  <c r="R118" i="18"/>
  <c r="R134" i="18"/>
  <c r="R139" i="18"/>
  <c r="R169" i="18"/>
  <c r="R175" i="18"/>
  <c r="R180" i="18"/>
  <c r="R182" i="18"/>
  <c r="R198" i="18"/>
  <c r="R203" i="18"/>
  <c r="R227" i="18"/>
  <c r="R233" i="18"/>
  <c r="R239" i="18"/>
  <c r="R246" i="18"/>
  <c r="R263" i="18"/>
  <c r="R271" i="18"/>
  <c r="R277" i="18"/>
  <c r="R295" i="18"/>
  <c r="R299" i="18"/>
  <c r="R310" i="18"/>
  <c r="R326" i="18"/>
  <c r="R331" i="18"/>
  <c r="R367" i="18"/>
  <c r="R372" i="18"/>
  <c r="R404" i="18"/>
  <c r="R422" i="18"/>
  <c r="R425" i="18"/>
  <c r="R436" i="18"/>
  <c r="S2" i="18" a="1"/>
  <c r="S2" i="18" s="1"/>
  <c r="S3" i="18" a="1"/>
  <c r="S3" i="18" s="1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/>
  <c r="S15" i="18" a="1"/>
  <c r="S15" i="18"/>
  <c r="S16" i="18" a="1"/>
  <c r="S16" i="18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/>
  <c r="S25" i="18" a="1"/>
  <c r="S25" i="18"/>
  <c r="S26" i="18" a="1"/>
  <c r="S26" i="18" s="1"/>
  <c r="S27" i="18" a="1"/>
  <c r="S27" i="18" s="1"/>
  <c r="S28" i="18" a="1"/>
  <c r="S28" i="18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/>
  <c r="S41" i="18" a="1"/>
  <c r="S41" i="18"/>
  <c r="S42" i="18" a="1"/>
  <c r="S42" i="18"/>
  <c r="S43" i="18" a="1"/>
  <c r="S43" i="18" s="1"/>
  <c r="S44" i="18" a="1"/>
  <c r="S44" i="18" s="1"/>
  <c r="S45" i="18" a="1"/>
  <c r="S45" i="18" s="1"/>
  <c r="S46" i="18" a="1"/>
  <c r="S46" i="18"/>
  <c r="S47" i="18" a="1"/>
  <c r="S47" i="18"/>
  <c r="S48" i="18" a="1"/>
  <c r="S48" i="18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/>
  <c r="S63" i="18" a="1"/>
  <c r="S63" i="18"/>
  <c r="S64" i="18" a="1"/>
  <c r="S64" i="18"/>
  <c r="S65" i="18" a="1"/>
  <c r="S65" i="18"/>
  <c r="S66" i="18" a="1"/>
  <c r="S66" i="18" s="1"/>
  <c r="S67" i="18" a="1"/>
  <c r="S67" i="18" s="1"/>
  <c r="S68" i="18" a="1"/>
  <c r="S68" i="18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/>
  <c r="S79" i="18" a="1"/>
  <c r="S79" i="18"/>
  <c r="S80" i="18" a="1"/>
  <c r="S80" i="18"/>
  <c r="S81" i="18" a="1"/>
  <c r="S81" i="18"/>
  <c r="S82" i="18" a="1"/>
  <c r="S82" i="18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/>
  <c r="S119" i="18" a="1"/>
  <c r="S119" i="18"/>
  <c r="S120" i="18" a="1"/>
  <c r="S120" i="18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/>
  <c r="S129" i="18" a="1"/>
  <c r="S129" i="18"/>
  <c r="S130" i="18" a="1"/>
  <c r="S130" i="18"/>
  <c r="S131" i="18" a="1"/>
  <c r="S131" i="18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/>
  <c r="S147" i="18" a="1"/>
  <c r="S147" i="18"/>
  <c r="S148" i="18" a="1"/>
  <c r="S148" i="18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/>
  <c r="S160" i="18" a="1"/>
  <c r="S160" i="18"/>
  <c r="S161" i="18" a="1"/>
  <c r="S161" i="18" s="1"/>
  <c r="S162" i="18" a="1"/>
  <c r="S162" i="18" s="1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/>
  <c r="S187" i="18" a="1"/>
  <c r="S187" i="18" s="1"/>
  <c r="S188" i="18" a="1"/>
  <c r="S188" i="18" s="1"/>
  <c r="S189" i="18" a="1"/>
  <c r="S189" i="18" s="1"/>
  <c r="S190" i="18" a="1"/>
  <c r="S190" i="18"/>
  <c r="S191" i="18" a="1"/>
  <c r="S191" i="18"/>
  <c r="S192" i="18" a="1"/>
  <c r="S192" i="18"/>
  <c r="S193" i="18" a="1"/>
  <c r="S193" i="18"/>
  <c r="S194" i="18" a="1"/>
  <c r="S194" i="18" s="1"/>
  <c r="S195" i="18" a="1"/>
  <c r="S195" i="18" s="1"/>
  <c r="S196" i="18" a="1"/>
  <c r="S196" i="18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/>
  <c r="S207" i="18" a="1"/>
  <c r="S207" i="18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/>
  <c r="S217" i="18" a="1"/>
  <c r="S217" i="18" s="1"/>
  <c r="S218" i="18" a="1"/>
  <c r="S218" i="18" s="1"/>
  <c r="S219" i="18" a="1"/>
  <c r="S219" i="18" s="1"/>
  <c r="S220" i="18" a="1"/>
  <c r="S220" i="18"/>
  <c r="S221" i="18" a="1"/>
  <c r="S221" i="18" s="1"/>
  <c r="S222" i="18" a="1"/>
  <c r="S222" i="18"/>
  <c r="S223" i="18" a="1"/>
  <c r="S223" i="18"/>
  <c r="S224" i="18" a="1"/>
  <c r="S224" i="18"/>
  <c r="S225" i="18" a="1"/>
  <c r="S225" i="18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/>
  <c r="S264" i="18" a="1"/>
  <c r="S264" i="18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/>
  <c r="S281" i="18" a="1"/>
  <c r="S281" i="18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/>
  <c r="S315" i="18" a="1"/>
  <c r="S315" i="18"/>
  <c r="S316" i="18" a="1"/>
  <c r="S316" i="18" s="1"/>
  <c r="S317" i="18" a="1"/>
  <c r="S317" i="18" s="1"/>
  <c r="S318" i="18" a="1"/>
  <c r="S318" i="18"/>
  <c r="S319" i="18" a="1"/>
  <c r="S319" i="18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/>
  <c r="S335" i="18" a="1"/>
  <c r="S335" i="18" s="1"/>
  <c r="S336" i="18" a="1"/>
  <c r="S336" i="18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/>
  <c r="S368" i="18" a="1"/>
  <c r="S368" i="18"/>
  <c r="S369" i="18" a="1"/>
  <c r="S369" i="18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/>
  <c r="S375" i="18" a="1"/>
  <c r="S375" i="18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/>
  <c r="S386" i="18" a="1"/>
  <c r="S386" i="18"/>
  <c r="S387" i="18" a="1"/>
  <c r="S387" i="18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/>
  <c r="S399" i="18" a="1"/>
  <c r="S399" i="18" s="1"/>
  <c r="S400" i="18" a="1"/>
  <c r="S400" i="18" s="1"/>
  <c r="S401" i="18" a="1"/>
  <c r="S401" i="18"/>
  <c r="S402" i="18" a="1"/>
  <c r="S402" i="18"/>
  <c r="S403" i="18" a="1"/>
  <c r="S403" i="18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/>
  <c r="S416" i="18" a="1"/>
  <c r="S416" i="18" s="1"/>
  <c r="S417" i="18" a="1"/>
  <c r="S417" i="18" s="1"/>
  <c r="S418" i="18" a="1"/>
  <c r="S418" i="18" s="1"/>
  <c r="S419" i="18" a="1"/>
  <c r="S419" i="18"/>
  <c r="S420" i="18" a="1"/>
  <c r="S420" i="18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/>
  <c r="S426" i="18" a="1"/>
  <c r="S426" i="18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/>
  <c r="S433" i="18" a="1"/>
  <c r="S433" i="18" s="1"/>
  <c r="S434" i="18" a="1"/>
  <c r="S434" i="18" s="1"/>
  <c r="S435" i="18" a="1"/>
  <c r="S435" i="18"/>
  <c r="S436" i="18" a="1"/>
  <c r="S436" i="18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/>
  <c r="S450" i="18" a="1"/>
  <c r="S450" i="18" s="1"/>
  <c r="S451" i="18" a="1"/>
  <c r="S4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/>
  <c r="T10" i="18" a="1"/>
  <c r="T10" i="18"/>
  <c r="T11" i="18" a="1"/>
  <c r="T11" i="18" s="1"/>
  <c r="T12" i="18" a="1"/>
  <c r="T12" i="18"/>
  <c r="T13" i="18" a="1"/>
  <c r="T13" i="18" s="1"/>
  <c r="T14" i="18" a="1"/>
  <c r="T14" i="18" s="1"/>
  <c r="T15" i="18" a="1"/>
  <c r="T15" i="18" s="1"/>
  <c r="T16" i="18" a="1"/>
  <c r="T16" i="18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/>
  <c r="T46" i="18" a="1"/>
  <c r="T46" i="18" s="1"/>
  <c r="T47" i="18" a="1"/>
  <c r="T47" i="18" s="1"/>
  <c r="T48" i="18" a="1"/>
  <c r="T48" i="18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/>
  <c r="T64" i="18" a="1"/>
  <c r="T64" i="18"/>
  <c r="T65" i="18" a="1"/>
  <c r="T65" i="18"/>
  <c r="T66" i="18" a="1"/>
  <c r="T66" i="18" s="1"/>
  <c r="T67" i="18" a="1"/>
  <c r="T67" i="18" s="1"/>
  <c r="T68" i="18" a="1"/>
  <c r="T68" i="18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/>
  <c r="T77" i="18" a="1"/>
  <c r="T77" i="18" s="1"/>
  <c r="T78" i="18" a="1"/>
  <c r="T78" i="18" s="1"/>
  <c r="T79" i="18" a="1"/>
  <c r="T79" i="18" s="1"/>
  <c r="T80" i="18" a="1"/>
  <c r="T80" i="18" s="1"/>
  <c r="T81" i="18" a="1"/>
  <c r="T81" i="18"/>
  <c r="T82" i="18" a="1"/>
  <c r="T82" i="18" s="1"/>
  <c r="T83" i="18" a="1"/>
  <c r="T83" i="18" s="1"/>
  <c r="T84" i="18" a="1"/>
  <c r="T84" i="18" s="1"/>
  <c r="T85" i="18" a="1"/>
  <c r="T85" i="18" s="1"/>
  <c r="T86" i="18" a="1"/>
  <c r="T86" i="18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/>
  <c r="T113" i="18" a="1"/>
  <c r="T113" i="18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/>
  <c r="T219" i="18" a="1"/>
  <c r="T219" i="18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/>
  <c r="T235" i="18" a="1"/>
  <c r="T235" i="18"/>
  <c r="T236" i="18" a="1"/>
  <c r="T236" i="18"/>
  <c r="T237" i="18" a="1"/>
  <c r="T237" i="18" s="1"/>
  <c r="T238" i="18" a="1"/>
  <c r="T238" i="18"/>
  <c r="T239" i="18" a="1"/>
  <c r="T239" i="18" s="1"/>
  <c r="T240" i="18" a="1"/>
  <c r="T240" i="18" s="1"/>
  <c r="T241" i="18" a="1"/>
  <c r="T241" i="18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/>
  <c r="T252" i="18" a="1"/>
  <c r="T252" i="18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/>
  <c r="T258" i="18" a="1"/>
  <c r="T258" i="18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/>
  <c r="T265" i="18" a="1"/>
  <c r="T265" i="18" s="1"/>
  <c r="T266" i="18" a="1"/>
  <c r="T266" i="18" s="1"/>
  <c r="T267" i="18" a="1"/>
  <c r="T267" i="18" s="1"/>
  <c r="T268" i="18" a="1"/>
  <c r="T268" i="18"/>
  <c r="T269" i="18" a="1"/>
  <c r="T269" i="18"/>
  <c r="T270" i="18" a="1"/>
  <c r="T270" i="18"/>
  <c r="T271" i="18" a="1"/>
  <c r="T271" i="18" s="1"/>
  <c r="T272" i="18" a="1"/>
  <c r="T272" i="18" s="1"/>
  <c r="T273" i="18" a="1"/>
  <c r="T273" i="18" s="1"/>
  <c r="T274" i="18" a="1"/>
  <c r="T274" i="18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/>
  <c r="T297" i="18" a="1"/>
  <c r="T297" i="18" s="1"/>
  <c r="T298" i="18" a="1"/>
  <c r="T298" i="18"/>
  <c r="T299" i="18" a="1"/>
  <c r="T299" i="18" s="1"/>
  <c r="T300" i="18" a="1"/>
  <c r="T300" i="18" s="1"/>
  <c r="T301" i="18" a="1"/>
  <c r="T301" i="18" s="1"/>
  <c r="T302" i="18" a="1"/>
  <c r="T302" i="18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/>
  <c r="T329" i="18" a="1"/>
  <c r="T329" i="18"/>
  <c r="T330" i="18" a="1"/>
  <c r="T330" i="18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/>
  <c r="T364" i="18" a="1"/>
  <c r="T364" i="18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/>
  <c r="T397" i="18" a="1"/>
  <c r="T397" i="18" s="1"/>
  <c r="T398" i="18" a="1"/>
  <c r="T398" i="18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/>
  <c r="T421" i="18" a="1"/>
  <c r="T421" i="18" s="1"/>
  <c r="T422" i="18" a="1"/>
  <c r="T422" i="18" s="1"/>
  <c r="T423" i="18" a="1"/>
  <c r="T423" i="18" s="1"/>
  <c r="T424" i="18" a="1"/>
  <c r="T424" i="18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U3" i="18"/>
  <c r="U4" i="18"/>
  <c r="U5" i="18"/>
  <c r="U6" i="18"/>
  <c r="U7" i="18"/>
  <c r="U9" i="18"/>
  <c r="U11" i="18"/>
  <c r="U12" i="18"/>
  <c r="U13" i="18"/>
  <c r="U15" i="18"/>
  <c r="U16" i="18"/>
  <c r="U19" i="18"/>
  <c r="U20" i="18"/>
  <c r="U21" i="18"/>
  <c r="U23" i="18"/>
  <c r="U24" i="18"/>
  <c r="U25" i="18"/>
  <c r="U27" i="18"/>
  <c r="U28" i="18"/>
  <c r="U29" i="18"/>
  <c r="U31" i="18"/>
  <c r="U32" i="18"/>
  <c r="U33" i="18"/>
  <c r="U35" i="18"/>
  <c r="U36" i="18"/>
  <c r="U37" i="18"/>
  <c r="U38" i="18"/>
  <c r="U39" i="18"/>
  <c r="U40" i="18"/>
  <c r="U43" i="18"/>
  <c r="U44" i="18"/>
  <c r="U45" i="18"/>
  <c r="U47" i="18"/>
  <c r="U48" i="18"/>
  <c r="U49" i="18"/>
  <c r="U51" i="18"/>
  <c r="U52" i="18"/>
  <c r="U53" i="18"/>
  <c r="U54" i="18"/>
  <c r="U55" i="18"/>
  <c r="U56" i="18"/>
  <c r="U57" i="18"/>
  <c r="U59" i="18"/>
  <c r="U60" i="18"/>
  <c r="U61" i="18"/>
  <c r="U63" i="18"/>
  <c r="U64" i="18"/>
  <c r="U65" i="18"/>
  <c r="U67" i="18"/>
  <c r="U68" i="18"/>
  <c r="U69" i="18"/>
  <c r="U70" i="18"/>
  <c r="U71" i="18"/>
  <c r="U72" i="18"/>
  <c r="U73" i="18"/>
  <c r="U75" i="18"/>
  <c r="U76" i="18"/>
  <c r="U77" i="18"/>
  <c r="U79" i="18"/>
  <c r="U80" i="18"/>
  <c r="U81" i="18"/>
  <c r="U83" i="18"/>
  <c r="U84" i="18"/>
  <c r="U85" i="18"/>
  <c r="U87" i="18"/>
  <c r="U88" i="18"/>
  <c r="U89" i="18"/>
  <c r="U91" i="18"/>
  <c r="U92" i="18"/>
  <c r="U93" i="18"/>
  <c r="U95" i="18"/>
  <c r="U97" i="18"/>
  <c r="U99" i="18"/>
  <c r="U100" i="18"/>
  <c r="U101" i="18"/>
  <c r="U102" i="18"/>
  <c r="U103" i="18"/>
  <c r="U104" i="18"/>
  <c r="U105" i="18"/>
  <c r="U107" i="18"/>
  <c r="U108" i="18"/>
  <c r="U109" i="18"/>
  <c r="U111" i="18"/>
  <c r="U112" i="18"/>
  <c r="U113" i="18"/>
  <c r="U115" i="18"/>
  <c r="U117" i="18"/>
  <c r="U118" i="18"/>
  <c r="U119" i="18"/>
  <c r="U121" i="18"/>
  <c r="U123" i="18"/>
  <c r="U124" i="18"/>
  <c r="U125" i="18"/>
  <c r="U126" i="18"/>
  <c r="U127" i="18"/>
  <c r="U128" i="18"/>
  <c r="U129" i="18"/>
  <c r="U131" i="18"/>
  <c r="U132" i="18"/>
  <c r="U133" i="18"/>
  <c r="U134" i="18"/>
  <c r="U135" i="18"/>
  <c r="U136" i="18"/>
  <c r="U137" i="18"/>
  <c r="U139" i="18"/>
  <c r="U140" i="18"/>
  <c r="U141" i="18"/>
  <c r="U142" i="18"/>
  <c r="U143" i="18"/>
  <c r="U144" i="18"/>
  <c r="U145" i="18"/>
  <c r="U147" i="18"/>
  <c r="U148" i="18"/>
  <c r="U149" i="18"/>
  <c r="U150" i="18"/>
  <c r="U151" i="18"/>
  <c r="U153" i="18"/>
  <c r="U155" i="18"/>
  <c r="U156" i="18"/>
  <c r="U157" i="18"/>
  <c r="U158" i="18"/>
  <c r="U159" i="18"/>
  <c r="U160" i="18"/>
  <c r="U161" i="18"/>
  <c r="U163" i="18"/>
  <c r="U164" i="18"/>
  <c r="U165" i="18"/>
  <c r="U166" i="18"/>
  <c r="U167" i="18"/>
  <c r="U168" i="18"/>
  <c r="U169" i="18"/>
  <c r="U172" i="18"/>
  <c r="U173" i="18"/>
  <c r="U174" i="18"/>
  <c r="U175" i="18"/>
  <c r="U176" i="18"/>
  <c r="U177" i="18"/>
  <c r="U179" i="18"/>
  <c r="U180" i="18"/>
  <c r="U181" i="18"/>
  <c r="U182" i="18"/>
  <c r="U183" i="18"/>
  <c r="U184" i="18"/>
  <c r="U185" i="18"/>
  <c r="U187" i="18"/>
  <c r="U188" i="18"/>
  <c r="U189" i="18"/>
  <c r="U190" i="18"/>
  <c r="U191" i="18"/>
  <c r="U192" i="18"/>
  <c r="U195" i="18"/>
  <c r="U196" i="18"/>
  <c r="U197" i="18"/>
  <c r="U198" i="18"/>
  <c r="U199" i="18"/>
  <c r="U200" i="18"/>
  <c r="U201" i="18"/>
  <c r="U203" i="18"/>
  <c r="U204" i="18"/>
  <c r="U205" i="18"/>
  <c r="U206" i="18"/>
  <c r="U208" i="18"/>
  <c r="U209" i="18"/>
  <c r="U211" i="18"/>
  <c r="U213" i="18"/>
  <c r="U214" i="18"/>
  <c r="U215" i="18"/>
  <c r="U216" i="18"/>
  <c r="U217" i="18"/>
  <c r="U219" i="18"/>
  <c r="U220" i="18"/>
  <c r="U221" i="18"/>
  <c r="U222" i="18"/>
  <c r="U223" i="18"/>
  <c r="U224" i="18"/>
  <c r="U227" i="18"/>
  <c r="U228" i="18"/>
  <c r="U229" i="18"/>
  <c r="U231" i="18"/>
  <c r="U232" i="18"/>
  <c r="U233" i="18"/>
  <c r="U235" i="18"/>
  <c r="U236" i="18"/>
  <c r="U237" i="18"/>
  <c r="U238" i="18"/>
  <c r="U239" i="18"/>
  <c r="U240" i="18"/>
  <c r="U241" i="18"/>
  <c r="U243" i="18"/>
  <c r="U245" i="18"/>
  <c r="U246" i="18"/>
  <c r="U247" i="18"/>
  <c r="U249" i="18"/>
  <c r="U251" i="18"/>
  <c r="U252" i="18"/>
  <c r="U253" i="18"/>
  <c r="U254" i="18"/>
  <c r="U255" i="18"/>
  <c r="U256" i="18"/>
  <c r="U257" i="18"/>
  <c r="U259" i="18"/>
  <c r="U260" i="18"/>
  <c r="U261" i="18"/>
  <c r="U263" i="18"/>
  <c r="U264" i="18"/>
  <c r="U265" i="18"/>
  <c r="U268" i="18"/>
  <c r="U269" i="18"/>
  <c r="U270" i="18"/>
  <c r="U271" i="18"/>
  <c r="U272" i="18"/>
  <c r="U273" i="18"/>
  <c r="U275" i="18"/>
  <c r="U276" i="18"/>
  <c r="U277" i="18"/>
  <c r="U278" i="18"/>
  <c r="U279" i="18"/>
  <c r="U281" i="18"/>
  <c r="U283" i="18"/>
  <c r="U284" i="18"/>
  <c r="U285" i="18"/>
  <c r="U286" i="18"/>
  <c r="U287" i="18"/>
  <c r="U288" i="18"/>
  <c r="U289" i="18"/>
  <c r="U291" i="18"/>
  <c r="U292" i="18"/>
  <c r="U293" i="18"/>
  <c r="U294" i="18"/>
  <c r="U295" i="18"/>
  <c r="U296" i="18"/>
  <c r="U297" i="18"/>
  <c r="U299" i="18"/>
  <c r="U300" i="18"/>
  <c r="U301" i="18"/>
  <c r="U302" i="18"/>
  <c r="U304" i="18"/>
  <c r="U305" i="18"/>
  <c r="U307" i="18"/>
  <c r="U308" i="18"/>
  <c r="U309" i="18"/>
  <c r="U310" i="18"/>
  <c r="U311" i="18"/>
  <c r="U312" i="18"/>
  <c r="U313" i="18"/>
  <c r="U315" i="18"/>
  <c r="U316" i="18"/>
  <c r="U317" i="18"/>
  <c r="U318" i="18"/>
  <c r="U319" i="18"/>
  <c r="U320" i="18"/>
  <c r="U323" i="18"/>
  <c r="U324" i="18"/>
  <c r="U325" i="18"/>
  <c r="U326" i="18"/>
  <c r="U327" i="18"/>
  <c r="U328" i="18"/>
  <c r="U329" i="18"/>
  <c r="U331" i="18"/>
  <c r="U332" i="18"/>
  <c r="U333" i="18"/>
  <c r="U334" i="18"/>
  <c r="U336" i="18"/>
  <c r="U337" i="18"/>
  <c r="U339" i="18"/>
  <c r="U341" i="18"/>
  <c r="U342" i="18"/>
  <c r="U343" i="18"/>
  <c r="U344" i="18"/>
  <c r="U345" i="18"/>
  <c r="U347" i="18"/>
  <c r="U348" i="18"/>
  <c r="U349" i="18"/>
  <c r="U350" i="18"/>
  <c r="U351" i="18"/>
  <c r="U352" i="18"/>
  <c r="U355" i="18"/>
  <c r="U356" i="18"/>
  <c r="U357" i="18"/>
  <c r="U360" i="18"/>
  <c r="U361" i="18"/>
  <c r="U363" i="18"/>
  <c r="U364" i="18"/>
  <c r="U365" i="18"/>
  <c r="U366" i="18"/>
  <c r="U367" i="18"/>
  <c r="U368" i="18"/>
  <c r="U369" i="18"/>
  <c r="U371" i="18"/>
  <c r="U372" i="18"/>
  <c r="U373" i="18"/>
  <c r="U374" i="18"/>
  <c r="U375" i="18"/>
  <c r="U377" i="18"/>
  <c r="U379" i="18"/>
  <c r="U380" i="18"/>
  <c r="U381" i="18"/>
  <c r="U382" i="18"/>
  <c r="U383" i="18"/>
  <c r="U384" i="18"/>
  <c r="U385" i="18"/>
  <c r="U387" i="18"/>
  <c r="U388" i="18"/>
  <c r="U389" i="18"/>
  <c r="U391" i="18"/>
  <c r="U392" i="18"/>
  <c r="U393" i="18"/>
  <c r="U396" i="18"/>
  <c r="U397" i="18"/>
  <c r="U398" i="18"/>
  <c r="U399" i="18"/>
  <c r="U400" i="18"/>
  <c r="U401" i="18"/>
  <c r="U403" i="18"/>
  <c r="U404" i="18"/>
  <c r="U405" i="18"/>
  <c r="U409" i="18"/>
  <c r="U411" i="18"/>
  <c r="U412" i="18"/>
  <c r="U413" i="18"/>
  <c r="U415" i="18"/>
  <c r="U416" i="18"/>
  <c r="U417" i="18"/>
  <c r="U419" i="18"/>
  <c r="U420" i="18"/>
  <c r="U421" i="18"/>
  <c r="U422" i="18"/>
  <c r="U423" i="18"/>
  <c r="U424" i="18"/>
  <c r="U425" i="18"/>
  <c r="U427" i="18"/>
  <c r="U435" i="18"/>
  <c r="U436" i="18"/>
  <c r="U437" i="18"/>
  <c r="U438" i="18"/>
  <c r="U439" i="18"/>
  <c r="U440" i="18"/>
  <c r="U441" i="18"/>
  <c r="U443" i="18"/>
  <c r="U444" i="18"/>
  <c r="U445" i="18"/>
  <c r="U447" i="18"/>
  <c r="U448" i="18"/>
  <c r="U451" i="18"/>
  <c r="L2" i="17"/>
  <c r="L52" i="17"/>
  <c r="L102" i="17"/>
  <c r="L152" i="17"/>
  <c r="L202" i="17"/>
  <c r="L252" i="17"/>
  <c r="L302" i="17"/>
  <c r="L352" i="17"/>
  <c r="L402" i="17"/>
  <c r="L403" i="17"/>
  <c r="L404" i="17"/>
  <c r="L405" i="17"/>
  <c r="L406" i="17"/>
  <c r="L407" i="17"/>
  <c r="L3" i="17"/>
  <c r="L53" i="17"/>
  <c r="L103" i="17"/>
  <c r="L153" i="17"/>
  <c r="L203" i="17"/>
  <c r="L253" i="17"/>
  <c r="L303" i="17"/>
  <c r="L353" i="17"/>
  <c r="L408" i="17"/>
  <c r="L409" i="17"/>
  <c r="L410" i="17"/>
  <c r="L411" i="17"/>
  <c r="L412" i="17"/>
  <c r="L413" i="17"/>
  <c r="L4" i="17"/>
  <c r="L54" i="17"/>
  <c r="L104" i="17"/>
  <c r="L154" i="17"/>
  <c r="L204" i="17"/>
  <c r="L254" i="17"/>
  <c r="L304" i="17"/>
  <c r="L354" i="17"/>
  <c r="L414" i="17"/>
  <c r="L415" i="17"/>
  <c r="L416" i="17"/>
  <c r="L417" i="17"/>
  <c r="L418" i="17"/>
  <c r="L419" i="17"/>
  <c r="L5" i="17"/>
  <c r="L55" i="17"/>
  <c r="L105" i="17"/>
  <c r="L155" i="17"/>
  <c r="L205" i="17"/>
  <c r="L255" i="17"/>
  <c r="L305" i="17"/>
  <c r="L355" i="17"/>
  <c r="L420" i="17"/>
  <c r="L421" i="17"/>
  <c r="L422" i="17"/>
  <c r="L423" i="17"/>
  <c r="L424" i="17"/>
  <c r="L425" i="17"/>
  <c r="L6" i="17"/>
  <c r="L56" i="17"/>
  <c r="L106" i="17"/>
  <c r="L156" i="17"/>
  <c r="L206" i="17"/>
  <c r="L256" i="17"/>
  <c r="L306" i="17"/>
  <c r="L356" i="17"/>
  <c r="L426" i="17"/>
  <c r="L427" i="17"/>
  <c r="L428" i="17"/>
  <c r="L429" i="17"/>
  <c r="L430" i="17"/>
  <c r="L431" i="17"/>
  <c r="L7" i="17"/>
  <c r="L57" i="17"/>
  <c r="L107" i="17"/>
  <c r="L157" i="17"/>
  <c r="L207" i="17"/>
  <c r="L257" i="17"/>
  <c r="L307" i="17"/>
  <c r="L357" i="17"/>
  <c r="L432" i="17"/>
  <c r="L433" i="17"/>
  <c r="L434" i="17"/>
  <c r="L435" i="17"/>
  <c r="L436" i="17"/>
  <c r="L437" i="17"/>
  <c r="L8" i="17"/>
  <c r="L58" i="17"/>
  <c r="L108" i="17"/>
  <c r="L158" i="17"/>
  <c r="L208" i="17"/>
  <c r="L258" i="17"/>
  <c r="L308" i="17"/>
  <c r="L358" i="17"/>
  <c r="L438" i="17"/>
  <c r="L439" i="17"/>
  <c r="L440" i="17"/>
  <c r="L441" i="17"/>
  <c r="L442" i="17"/>
  <c r="L443" i="17"/>
  <c r="L9" i="17"/>
  <c r="L59" i="17"/>
  <c r="L109" i="17"/>
  <c r="L159" i="17"/>
  <c r="L209" i="17"/>
  <c r="L259" i="17"/>
  <c r="L309" i="17"/>
  <c r="L359" i="17"/>
  <c r="L444" i="17"/>
  <c r="L445" i="17"/>
  <c r="L446" i="17"/>
  <c r="L447" i="17"/>
  <c r="L448" i="17"/>
  <c r="L449" i="17"/>
  <c r="L10" i="17"/>
  <c r="L60" i="17"/>
  <c r="L110" i="17"/>
  <c r="L160" i="17"/>
  <c r="L210" i="17"/>
  <c r="L260" i="17"/>
  <c r="L310" i="17"/>
  <c r="L360" i="17"/>
  <c r="L450" i="17"/>
  <c r="L451" i="17"/>
  <c r="L452" i="17"/>
  <c r="L453" i="17"/>
  <c r="L454" i="17"/>
  <c r="L455" i="17"/>
  <c r="L11" i="17"/>
  <c r="L61" i="17"/>
  <c r="L111" i="17"/>
  <c r="L161" i="17"/>
  <c r="L211" i="17"/>
  <c r="L261" i="17"/>
  <c r="L311" i="17"/>
  <c r="L361" i="17"/>
  <c r="L456" i="17"/>
  <c r="L457" i="17"/>
  <c r="L458" i="17"/>
  <c r="L459" i="17"/>
  <c r="L460" i="17"/>
  <c r="L461" i="17"/>
  <c r="L12" i="17"/>
  <c r="L62" i="17"/>
  <c r="L112" i="17"/>
  <c r="L162" i="17"/>
  <c r="L212" i="17"/>
  <c r="L262" i="17"/>
  <c r="L312" i="17"/>
  <c r="L362" i="17"/>
  <c r="L462" i="17"/>
  <c r="L463" i="17"/>
  <c r="L464" i="17"/>
  <c r="L465" i="17"/>
  <c r="L466" i="17"/>
  <c r="L467" i="17"/>
  <c r="L13" i="17"/>
  <c r="L63" i="17"/>
  <c r="L113" i="17"/>
  <c r="L163" i="17"/>
  <c r="L213" i="17"/>
  <c r="L263" i="17"/>
  <c r="L313" i="17"/>
  <c r="L363" i="17"/>
  <c r="L468" i="17"/>
  <c r="L469" i="17"/>
  <c r="L470" i="17"/>
  <c r="L471" i="17"/>
  <c r="L472" i="17"/>
  <c r="L473" i="17"/>
  <c r="L14" i="17"/>
  <c r="L64" i="17"/>
  <c r="L114" i="17"/>
  <c r="L164" i="17"/>
  <c r="L214" i="17"/>
  <c r="L264" i="17"/>
  <c r="L314" i="17"/>
  <c r="L364" i="17"/>
  <c r="L474" i="17"/>
  <c r="L475" i="17"/>
  <c r="L476" i="17"/>
  <c r="L477" i="17"/>
  <c r="L478" i="17"/>
  <c r="L479" i="17"/>
  <c r="L15" i="17"/>
  <c r="L65" i="17"/>
  <c r="L115" i="17"/>
  <c r="L165" i="17"/>
  <c r="L215" i="17"/>
  <c r="L265" i="17"/>
  <c r="L315" i="17"/>
  <c r="L365" i="17"/>
  <c r="L480" i="17"/>
  <c r="L481" i="17"/>
  <c r="L482" i="17"/>
  <c r="L483" i="17"/>
  <c r="L484" i="17"/>
  <c r="L485" i="17"/>
  <c r="L16" i="17"/>
  <c r="L66" i="17"/>
  <c r="L116" i="17"/>
  <c r="L166" i="17"/>
  <c r="L216" i="17"/>
  <c r="L266" i="17"/>
  <c r="L316" i="17"/>
  <c r="L366" i="17"/>
  <c r="L486" i="17"/>
  <c r="L487" i="17"/>
  <c r="L488" i="17"/>
  <c r="L489" i="17"/>
  <c r="L490" i="17"/>
  <c r="L491" i="17"/>
  <c r="L17" i="17"/>
  <c r="L67" i="17"/>
  <c r="L117" i="17"/>
  <c r="L167" i="17"/>
  <c r="L217" i="17"/>
  <c r="L267" i="17"/>
  <c r="L317" i="17"/>
  <c r="L367" i="17"/>
  <c r="L492" i="17"/>
  <c r="L493" i="17"/>
  <c r="L494" i="17"/>
  <c r="L495" i="17"/>
  <c r="L496" i="17"/>
  <c r="L497" i="17"/>
  <c r="L18" i="17"/>
  <c r="L68" i="17"/>
  <c r="L118" i="17"/>
  <c r="L168" i="17"/>
  <c r="L218" i="17"/>
  <c r="L268" i="17"/>
  <c r="L318" i="17"/>
  <c r="L368" i="17"/>
  <c r="L498" i="17"/>
  <c r="L499" i="17"/>
  <c r="L500" i="17"/>
  <c r="L501" i="17"/>
  <c r="L502" i="17"/>
  <c r="L503" i="17"/>
  <c r="L19" i="17"/>
  <c r="L69" i="17"/>
  <c r="L119" i="17"/>
  <c r="L169" i="17"/>
  <c r="L219" i="17"/>
  <c r="L269" i="17"/>
  <c r="L319" i="17"/>
  <c r="L369" i="17"/>
  <c r="L504" i="17"/>
  <c r="L505" i="17"/>
  <c r="L506" i="17"/>
  <c r="L507" i="17"/>
  <c r="L508" i="17"/>
  <c r="L509" i="17"/>
  <c r="L20" i="17"/>
  <c r="L70" i="17"/>
  <c r="L120" i="17"/>
  <c r="L170" i="17"/>
  <c r="L220" i="17"/>
  <c r="L270" i="17"/>
  <c r="L320" i="17"/>
  <c r="L370" i="17"/>
  <c r="L510" i="17"/>
  <c r="L511" i="17"/>
  <c r="L512" i="17"/>
  <c r="L513" i="17"/>
  <c r="L514" i="17"/>
  <c r="L515" i="17"/>
  <c r="L21" i="17"/>
  <c r="L71" i="17"/>
  <c r="L121" i="17"/>
  <c r="L171" i="17"/>
  <c r="L221" i="17"/>
  <c r="L271" i="17"/>
  <c r="L321" i="17"/>
  <c r="L371" i="17"/>
  <c r="L516" i="17"/>
  <c r="L517" i="17"/>
  <c r="L518" i="17"/>
  <c r="L519" i="17"/>
  <c r="L520" i="17"/>
  <c r="L521" i="17"/>
  <c r="L22" i="17"/>
  <c r="L72" i="17"/>
  <c r="L122" i="17"/>
  <c r="L172" i="17"/>
  <c r="L222" i="17"/>
  <c r="L272" i="17"/>
  <c r="L322" i="17"/>
  <c r="L372" i="17"/>
  <c r="L522" i="17"/>
  <c r="L523" i="17"/>
  <c r="L524" i="17"/>
  <c r="L525" i="17"/>
  <c r="L526" i="17"/>
  <c r="L527" i="17"/>
  <c r="L23" i="17"/>
  <c r="L73" i="17"/>
  <c r="L123" i="17"/>
  <c r="L173" i="17"/>
  <c r="L223" i="17"/>
  <c r="L273" i="17"/>
  <c r="L323" i="17"/>
  <c r="L373" i="17"/>
  <c r="L528" i="17"/>
  <c r="L529" i="17"/>
  <c r="L530" i="17"/>
  <c r="L531" i="17"/>
  <c r="L532" i="17"/>
  <c r="L533" i="17"/>
  <c r="L24" i="17"/>
  <c r="L74" i="17"/>
  <c r="L124" i="17"/>
  <c r="L174" i="17"/>
  <c r="L224" i="17"/>
  <c r="L274" i="17"/>
  <c r="L324" i="17"/>
  <c r="L374" i="17"/>
  <c r="L534" i="17"/>
  <c r="L535" i="17"/>
  <c r="L536" i="17"/>
  <c r="L537" i="17"/>
  <c r="L538" i="17"/>
  <c r="L539" i="17"/>
  <c r="L25" i="17"/>
  <c r="L75" i="17"/>
  <c r="L125" i="17"/>
  <c r="L175" i="17"/>
  <c r="L225" i="17"/>
  <c r="L275" i="17"/>
  <c r="L325" i="17"/>
  <c r="L375" i="17"/>
  <c r="L540" i="17"/>
  <c r="L541" i="17"/>
  <c r="L542" i="17"/>
  <c r="L543" i="17"/>
  <c r="L544" i="17"/>
  <c r="L545" i="17"/>
  <c r="L26" i="17"/>
  <c r="L76" i="17"/>
  <c r="L126" i="17"/>
  <c r="L176" i="17"/>
  <c r="L226" i="17"/>
  <c r="L276" i="17"/>
  <c r="L326" i="17"/>
  <c r="L376" i="17"/>
  <c r="L546" i="17"/>
  <c r="L547" i="17"/>
  <c r="L548" i="17"/>
  <c r="L549" i="17"/>
  <c r="L550" i="17"/>
  <c r="L551" i="17"/>
  <c r="L27" i="17"/>
  <c r="L77" i="17"/>
  <c r="L127" i="17"/>
  <c r="L177" i="17"/>
  <c r="L227" i="17"/>
  <c r="L277" i="17"/>
  <c r="L327" i="17"/>
  <c r="L377" i="17"/>
  <c r="L552" i="17"/>
  <c r="L553" i="17"/>
  <c r="L554" i="17"/>
  <c r="L555" i="17"/>
  <c r="L556" i="17"/>
  <c r="L557" i="17"/>
  <c r="L28" i="17"/>
  <c r="L78" i="17"/>
  <c r="L128" i="17"/>
  <c r="L178" i="17"/>
  <c r="L228" i="17"/>
  <c r="L278" i="17"/>
  <c r="L328" i="17"/>
  <c r="L378" i="17"/>
  <c r="L558" i="17"/>
  <c r="L559" i="17"/>
  <c r="L560" i="17"/>
  <c r="L561" i="17"/>
  <c r="L562" i="17"/>
  <c r="L563" i="17"/>
  <c r="L29" i="17"/>
  <c r="L79" i="17"/>
  <c r="L129" i="17"/>
  <c r="L179" i="17"/>
  <c r="L229" i="17"/>
  <c r="L279" i="17"/>
  <c r="L329" i="17"/>
  <c r="L379" i="17"/>
  <c r="L564" i="17"/>
  <c r="L565" i="17"/>
  <c r="L566" i="17"/>
  <c r="L567" i="17"/>
  <c r="L568" i="17"/>
  <c r="L569" i="17"/>
  <c r="L30" i="17"/>
  <c r="L80" i="17"/>
  <c r="L130" i="17"/>
  <c r="L180" i="17"/>
  <c r="L230" i="17"/>
  <c r="L280" i="17"/>
  <c r="L330" i="17"/>
  <c r="L380" i="17"/>
  <c r="L570" i="17"/>
  <c r="L571" i="17"/>
  <c r="L572" i="17"/>
  <c r="L573" i="17"/>
  <c r="L574" i="17"/>
  <c r="L575" i="17"/>
  <c r="L31" i="17"/>
  <c r="L81" i="17"/>
  <c r="L131" i="17"/>
  <c r="L181" i="17"/>
  <c r="L231" i="17"/>
  <c r="L281" i="17"/>
  <c r="L331" i="17"/>
  <c r="L381" i="17"/>
  <c r="L576" i="17"/>
  <c r="L577" i="17"/>
  <c r="L578" i="17"/>
  <c r="L579" i="17"/>
  <c r="L580" i="17"/>
  <c r="L581" i="17"/>
  <c r="L32" i="17"/>
  <c r="L82" i="17"/>
  <c r="L132" i="17"/>
  <c r="L182" i="17"/>
  <c r="L232" i="17"/>
  <c r="L282" i="17"/>
  <c r="L332" i="17"/>
  <c r="L382" i="17"/>
  <c r="L582" i="17"/>
  <c r="L583" i="17"/>
  <c r="L584" i="17"/>
  <c r="L585" i="17"/>
  <c r="L586" i="17"/>
  <c r="L587" i="17"/>
  <c r="L33" i="17"/>
  <c r="L83" i="17"/>
  <c r="L133" i="17"/>
  <c r="L183" i="17"/>
  <c r="L233" i="17"/>
  <c r="L283" i="17"/>
  <c r="L333" i="17"/>
  <c r="L383" i="17"/>
  <c r="L588" i="17"/>
  <c r="L589" i="17"/>
  <c r="L590" i="17"/>
  <c r="L591" i="17"/>
  <c r="L592" i="17"/>
  <c r="L593" i="17"/>
  <c r="L34" i="17"/>
  <c r="L84" i="17"/>
  <c r="L134" i="17"/>
  <c r="L184" i="17"/>
  <c r="L234" i="17"/>
  <c r="L284" i="17"/>
  <c r="L334" i="17"/>
  <c r="L384" i="17"/>
  <c r="L594" i="17"/>
  <c r="L595" i="17"/>
  <c r="L596" i="17"/>
  <c r="L597" i="17"/>
  <c r="L598" i="17"/>
  <c r="L599" i="17"/>
  <c r="L35" i="17"/>
  <c r="L85" i="17"/>
  <c r="L135" i="17"/>
  <c r="L185" i="17"/>
  <c r="L235" i="17"/>
  <c r="L285" i="17"/>
  <c r="L335" i="17"/>
  <c r="L385" i="17"/>
  <c r="L600" i="17"/>
  <c r="L601" i="17"/>
  <c r="L602" i="17"/>
  <c r="L603" i="17"/>
  <c r="L604" i="17"/>
  <c r="L605" i="17"/>
  <c r="L36" i="17"/>
  <c r="L86" i="17"/>
  <c r="L136" i="17"/>
  <c r="L186" i="17"/>
  <c r="L236" i="17"/>
  <c r="L286" i="17"/>
  <c r="L336" i="17"/>
  <c r="L386" i="17"/>
  <c r="L606" i="17"/>
  <c r="L607" i="17"/>
  <c r="L608" i="17"/>
  <c r="L609" i="17"/>
  <c r="L610" i="17"/>
  <c r="L611" i="17"/>
  <c r="L37" i="17"/>
  <c r="L87" i="17"/>
  <c r="L137" i="17"/>
  <c r="L187" i="17"/>
  <c r="L237" i="17"/>
  <c r="L287" i="17"/>
  <c r="L337" i="17"/>
  <c r="L387" i="17"/>
  <c r="L612" i="17"/>
  <c r="L613" i="17"/>
  <c r="L614" i="17"/>
  <c r="L615" i="17"/>
  <c r="L616" i="17"/>
  <c r="L617" i="17"/>
  <c r="L38" i="17"/>
  <c r="L88" i="17"/>
  <c r="L138" i="17"/>
  <c r="L188" i="17"/>
  <c r="L238" i="17"/>
  <c r="L288" i="17"/>
  <c r="L338" i="17"/>
  <c r="L388" i="17"/>
  <c r="L618" i="17"/>
  <c r="L619" i="17"/>
  <c r="L620" i="17"/>
  <c r="L621" i="17"/>
  <c r="L622" i="17"/>
  <c r="L623" i="17"/>
  <c r="L39" i="17"/>
  <c r="L89" i="17"/>
  <c r="L139" i="17"/>
  <c r="L189" i="17"/>
  <c r="L239" i="17"/>
  <c r="L289" i="17"/>
  <c r="L339" i="17"/>
  <c r="L389" i="17"/>
  <c r="L624" i="17"/>
  <c r="L625" i="17"/>
  <c r="L626" i="17"/>
  <c r="L627" i="17"/>
  <c r="L628" i="17"/>
  <c r="L629" i="17"/>
  <c r="L40" i="17"/>
  <c r="L90" i="17"/>
  <c r="L140" i="17"/>
  <c r="L190" i="17"/>
  <c r="L240" i="17"/>
  <c r="L290" i="17"/>
  <c r="L340" i="17"/>
  <c r="L390" i="17"/>
  <c r="L630" i="17"/>
  <c r="L631" i="17"/>
  <c r="L632" i="17"/>
  <c r="L633" i="17"/>
  <c r="L634" i="17"/>
  <c r="L635" i="17"/>
  <c r="L41" i="17"/>
  <c r="L91" i="17"/>
  <c r="L141" i="17"/>
  <c r="L191" i="17"/>
  <c r="L241" i="17"/>
  <c r="L291" i="17"/>
  <c r="L341" i="17"/>
  <c r="L391" i="17"/>
  <c r="L636" i="17"/>
  <c r="L637" i="17"/>
  <c r="L638" i="17"/>
  <c r="L639" i="17"/>
  <c r="L640" i="17"/>
  <c r="L641" i="17"/>
  <c r="L42" i="17"/>
  <c r="L92" i="17"/>
  <c r="L142" i="17"/>
  <c r="L192" i="17"/>
  <c r="L242" i="17"/>
  <c r="L292" i="17"/>
  <c r="L342" i="17"/>
  <c r="L392" i="17"/>
  <c r="L642" i="17"/>
  <c r="L643" i="17"/>
  <c r="L644" i="17"/>
  <c r="L645" i="17"/>
  <c r="L646" i="17"/>
  <c r="L647" i="17"/>
  <c r="L43" i="17"/>
  <c r="L93" i="17"/>
  <c r="L143" i="17"/>
  <c r="L193" i="17"/>
  <c r="L243" i="17"/>
  <c r="L293" i="17"/>
  <c r="L343" i="17"/>
  <c r="L393" i="17"/>
  <c r="L648" i="17"/>
  <c r="L649" i="17"/>
  <c r="L650" i="17"/>
  <c r="L651" i="17"/>
  <c r="L652" i="17"/>
  <c r="L653" i="17"/>
  <c r="L44" i="17"/>
  <c r="L94" i="17"/>
  <c r="L144" i="17"/>
  <c r="L194" i="17"/>
  <c r="L244" i="17"/>
  <c r="L294" i="17"/>
  <c r="L344" i="17"/>
  <c r="L394" i="17"/>
  <c r="L654" i="17"/>
  <c r="L655" i="17"/>
  <c r="L656" i="17"/>
  <c r="L657" i="17"/>
  <c r="L658" i="17"/>
  <c r="L659" i="17"/>
  <c r="L45" i="17"/>
  <c r="L95" i="17"/>
  <c r="L145" i="17"/>
  <c r="L195" i="17"/>
  <c r="L245" i="17"/>
  <c r="L295" i="17"/>
  <c r="L345" i="17"/>
  <c r="L395" i="17"/>
  <c r="L660" i="17"/>
  <c r="L661" i="17"/>
  <c r="L662" i="17"/>
  <c r="L663" i="17"/>
  <c r="L664" i="17"/>
  <c r="L665" i="17"/>
  <c r="L46" i="17"/>
  <c r="L96" i="17"/>
  <c r="L146" i="17"/>
  <c r="L196" i="17"/>
  <c r="L246" i="17"/>
  <c r="L296" i="17"/>
  <c r="L346" i="17"/>
  <c r="L396" i="17"/>
  <c r="L666" i="17"/>
  <c r="L667" i="17"/>
  <c r="L668" i="17"/>
  <c r="L669" i="17"/>
  <c r="L670" i="17"/>
  <c r="L671" i="17"/>
  <c r="L47" i="17"/>
  <c r="L97" i="17"/>
  <c r="L147" i="17"/>
  <c r="L197" i="17"/>
  <c r="L247" i="17"/>
  <c r="L297" i="17"/>
  <c r="L347" i="17"/>
  <c r="L397" i="17"/>
  <c r="L672" i="17"/>
  <c r="L673" i="17"/>
  <c r="L674" i="17"/>
  <c r="L675" i="17"/>
  <c r="L676" i="17"/>
  <c r="L677" i="17"/>
  <c r="L48" i="17"/>
  <c r="L98" i="17"/>
  <c r="L148" i="17"/>
  <c r="L198" i="17"/>
  <c r="L248" i="17"/>
  <c r="L298" i="17"/>
  <c r="L348" i="17"/>
  <c r="L398" i="17"/>
  <c r="L678" i="17"/>
  <c r="L679" i="17"/>
  <c r="L680" i="17"/>
  <c r="L681" i="17"/>
  <c r="L682" i="17"/>
  <c r="L683" i="17"/>
  <c r="L49" i="17"/>
  <c r="L99" i="17"/>
  <c r="L149" i="17"/>
  <c r="L199" i="17"/>
  <c r="L249" i="17"/>
  <c r="L299" i="17"/>
  <c r="L349" i="17"/>
  <c r="L399" i="17"/>
  <c r="L684" i="17"/>
  <c r="L685" i="17"/>
  <c r="L686" i="17"/>
  <c r="L687" i="17"/>
  <c r="L688" i="17"/>
  <c r="L689" i="17"/>
  <c r="L50" i="17"/>
  <c r="L100" i="17"/>
  <c r="L150" i="17"/>
  <c r="L200" i="17"/>
  <c r="L250" i="17"/>
  <c r="L300" i="17"/>
  <c r="L350" i="17"/>
  <c r="L400" i="17"/>
  <c r="L690" i="17"/>
  <c r="L691" i="17"/>
  <c r="L692" i="17"/>
  <c r="L693" i="17"/>
  <c r="L694" i="17"/>
  <c r="L695" i="17"/>
  <c r="L51" i="17"/>
  <c r="L101" i="17"/>
  <c r="L151" i="17"/>
  <c r="L201" i="17"/>
  <c r="L251" i="17"/>
  <c r="L301" i="17"/>
  <c r="L351" i="17"/>
  <c r="L401" i="17"/>
  <c r="L696" i="17"/>
  <c r="L697" i="17"/>
  <c r="L698" i="17"/>
  <c r="L699" i="17"/>
  <c r="L700" i="17"/>
  <c r="L701" i="17"/>
  <c r="M2" i="17" a="1"/>
  <c r="M2" i="17" s="1"/>
  <c r="M52" i="17" a="1"/>
  <c r="M52" i="17" s="1"/>
  <c r="M102" i="17" a="1"/>
  <c r="M102" i="17" s="1"/>
  <c r="M152" i="17" a="1"/>
  <c r="M152" i="17" s="1"/>
  <c r="M202" i="17" a="1"/>
  <c r="M202" i="17" s="1"/>
  <c r="M252" i="17" a="1"/>
  <c r="M252" i="17" s="1"/>
  <c r="M302" i="17" a="1"/>
  <c r="M302" i="17" s="1"/>
  <c r="M352" i="17" a="1"/>
  <c r="M352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3" i="17" a="1"/>
  <c r="M3" i="17" s="1"/>
  <c r="M53" i="17" a="1"/>
  <c r="M53" i="17" s="1"/>
  <c r="M103" i="17" a="1"/>
  <c r="M103" i="17" s="1"/>
  <c r="M153" i="17" a="1"/>
  <c r="M153" i="17" s="1"/>
  <c r="M203" i="17" a="1"/>
  <c r="M203" i="17" s="1"/>
  <c r="M253" i="17" a="1"/>
  <c r="M253" i="17" s="1"/>
  <c r="M303" i="17" a="1"/>
  <c r="M303" i="17" s="1"/>
  <c r="M353" i="17" a="1"/>
  <c r="M353" i="17" s="1"/>
  <c r="M408" i="17" a="1"/>
  <c r="M408" i="17" s="1"/>
  <c r="M409" i="17" a="1"/>
  <c r="M409" i="17" s="1"/>
  <c r="M410" i="17" a="1"/>
  <c r="M410" i="17"/>
  <c r="M411" i="17" a="1"/>
  <c r="M411" i="17" s="1"/>
  <c r="M412" i="17" a="1"/>
  <c r="M412" i="17" s="1"/>
  <c r="M413" i="17" a="1"/>
  <c r="M413" i="17" s="1"/>
  <c r="M4" i="17" a="1"/>
  <c r="M4" i="17" s="1"/>
  <c r="M54" i="17" a="1"/>
  <c r="M54" i="17" s="1"/>
  <c r="M104" i="17" a="1"/>
  <c r="M104" i="17" s="1"/>
  <c r="M154" i="17" a="1"/>
  <c r="M154" i="17" s="1"/>
  <c r="M204" i="17" a="1"/>
  <c r="M204" i="17" s="1"/>
  <c r="M254" i="17" a="1"/>
  <c r="M254" i="17" s="1"/>
  <c r="M304" i="17" a="1"/>
  <c r="M304" i="17" s="1"/>
  <c r="M354" i="17" a="1"/>
  <c r="M354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5" i="17" a="1"/>
  <c r="M5" i="17" s="1"/>
  <c r="M55" i="17" a="1"/>
  <c r="M55" i="17" s="1"/>
  <c r="M105" i="17" a="1"/>
  <c r="M105" i="17" s="1"/>
  <c r="M155" i="17" a="1"/>
  <c r="M155" i="17" s="1"/>
  <c r="M205" i="17" a="1"/>
  <c r="M205" i="17" s="1"/>
  <c r="M255" i="17" a="1"/>
  <c r="M255" i="17" s="1"/>
  <c r="M305" i="17" a="1"/>
  <c r="M305" i="17" s="1"/>
  <c r="M355" i="17" a="1"/>
  <c r="M355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6" i="17" a="1"/>
  <c r="M6" i="17" s="1"/>
  <c r="M56" i="17" a="1"/>
  <c r="M56" i="17" s="1"/>
  <c r="M106" i="17" a="1"/>
  <c r="M106" i="17" s="1"/>
  <c r="M156" i="17" a="1"/>
  <c r="M156" i="17" s="1"/>
  <c r="M206" i="17" a="1"/>
  <c r="M206" i="17" s="1"/>
  <c r="M256" i="17" a="1"/>
  <c r="M256" i="17" s="1"/>
  <c r="M306" i="17" a="1"/>
  <c r="M306" i="17" s="1"/>
  <c r="M356" i="17" a="1"/>
  <c r="M356" i="17" s="1"/>
  <c r="M426" i="17" a="1"/>
  <c r="M426" i="17" s="1"/>
  <c r="M427" i="17" a="1"/>
  <c r="M427" i="17" s="1"/>
  <c r="M428" i="17" a="1"/>
  <c r="M428" i="17" s="1"/>
  <c r="M429" i="17" a="1"/>
  <c r="M429" i="17" s="1"/>
  <c r="Y429" i="17" s="1"/>
  <c r="M430" i="17" a="1"/>
  <c r="M430" i="17" s="1"/>
  <c r="M431" i="17" a="1"/>
  <c r="M431" i="17" s="1"/>
  <c r="M7" i="17" a="1"/>
  <c r="M7" i="17" s="1"/>
  <c r="M57" i="17" a="1"/>
  <c r="M57" i="17" s="1"/>
  <c r="M107" i="17" a="1"/>
  <c r="M107" i="17" s="1"/>
  <c r="M157" i="17" a="1"/>
  <c r="M157" i="17" s="1"/>
  <c r="M207" i="17" a="1"/>
  <c r="M207" i="17" s="1"/>
  <c r="M257" i="17" a="1"/>
  <c r="M257" i="17" s="1"/>
  <c r="M307" i="17" a="1"/>
  <c r="M307" i="17" s="1"/>
  <c r="M357" i="17" a="1"/>
  <c r="M357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8" i="17" a="1"/>
  <c r="M8" i="17" s="1"/>
  <c r="M58" i="17" a="1"/>
  <c r="M58" i="17" s="1"/>
  <c r="M108" i="17" a="1"/>
  <c r="M108" i="17" s="1"/>
  <c r="M158" i="17" a="1"/>
  <c r="M158" i="17" s="1"/>
  <c r="M208" i="17" a="1"/>
  <c r="M208" i="17" s="1"/>
  <c r="M258" i="17" a="1"/>
  <c r="M258" i="17" s="1"/>
  <c r="M308" i="17" a="1"/>
  <c r="M308" i="17" s="1"/>
  <c r="M358" i="17" a="1"/>
  <c r="M358" i="17" s="1"/>
  <c r="M438" i="17" a="1"/>
  <c r="M438" i="17" s="1"/>
  <c r="M439" i="17" a="1"/>
  <c r="M439" i="17" s="1"/>
  <c r="M440" i="17" a="1"/>
  <c r="M440" i="17" s="1"/>
  <c r="M441" i="17" a="1"/>
  <c r="M441" i="17" s="1"/>
  <c r="M442" i="17" a="1"/>
  <c r="M442" i="17" s="1"/>
  <c r="M443" i="17" a="1"/>
  <c r="M443" i="17" s="1"/>
  <c r="M9" i="17" a="1"/>
  <c r="M9" i="17" s="1"/>
  <c r="M59" i="17" a="1"/>
  <c r="M59" i="17" s="1"/>
  <c r="M109" i="17" a="1"/>
  <c r="M109" i="17" s="1"/>
  <c r="M159" i="17" a="1"/>
  <c r="M159" i="17" s="1"/>
  <c r="M209" i="17" a="1"/>
  <c r="M209" i="17" s="1"/>
  <c r="M259" i="17" a="1"/>
  <c r="M259" i="17" s="1"/>
  <c r="M309" i="17" a="1"/>
  <c r="M309" i="17" s="1"/>
  <c r="M359" i="17" a="1"/>
  <c r="M359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10" i="17" a="1"/>
  <c r="M10" i="17" s="1"/>
  <c r="M60" i="17" a="1"/>
  <c r="M60" i="17" s="1"/>
  <c r="M110" i="17" a="1"/>
  <c r="M110" i="17" s="1"/>
  <c r="M160" i="17" a="1"/>
  <c r="M160" i="17" s="1"/>
  <c r="M210" i="17" a="1"/>
  <c r="M210" i="17" s="1"/>
  <c r="M260" i="17" a="1"/>
  <c r="M260" i="17" s="1"/>
  <c r="M310" i="17" a="1"/>
  <c r="M310" i="17" s="1"/>
  <c r="M360" i="17" a="1"/>
  <c r="M360" i="17" s="1"/>
  <c r="M450" i="17" a="1"/>
  <c r="M450" i="17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11" i="17" a="1"/>
  <c r="M11" i="17" s="1"/>
  <c r="M61" i="17" a="1"/>
  <c r="M61" i="17"/>
  <c r="M111" i="17" a="1"/>
  <c r="M111" i="17" s="1"/>
  <c r="M161" i="17" a="1"/>
  <c r="M161" i="17" s="1"/>
  <c r="M211" i="17" a="1"/>
  <c r="M211" i="17" s="1"/>
  <c r="M261" i="17" a="1"/>
  <c r="M261" i="17" s="1"/>
  <c r="M311" i="17" a="1"/>
  <c r="M311" i="17" s="1"/>
  <c r="M361" i="17" a="1"/>
  <c r="M361" i="17" s="1"/>
  <c r="M456" i="17" a="1"/>
  <c r="M456" i="17" s="1"/>
  <c r="M457" i="17" a="1"/>
  <c r="M457" i="17" s="1"/>
  <c r="M458" i="17" a="1"/>
  <c r="M458" i="17"/>
  <c r="M459" i="17" a="1"/>
  <c r="M459" i="17" s="1"/>
  <c r="M460" i="17" a="1"/>
  <c r="M460" i="17" s="1"/>
  <c r="M461" i="17" a="1"/>
  <c r="M461" i="17" s="1"/>
  <c r="M12" i="17" a="1"/>
  <c r="M12" i="17" s="1"/>
  <c r="M62" i="17" a="1"/>
  <c r="M62" i="17" s="1"/>
  <c r="M112" i="17" a="1"/>
  <c r="M112" i="17" s="1"/>
  <c r="M162" i="17" a="1"/>
  <c r="M162" i="17" s="1"/>
  <c r="M212" i="17" a="1"/>
  <c r="M212" i="17"/>
  <c r="M262" i="17" a="1"/>
  <c r="M262" i="17" s="1"/>
  <c r="M312" i="17" a="1"/>
  <c r="M312" i="17" s="1"/>
  <c r="M362" i="17" a="1"/>
  <c r="M362" i="17" s="1"/>
  <c r="M462" i="17" a="1"/>
  <c r="M462" i="17" s="1"/>
  <c r="M463" i="17" a="1"/>
  <c r="M463" i="17" s="1"/>
  <c r="M464" i="17" a="1"/>
  <c r="M464" i="17" s="1"/>
  <c r="M465" i="17" a="1"/>
  <c r="M465" i="17" s="1"/>
  <c r="M466" i="17" a="1"/>
  <c r="M466" i="17" s="1"/>
  <c r="M467" i="17" a="1"/>
  <c r="M467" i="17" s="1"/>
  <c r="M13" i="17" a="1"/>
  <c r="M13" i="17" s="1"/>
  <c r="M63" i="17" a="1"/>
  <c r="M63" i="17" s="1"/>
  <c r="M113" i="17" a="1"/>
  <c r="M113" i="17" s="1"/>
  <c r="M163" i="17" a="1"/>
  <c r="M163" i="17" s="1"/>
  <c r="M213" i="17" a="1"/>
  <c r="M213" i="17" s="1"/>
  <c r="M263" i="17" a="1"/>
  <c r="M263" i="17" s="1"/>
  <c r="M313" i="17" a="1"/>
  <c r="M313" i="17" s="1"/>
  <c r="M363" i="17" a="1"/>
  <c r="M363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/>
  <c r="M14" i="17" a="1"/>
  <c r="M14" i="17" s="1"/>
  <c r="M64" i="17" a="1"/>
  <c r="M64" i="17" s="1"/>
  <c r="M114" i="17" a="1"/>
  <c r="M114" i="17" s="1"/>
  <c r="M164" i="17" a="1"/>
  <c r="M164" i="17" s="1"/>
  <c r="M214" i="17" a="1"/>
  <c r="M214" i="17" s="1"/>
  <c r="M264" i="17" a="1"/>
  <c r="M264" i="17" s="1"/>
  <c r="M314" i="17" a="1"/>
  <c r="M314" i="17" s="1"/>
  <c r="M364" i="17" a="1"/>
  <c r="M364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15" i="17" a="1"/>
  <c r="M15" i="17" s="1"/>
  <c r="M65" i="17" a="1"/>
  <c r="M65" i="17" s="1"/>
  <c r="M115" i="17" a="1"/>
  <c r="M115" i="17" s="1"/>
  <c r="M165" i="17" a="1"/>
  <c r="M165" i="17" s="1"/>
  <c r="M215" i="17" a="1"/>
  <c r="M215" i="17" s="1"/>
  <c r="M265" i="17" a="1"/>
  <c r="M265" i="17" s="1"/>
  <c r="M315" i="17" a="1"/>
  <c r="M315" i="17" s="1"/>
  <c r="M365" i="17" a="1"/>
  <c r="M365" i="17" s="1"/>
  <c r="M480" i="17" a="1"/>
  <c r="M480" i="17" s="1"/>
  <c r="M481" i="17" a="1"/>
  <c r="M481" i="17"/>
  <c r="M482" i="17" a="1"/>
  <c r="M482" i="17" s="1"/>
  <c r="M483" i="17" a="1"/>
  <c r="M483" i="17" s="1"/>
  <c r="M484" i="17" a="1"/>
  <c r="M484" i="17" s="1"/>
  <c r="M485" i="17" a="1"/>
  <c r="M485" i="17" s="1"/>
  <c r="M16" i="17" a="1"/>
  <c r="M16" i="17" s="1"/>
  <c r="M66" i="17" a="1"/>
  <c r="M66" i="17" s="1"/>
  <c r="M116" i="17" a="1"/>
  <c r="M116" i="17" s="1"/>
  <c r="M166" i="17" a="1"/>
  <c r="M166" i="17" s="1"/>
  <c r="M216" i="17" a="1"/>
  <c r="M216" i="17" s="1"/>
  <c r="M266" i="17" a="1"/>
  <c r="M266" i="17" s="1"/>
  <c r="M316" i="17" a="1"/>
  <c r="M316" i="17" s="1"/>
  <c r="M366" i="17" a="1"/>
  <c r="M366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17" i="17" a="1"/>
  <c r="M17" i="17" s="1"/>
  <c r="M67" i="17" a="1"/>
  <c r="M67" i="17" s="1"/>
  <c r="M117" i="17" a="1"/>
  <c r="M117" i="17" s="1"/>
  <c r="M167" i="17" a="1"/>
  <c r="M167" i="17" s="1"/>
  <c r="M217" i="17" a="1"/>
  <c r="M217" i="17" s="1"/>
  <c r="M267" i="17" a="1"/>
  <c r="M267" i="17" s="1"/>
  <c r="M317" i="17" a="1"/>
  <c r="M317" i="17" s="1"/>
  <c r="M367" i="17" a="1"/>
  <c r="M367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/>
  <c r="M18" i="17" a="1"/>
  <c r="M18" i="17" s="1"/>
  <c r="M68" i="17" a="1"/>
  <c r="M68" i="17" s="1"/>
  <c r="M118" i="17" a="1"/>
  <c r="M118" i="17" s="1"/>
  <c r="M168" i="17" a="1"/>
  <c r="M168" i="17" s="1"/>
  <c r="M218" i="17" a="1"/>
  <c r="M218" i="17" s="1"/>
  <c r="M268" i="17" a="1"/>
  <c r="M268" i="17" s="1"/>
  <c r="M318" i="17" a="1"/>
  <c r="M318" i="17" s="1"/>
  <c r="M368" i="17" a="1"/>
  <c r="M368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19" i="17" a="1"/>
  <c r="M19" i="17" s="1"/>
  <c r="M69" i="17" a="1"/>
  <c r="M69" i="17" s="1"/>
  <c r="M119" i="17" a="1"/>
  <c r="M119" i="17"/>
  <c r="M169" i="17" a="1"/>
  <c r="M169" i="17" s="1"/>
  <c r="M219" i="17" a="1"/>
  <c r="M219" i="17" s="1"/>
  <c r="M269" i="17" a="1"/>
  <c r="M269" i="17" s="1"/>
  <c r="M319" i="17" a="1"/>
  <c r="M319" i="17" s="1"/>
  <c r="M369" i="17" a="1"/>
  <c r="M369" i="17" s="1"/>
  <c r="M504" i="17" a="1"/>
  <c r="M504" i="17" s="1"/>
  <c r="M505" i="17" a="1"/>
  <c r="M505" i="17" s="1"/>
  <c r="M506" i="17" a="1"/>
  <c r="M506" i="17"/>
  <c r="M507" i="17" a="1"/>
  <c r="M507" i="17" s="1"/>
  <c r="M508" i="17" a="1"/>
  <c r="M508" i="17" s="1"/>
  <c r="M509" i="17" a="1"/>
  <c r="M509" i="17" s="1"/>
  <c r="M20" i="17" a="1"/>
  <c r="M20" i="17" s="1"/>
  <c r="M70" i="17" a="1"/>
  <c r="M70" i="17" s="1"/>
  <c r="M120" i="17" a="1"/>
  <c r="M120" i="17" s="1"/>
  <c r="M170" i="17" a="1"/>
  <c r="M170" i="17"/>
  <c r="M220" i="17" a="1"/>
  <c r="M220" i="17" s="1"/>
  <c r="M270" i="17" a="1"/>
  <c r="M270" i="17" s="1"/>
  <c r="M320" i="17" a="1"/>
  <c r="M320" i="17" s="1"/>
  <c r="M370" i="17" a="1"/>
  <c r="M370" i="17" s="1"/>
  <c r="M510" i="17" a="1"/>
  <c r="M510" i="17" s="1"/>
  <c r="M511" i="17" a="1"/>
  <c r="M511" i="17" s="1"/>
  <c r="M512" i="17" a="1"/>
  <c r="M512" i="17" s="1"/>
  <c r="M513" i="17" a="1"/>
  <c r="M513" i="17" s="1"/>
  <c r="Y513" i="17" s="1"/>
  <c r="Q513" i="17" s="1"/>
  <c r="W513" i="17" s="1"/>
  <c r="M514" i="17" a="1"/>
  <c r="M514" i="17" s="1"/>
  <c r="M515" i="17" a="1"/>
  <c r="M515" i="17" s="1"/>
  <c r="M21" i="17" a="1"/>
  <c r="M21" i="17" s="1"/>
  <c r="M71" i="17" a="1"/>
  <c r="M71" i="17" s="1"/>
  <c r="M121" i="17" a="1"/>
  <c r="M121" i="17" s="1"/>
  <c r="M171" i="17" a="1"/>
  <c r="M171" i="17" s="1"/>
  <c r="M221" i="17" a="1"/>
  <c r="M221" i="17" s="1"/>
  <c r="M271" i="17" a="1"/>
  <c r="M271" i="17" s="1"/>
  <c r="M321" i="17" a="1"/>
  <c r="M321" i="17" s="1"/>
  <c r="M371" i="17" a="1"/>
  <c r="M37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 s="1"/>
  <c r="M22" i="17" a="1"/>
  <c r="M22" i="17"/>
  <c r="M72" i="17" a="1"/>
  <c r="M72" i="17" s="1"/>
  <c r="M122" i="17" a="1"/>
  <c r="M122" i="17" s="1"/>
  <c r="M172" i="17" a="1"/>
  <c r="M172" i="17" s="1"/>
  <c r="M222" i="17" a="1"/>
  <c r="M222" i="17" s="1"/>
  <c r="M272" i="17" a="1"/>
  <c r="M272" i="17" s="1"/>
  <c r="M322" i="17" a="1"/>
  <c r="M322" i="17" s="1"/>
  <c r="M372" i="17" a="1"/>
  <c r="M372" i="17" s="1"/>
  <c r="M522" i="17" a="1"/>
  <c r="M522" i="17" s="1"/>
  <c r="M523" i="17" a="1"/>
  <c r="M523" i="17" s="1"/>
  <c r="M524" i="17" a="1"/>
  <c r="M524" i="17" s="1"/>
  <c r="M525" i="17" a="1"/>
  <c r="M525" i="17" s="1"/>
  <c r="M526" i="17" a="1"/>
  <c r="M526" i="17" s="1"/>
  <c r="M527" i="17" a="1"/>
  <c r="M527" i="17" s="1"/>
  <c r="M23" i="17" a="1"/>
  <c r="M23" i="17" s="1"/>
  <c r="M73" i="17" a="1"/>
  <c r="M73" i="17" s="1"/>
  <c r="M123" i="17" a="1"/>
  <c r="M123" i="17" s="1"/>
  <c r="M173" i="17" a="1"/>
  <c r="M173" i="17" s="1"/>
  <c r="M223" i="17" a="1"/>
  <c r="M223" i="17" s="1"/>
  <c r="M273" i="17" a="1"/>
  <c r="M273" i="17" s="1"/>
  <c r="M323" i="17" a="1"/>
  <c r="M323" i="17" s="1"/>
  <c r="M373" i="17" a="1"/>
  <c r="M373" i="17" s="1"/>
  <c r="M528" i="17" a="1"/>
  <c r="M528" i="17" s="1"/>
  <c r="M529" i="17" a="1"/>
  <c r="M529" i="17" s="1"/>
  <c r="M530" i="17" a="1"/>
  <c r="M530" i="17" s="1"/>
  <c r="M531" i="17" a="1"/>
  <c r="M531" i="17" s="1"/>
  <c r="M532" i="17" a="1"/>
  <c r="M532" i="17" s="1"/>
  <c r="M533" i="17" a="1"/>
  <c r="M533" i="17" s="1"/>
  <c r="M24" i="17" a="1"/>
  <c r="M24" i="17" s="1"/>
  <c r="M74" i="17" a="1"/>
  <c r="M74" i="17" s="1"/>
  <c r="M124" i="17" a="1"/>
  <c r="M124" i="17" s="1"/>
  <c r="M174" i="17" a="1"/>
  <c r="M174" i="17" s="1"/>
  <c r="M224" i="17" a="1"/>
  <c r="M224" i="17" s="1"/>
  <c r="M274" i="17" a="1"/>
  <c r="M274" i="17" s="1"/>
  <c r="M324" i="17" a="1"/>
  <c r="M324" i="17" s="1"/>
  <c r="M374" i="17" a="1"/>
  <c r="M374" i="17" s="1"/>
  <c r="M534" i="17" a="1"/>
  <c r="M534" i="17" s="1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25" i="17" a="1"/>
  <c r="M25" i="17" s="1"/>
  <c r="M75" i="17" a="1"/>
  <c r="M75" i="17" s="1"/>
  <c r="M125" i="17" a="1"/>
  <c r="M125" i="17" s="1"/>
  <c r="M175" i="17" a="1"/>
  <c r="M175" i="17" s="1"/>
  <c r="M225" i="17" a="1"/>
  <c r="M225" i="17" s="1"/>
  <c r="M275" i="17" a="1"/>
  <c r="M275" i="17" s="1"/>
  <c r="M325" i="17" a="1"/>
  <c r="M325" i="17" s="1"/>
  <c r="M375" i="17" a="1"/>
  <c r="M375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26" i="17" a="1"/>
  <c r="M26" i="17" s="1"/>
  <c r="M76" i="17" a="1"/>
  <c r="M76" i="17" s="1"/>
  <c r="M126" i="17" a="1"/>
  <c r="M126" i="17" s="1"/>
  <c r="M176" i="17" a="1"/>
  <c r="M176" i="17" s="1"/>
  <c r="M226" i="17" a="1"/>
  <c r="M226" i="17" s="1"/>
  <c r="M276" i="17" a="1"/>
  <c r="M276" i="17" s="1"/>
  <c r="M326" i="17" a="1"/>
  <c r="M326" i="17" s="1"/>
  <c r="M376" i="17" a="1"/>
  <c r="M376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27" i="17" a="1"/>
  <c r="M27" i="17" s="1"/>
  <c r="M77" i="17" a="1"/>
  <c r="M77" i="17" s="1"/>
  <c r="M127" i="17" a="1"/>
  <c r="M127" i="17" s="1"/>
  <c r="M177" i="17" a="1"/>
  <c r="M177" i="17" s="1"/>
  <c r="M227" i="17" a="1"/>
  <c r="M227" i="17" s="1"/>
  <c r="M277" i="17" a="1"/>
  <c r="M277" i="17" s="1"/>
  <c r="M327" i="17" a="1"/>
  <c r="M327" i="17" s="1"/>
  <c r="M377" i="17" a="1"/>
  <c r="M377" i="17" s="1"/>
  <c r="M552" i="17" a="1"/>
  <c r="M552" i="17" s="1"/>
  <c r="M553" i="17" a="1"/>
  <c r="M553" i="17" s="1"/>
  <c r="Y553" i="17" s="1"/>
  <c r="Q553" i="17" s="1"/>
  <c r="W553" i="17" s="1"/>
  <c r="M554" i="17" a="1"/>
  <c r="M554" i="17" s="1"/>
  <c r="M555" i="17" a="1"/>
  <c r="M555" i="17" s="1"/>
  <c r="M556" i="17" a="1"/>
  <c r="M556" i="17" s="1"/>
  <c r="M557" i="17" a="1"/>
  <c r="M557" i="17" s="1"/>
  <c r="M28" i="17" a="1"/>
  <c r="M28" i="17" s="1"/>
  <c r="M78" i="17" a="1"/>
  <c r="M78" i="17" s="1"/>
  <c r="M128" i="17" a="1"/>
  <c r="M128" i="17" s="1"/>
  <c r="M178" i="17" a="1"/>
  <c r="M178" i="17" s="1"/>
  <c r="M228" i="17" a="1"/>
  <c r="M228" i="17" s="1"/>
  <c r="M278" i="17" a="1"/>
  <c r="M278" i="17" s="1"/>
  <c r="M328" i="17" a="1"/>
  <c r="M328" i="17" s="1"/>
  <c r="M378" i="17" a="1"/>
  <c r="M378" i="17" s="1"/>
  <c r="M558" i="17" a="1"/>
  <c r="M558" i="17" s="1"/>
  <c r="M559" i="17" a="1"/>
  <c r="M559" i="17" s="1"/>
  <c r="M560" i="17" a="1"/>
  <c r="M560" i="17" s="1"/>
  <c r="M561" i="17" a="1"/>
  <c r="M561" i="17" s="1"/>
  <c r="M562" i="17" a="1"/>
  <c r="M562" i="17" s="1"/>
  <c r="M563" i="17" a="1"/>
  <c r="M563" i="17" s="1"/>
  <c r="M29" i="17" a="1"/>
  <c r="M29" i="17" s="1"/>
  <c r="M79" i="17" a="1"/>
  <c r="M79" i="17" s="1"/>
  <c r="M129" i="17" a="1"/>
  <c r="M129" i="17" s="1"/>
  <c r="M179" i="17" a="1"/>
  <c r="M179" i="17" s="1"/>
  <c r="M229" i="17" a="1"/>
  <c r="M229" i="17" s="1"/>
  <c r="M279" i="17" a="1"/>
  <c r="M279" i="17" s="1"/>
  <c r="Y279" i="17" s="1"/>
  <c r="Q279" i="17" s="1"/>
  <c r="W279" i="17" s="1"/>
  <c r="M329" i="17" a="1"/>
  <c r="M329" i="17" s="1"/>
  <c r="M379" i="17" a="1"/>
  <c r="M379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30" i="17" a="1"/>
  <c r="M30" i="17" s="1"/>
  <c r="M80" i="17" a="1"/>
  <c r="M80" i="17" s="1"/>
  <c r="M130" i="17" a="1"/>
  <c r="M130" i="17" s="1"/>
  <c r="M180" i="17" a="1"/>
  <c r="M180" i="17" s="1"/>
  <c r="M230" i="17" a="1"/>
  <c r="M230" i="17" s="1"/>
  <c r="M280" i="17" a="1"/>
  <c r="M280" i="17" s="1"/>
  <c r="M330" i="17" a="1"/>
  <c r="M330" i="17" s="1"/>
  <c r="M380" i="17" a="1"/>
  <c r="M380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31" i="17" a="1"/>
  <c r="M31" i="17" s="1"/>
  <c r="M81" i="17" a="1"/>
  <c r="M81" i="17" s="1"/>
  <c r="M131" i="17" a="1"/>
  <c r="M131" i="17" s="1"/>
  <c r="M181" i="17" a="1"/>
  <c r="M181" i="17" s="1"/>
  <c r="M231" i="17" a="1"/>
  <c r="M231" i="17" s="1"/>
  <c r="M281" i="17" a="1"/>
  <c r="M281" i="17" s="1"/>
  <c r="M331" i="17" a="1"/>
  <c r="M331" i="17" s="1"/>
  <c r="M381" i="17" a="1"/>
  <c r="M381" i="17" s="1"/>
  <c r="M576" i="17" a="1"/>
  <c r="M576" i="17" s="1"/>
  <c r="M577" i="17" a="1"/>
  <c r="M577" i="17" s="1"/>
  <c r="M578" i="17" a="1"/>
  <c r="M578" i="17" s="1"/>
  <c r="M579" i="17" a="1"/>
  <c r="M579" i="17" s="1"/>
  <c r="M580" i="17" a="1"/>
  <c r="M580" i="17" s="1"/>
  <c r="M581" i="17" a="1"/>
  <c r="M581" i="17" s="1"/>
  <c r="M32" i="17" a="1"/>
  <c r="M32" i="17" s="1"/>
  <c r="M82" i="17" a="1"/>
  <c r="M82" i="17" s="1"/>
  <c r="M132" i="17" a="1"/>
  <c r="M132" i="17" s="1"/>
  <c r="M182" i="17" a="1"/>
  <c r="M182" i="17" s="1"/>
  <c r="M232" i="17" a="1"/>
  <c r="M232" i="17" s="1"/>
  <c r="M282" i="17" a="1"/>
  <c r="M282" i="17" s="1"/>
  <c r="M332" i="17" a="1"/>
  <c r="M332" i="17" s="1"/>
  <c r="M382" i="17" a="1"/>
  <c r="M382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33" i="17" a="1"/>
  <c r="M33" i="17" s="1"/>
  <c r="M83" i="17" a="1"/>
  <c r="M83" i="17" s="1"/>
  <c r="M133" i="17" a="1"/>
  <c r="M133" i="17" s="1"/>
  <c r="M183" i="17" a="1"/>
  <c r="M183" i="17" s="1"/>
  <c r="M233" i="17" a="1"/>
  <c r="M233" i="17" s="1"/>
  <c r="M283" i="17" a="1"/>
  <c r="M283" i="17" s="1"/>
  <c r="M333" i="17" a="1"/>
  <c r="M333" i="17"/>
  <c r="M383" i="17" a="1"/>
  <c r="M383" i="17" s="1"/>
  <c r="M588" i="17" a="1"/>
  <c r="M588" i="17" s="1"/>
  <c r="M589" i="17" a="1"/>
  <c r="M589" i="17" s="1"/>
  <c r="M590" i="17" a="1"/>
  <c r="M590" i="17" s="1"/>
  <c r="M591" i="17" a="1"/>
  <c r="M591" i="17" s="1"/>
  <c r="M592" i="17" a="1"/>
  <c r="M592" i="17" s="1"/>
  <c r="M593" i="17" a="1"/>
  <c r="M593" i="17" s="1"/>
  <c r="Y593" i="17" s="1"/>
  <c r="Q593" i="17" s="1"/>
  <c r="W593" i="17" s="1"/>
  <c r="M34" i="17" a="1"/>
  <c r="M34" i="17" s="1"/>
  <c r="M84" i="17" a="1"/>
  <c r="M84" i="17" s="1"/>
  <c r="M134" i="17" a="1"/>
  <c r="M134" i="17" s="1"/>
  <c r="M184" i="17" a="1"/>
  <c r="M184" i="17" s="1"/>
  <c r="M234" i="17" a="1"/>
  <c r="M234" i="17" s="1"/>
  <c r="M284" i="17" a="1"/>
  <c r="M284" i="17" s="1"/>
  <c r="M334" i="17" a="1"/>
  <c r="M334" i="17" s="1"/>
  <c r="M384" i="17" a="1"/>
  <c r="M384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35" i="17" a="1"/>
  <c r="M35" i="17" s="1"/>
  <c r="M85" i="17" a="1"/>
  <c r="M85" i="17" s="1"/>
  <c r="M135" i="17" a="1"/>
  <c r="M135" i="17" s="1"/>
  <c r="Y135" i="17" s="1"/>
  <c r="Q135" i="17" s="1"/>
  <c r="W135" i="17" s="1"/>
  <c r="M185" i="17" a="1"/>
  <c r="M185" i="17" s="1"/>
  <c r="M235" i="17" a="1"/>
  <c r="M235" i="17" s="1"/>
  <c r="M285" i="17" a="1"/>
  <c r="M285" i="17" s="1"/>
  <c r="M335" i="17" a="1"/>
  <c r="M335" i="17" s="1"/>
  <c r="M385" i="17" a="1"/>
  <c r="M385" i="17" s="1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36" i="17" a="1"/>
  <c r="M36" i="17" s="1"/>
  <c r="M86" i="17" a="1"/>
  <c r="M86" i="17" s="1"/>
  <c r="M136" i="17" a="1"/>
  <c r="M136" i="17" s="1"/>
  <c r="M186" i="17" a="1"/>
  <c r="M186" i="17" s="1"/>
  <c r="M236" i="17" a="1"/>
  <c r="M236" i="17" s="1"/>
  <c r="M286" i="17" a="1"/>
  <c r="M286" i="17" s="1"/>
  <c r="M336" i="17" a="1"/>
  <c r="M336" i="17" s="1"/>
  <c r="M386" i="17" a="1"/>
  <c r="M386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37" i="17" a="1"/>
  <c r="M37" i="17" s="1"/>
  <c r="M87" i="17" a="1"/>
  <c r="M87" i="17" s="1"/>
  <c r="M137" i="17" a="1"/>
  <c r="M137" i="17" s="1"/>
  <c r="M187" i="17" a="1"/>
  <c r="M187" i="17" s="1"/>
  <c r="M237" i="17" a="1"/>
  <c r="M237" i="17" s="1"/>
  <c r="M287" i="17" a="1"/>
  <c r="M287" i="17" s="1"/>
  <c r="M337" i="17" a="1"/>
  <c r="M337" i="17" s="1"/>
  <c r="M387" i="17" a="1"/>
  <c r="M387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38" i="17" a="1"/>
  <c r="M38" i="17"/>
  <c r="M88" i="17" a="1"/>
  <c r="M88" i="17" s="1"/>
  <c r="M138" i="17" a="1"/>
  <c r="M138" i="17" s="1"/>
  <c r="M188" i="17" a="1"/>
  <c r="M188" i="17" s="1"/>
  <c r="M238" i="17" a="1"/>
  <c r="M238" i="17" s="1"/>
  <c r="M288" i="17" a="1"/>
  <c r="M288" i="17" s="1"/>
  <c r="M338" i="17" a="1"/>
  <c r="M338" i="17" s="1"/>
  <c r="M388" i="17" a="1"/>
  <c r="M388" i="17"/>
  <c r="M618" i="17" a="1"/>
  <c r="M618" i="17" s="1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 s="1"/>
  <c r="M39" i="17" a="1"/>
  <c r="M39" i="17" s="1"/>
  <c r="M89" i="17" a="1"/>
  <c r="M89" i="17" s="1"/>
  <c r="M139" i="17" a="1"/>
  <c r="M139" i="17" s="1"/>
  <c r="M189" i="17" a="1"/>
  <c r="M189" i="17" s="1"/>
  <c r="M239" i="17" a="1"/>
  <c r="M239" i="17" s="1"/>
  <c r="M289" i="17" a="1"/>
  <c r="M289" i="17" s="1"/>
  <c r="M339" i="17" a="1"/>
  <c r="M339" i="17" s="1"/>
  <c r="M389" i="17" a="1"/>
  <c r="M389" i="17" s="1"/>
  <c r="M624" i="17" a="1"/>
  <c r="M62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40" i="17" a="1"/>
  <c r="M40" i="17" s="1"/>
  <c r="M90" i="17" a="1"/>
  <c r="M90" i="17" s="1"/>
  <c r="M140" i="17" a="1"/>
  <c r="M140" i="17" s="1"/>
  <c r="M190" i="17" a="1"/>
  <c r="M190" i="17" s="1"/>
  <c r="M240" i="17" a="1"/>
  <c r="M240" i="17" s="1"/>
  <c r="M290" i="17" a="1"/>
  <c r="M290" i="17" s="1"/>
  <c r="M340" i="17" a="1"/>
  <c r="M340" i="17" s="1"/>
  <c r="M390" i="17" a="1"/>
  <c r="M390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 s="1"/>
  <c r="M41" i="17" a="1"/>
  <c r="M41" i="17" s="1"/>
  <c r="M91" i="17" a="1"/>
  <c r="M91" i="17" s="1"/>
  <c r="M141" i="17" a="1"/>
  <c r="M141" i="17" s="1"/>
  <c r="M191" i="17" a="1"/>
  <c r="M191" i="17" s="1"/>
  <c r="M241" i="17" a="1"/>
  <c r="M241" i="17" s="1"/>
  <c r="M291" i="17" a="1"/>
  <c r="M291" i="17" s="1"/>
  <c r="M341" i="17" a="1"/>
  <c r="M341" i="17" s="1"/>
  <c r="M391" i="17" a="1"/>
  <c r="M39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42" i="17" a="1"/>
  <c r="M42" i="17" s="1"/>
  <c r="M92" i="17" a="1"/>
  <c r="M92" i="17" s="1"/>
  <c r="M142" i="17" a="1"/>
  <c r="M142" i="17" s="1"/>
  <c r="M192" i="17" a="1"/>
  <c r="M192" i="17" s="1"/>
  <c r="M242" i="17" a="1"/>
  <c r="M242" i="17" s="1"/>
  <c r="M292" i="17" a="1"/>
  <c r="M292" i="17" s="1"/>
  <c r="M342" i="17" a="1"/>
  <c r="M342" i="17" s="1"/>
  <c r="M392" i="17" a="1"/>
  <c r="M392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43" i="17" a="1"/>
  <c r="M43" i="17" s="1"/>
  <c r="M93" i="17" a="1"/>
  <c r="M93" i="17"/>
  <c r="M143" i="17" a="1"/>
  <c r="M143" i="17" s="1"/>
  <c r="M193" i="17" a="1"/>
  <c r="M193" i="17" s="1"/>
  <c r="M243" i="17" a="1"/>
  <c r="M243" i="17" s="1"/>
  <c r="M293" i="17" a="1"/>
  <c r="M293" i="17" s="1"/>
  <c r="M343" i="17" a="1"/>
  <c r="M343" i="17" s="1"/>
  <c r="M393" i="17" a="1"/>
  <c r="M393" i="17" s="1"/>
  <c r="M648" i="17" a="1"/>
  <c r="M648" i="17" s="1"/>
  <c r="M649" i="17" a="1"/>
  <c r="M649" i="17"/>
  <c r="M650" i="17" a="1"/>
  <c r="M650" i="17" s="1"/>
  <c r="M651" i="17" a="1"/>
  <c r="M651" i="17" s="1"/>
  <c r="M652" i="17" a="1"/>
  <c r="M652" i="17" s="1"/>
  <c r="M653" i="17" a="1"/>
  <c r="M653" i="17" s="1"/>
  <c r="M44" i="17" a="1"/>
  <c r="M44" i="17" s="1"/>
  <c r="M94" i="17" a="1"/>
  <c r="M94" i="17" s="1"/>
  <c r="M144" i="17" a="1"/>
  <c r="M144" i="17" s="1"/>
  <c r="M194" i="17" a="1"/>
  <c r="M194" i="17" s="1"/>
  <c r="M244" i="17" a="1"/>
  <c r="M244" i="17" s="1"/>
  <c r="M294" i="17" a="1"/>
  <c r="M294" i="17" s="1"/>
  <c r="M344" i="17" a="1"/>
  <c r="M344" i="17" s="1"/>
  <c r="M394" i="17" a="1"/>
  <c r="M394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 s="1"/>
  <c r="M659" i="17" a="1"/>
  <c r="M659" i="17" s="1"/>
  <c r="M45" i="17" a="1"/>
  <c r="M45" i="17" s="1"/>
  <c r="M95" i="17" a="1"/>
  <c r="M95" i="17" s="1"/>
  <c r="M145" i="17" a="1"/>
  <c r="M145" i="17" s="1"/>
  <c r="M195" i="17" a="1"/>
  <c r="M195" i="17" s="1"/>
  <c r="M245" i="17" a="1"/>
  <c r="M245" i="17" s="1"/>
  <c r="M295" i="17" a="1"/>
  <c r="M295" i="17" s="1"/>
  <c r="M345" i="17" a="1"/>
  <c r="M345" i="17"/>
  <c r="M395" i="17" a="1"/>
  <c r="M395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46" i="17" a="1"/>
  <c r="M46" i="17" s="1"/>
  <c r="M96" i="17" a="1"/>
  <c r="M96" i="17" s="1"/>
  <c r="M146" i="17" a="1"/>
  <c r="M146" i="17" s="1"/>
  <c r="M196" i="17" a="1"/>
  <c r="M196" i="17" s="1"/>
  <c r="M246" i="17" a="1"/>
  <c r="M246" i="17" s="1"/>
  <c r="M296" i="17" a="1"/>
  <c r="M296" i="17" s="1"/>
  <c r="M346" i="17" a="1"/>
  <c r="M346" i="17" s="1"/>
  <c r="M396" i="17" a="1"/>
  <c r="M396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47" i="17" a="1"/>
  <c r="M47" i="17" s="1"/>
  <c r="M97" i="17" a="1"/>
  <c r="M97" i="17" s="1"/>
  <c r="M147" i="17" a="1"/>
  <c r="M147" i="17" s="1"/>
  <c r="M197" i="17" a="1"/>
  <c r="M197" i="17" s="1"/>
  <c r="M247" i="17" a="1"/>
  <c r="M247" i="17" s="1"/>
  <c r="M297" i="17" a="1"/>
  <c r="M297" i="17" s="1"/>
  <c r="M347" i="17" a="1"/>
  <c r="M347" i="17" s="1"/>
  <c r="M397" i="17" a="1"/>
  <c r="M397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48" i="17" a="1"/>
  <c r="M48" i="17" s="1"/>
  <c r="M98" i="17" a="1"/>
  <c r="M98" i="17" s="1"/>
  <c r="M148" i="17" a="1"/>
  <c r="M148" i="17" s="1"/>
  <c r="M198" i="17" a="1"/>
  <c r="M198" i="17" s="1"/>
  <c r="M248" i="17" a="1"/>
  <c r="M248" i="17" s="1"/>
  <c r="M298" i="17" a="1"/>
  <c r="M298" i="17" s="1"/>
  <c r="M348" i="17" a="1"/>
  <c r="M348" i="17" s="1"/>
  <c r="M398" i="17" a="1"/>
  <c r="M398" i="17" s="1"/>
  <c r="M678" i="17" a="1"/>
  <c r="M678" i="17" s="1"/>
  <c r="M679" i="17" a="1"/>
  <c r="M679" i="17" s="1"/>
  <c r="M680" i="17" a="1"/>
  <c r="M680" i="17" s="1"/>
  <c r="M681" i="17" a="1"/>
  <c r="M681" i="17" s="1"/>
  <c r="M682" i="17" a="1"/>
  <c r="M682" i="17" s="1"/>
  <c r="M683" i="17" a="1"/>
  <c r="M683" i="17" s="1"/>
  <c r="M49" i="17" a="1"/>
  <c r="M49" i="17" s="1"/>
  <c r="M99" i="17" a="1"/>
  <c r="M99" i="17" s="1"/>
  <c r="M149" i="17" a="1"/>
  <c r="M149" i="17" s="1"/>
  <c r="M199" i="17" a="1"/>
  <c r="M199" i="17" s="1"/>
  <c r="M249" i="17" a="1"/>
  <c r="M249" i="17" s="1"/>
  <c r="M299" i="17" a="1"/>
  <c r="M299" i="17" s="1"/>
  <c r="M349" i="17" a="1"/>
  <c r="M349" i="17" s="1"/>
  <c r="M399" i="17" a="1"/>
  <c r="M399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50" i="17" a="1"/>
  <c r="M50" i="17" s="1"/>
  <c r="M100" i="17" a="1"/>
  <c r="M100" i="17" s="1"/>
  <c r="M150" i="17" a="1"/>
  <c r="M150" i="17" s="1"/>
  <c r="M200" i="17" a="1"/>
  <c r="M200" i="17" s="1"/>
  <c r="M250" i="17" a="1"/>
  <c r="M250" i="17" s="1"/>
  <c r="M300" i="17" a="1"/>
  <c r="M300" i="17" s="1"/>
  <c r="M350" i="17" a="1"/>
  <c r="M350" i="17" s="1"/>
  <c r="M400" i="17" a="1"/>
  <c r="M400" i="17" s="1"/>
  <c r="M690" i="17" a="1"/>
  <c r="M690" i="17" s="1"/>
  <c r="M691" i="17" a="1"/>
  <c r="M691" i="17" s="1"/>
  <c r="M692" i="17" a="1"/>
  <c r="M692" i="17" s="1"/>
  <c r="M693" i="17" a="1"/>
  <c r="M693" i="17"/>
  <c r="M694" i="17" a="1"/>
  <c r="M694" i="17" s="1"/>
  <c r="M695" i="17" a="1"/>
  <c r="M695" i="17" s="1"/>
  <c r="M51" i="17" a="1"/>
  <c r="M51" i="17" s="1"/>
  <c r="M101" i="17" a="1"/>
  <c r="M101" i="17" s="1"/>
  <c r="M151" i="17" a="1"/>
  <c r="M151" i="17" s="1"/>
  <c r="M201" i="17" a="1"/>
  <c r="M201" i="17" s="1"/>
  <c r="M251" i="17" a="1"/>
  <c r="M251" i="17" s="1"/>
  <c r="M301" i="17" a="1"/>
  <c r="M301" i="17" s="1"/>
  <c r="M351" i="17" a="1"/>
  <c r="M351" i="17" s="1"/>
  <c r="M401" i="17" a="1"/>
  <c r="M401" i="17" s="1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N2" i="17" a="1"/>
  <c r="N2" i="17" s="1"/>
  <c r="N52" i="17" a="1"/>
  <c r="N52" i="17" s="1"/>
  <c r="N152" i="17" a="1"/>
  <c r="N152" i="17" s="1"/>
  <c r="N202" i="17" a="1"/>
  <c r="N202" i="17" s="1"/>
  <c r="N252" i="17" a="1"/>
  <c r="N252" i="17" s="1"/>
  <c r="N302" i="17" a="1"/>
  <c r="N302" i="17" s="1"/>
  <c r="N352" i="17" a="1"/>
  <c r="N352" i="17" s="1"/>
  <c r="N402" i="17" a="1"/>
  <c r="N402" i="17" s="1"/>
  <c r="N403" i="17" a="1"/>
  <c r="N403" i="17" s="1"/>
  <c r="N404" i="17" a="1"/>
  <c r="N404" i="17" s="1"/>
  <c r="N405" i="17" a="1"/>
  <c r="N405" i="17" s="1"/>
  <c r="N406" i="17" a="1"/>
  <c r="N406" i="17" s="1"/>
  <c r="N407" i="17" a="1"/>
  <c r="N407" i="17" s="1"/>
  <c r="N3" i="17" a="1"/>
  <c r="N3" i="17" s="1"/>
  <c r="N53" i="17" a="1"/>
  <c r="N53" i="17" s="1"/>
  <c r="N103" i="17" a="1"/>
  <c r="N103" i="17" s="1"/>
  <c r="N153" i="17" a="1"/>
  <c r="N153" i="17" s="1"/>
  <c r="N203" i="17" a="1"/>
  <c r="N203" i="17" s="1"/>
  <c r="N253" i="17" a="1"/>
  <c r="N253" i="17" s="1"/>
  <c r="N353" i="17" a="1"/>
  <c r="N353" i="17" s="1"/>
  <c r="N408" i="17" a="1"/>
  <c r="N408" i="17" s="1"/>
  <c r="N409" i="17" a="1"/>
  <c r="N409" i="17" s="1"/>
  <c r="N410" i="17" a="1"/>
  <c r="N410" i="17" s="1"/>
  <c r="N411" i="17" a="1"/>
  <c r="N411" i="17" s="1"/>
  <c r="N412" i="17" a="1"/>
  <c r="N412" i="17" s="1"/>
  <c r="N413" i="17" a="1"/>
  <c r="N413" i="17" s="1"/>
  <c r="N4" i="17" a="1"/>
  <c r="N4" i="17" s="1"/>
  <c r="N54" i="17" a="1"/>
  <c r="N54" i="17" s="1"/>
  <c r="N104" i="17" a="1"/>
  <c r="N104" i="17" s="1"/>
  <c r="N154" i="17" a="1"/>
  <c r="N154" i="17" s="1"/>
  <c r="N204" i="17" a="1"/>
  <c r="N204" i="17" s="1"/>
  <c r="N254" i="17" a="1"/>
  <c r="N254" i="17" s="1"/>
  <c r="N304" i="17" a="1"/>
  <c r="N304" i="17" s="1"/>
  <c r="N354" i="17" a="1"/>
  <c r="N354" i="17" s="1"/>
  <c r="N414" i="17" a="1"/>
  <c r="N414" i="17" s="1"/>
  <c r="N415" i="17" a="1"/>
  <c r="N415" i="17" s="1"/>
  <c r="N416" i="17" a="1"/>
  <c r="N416" i="17" s="1"/>
  <c r="N417" i="17" a="1"/>
  <c r="N417" i="17" s="1"/>
  <c r="N418" i="17" a="1"/>
  <c r="N418" i="17" s="1"/>
  <c r="N419" i="17" a="1"/>
  <c r="N419" i="17" s="1"/>
  <c r="N5" i="17" a="1"/>
  <c r="N5" i="17" s="1"/>
  <c r="N55" i="17" a="1"/>
  <c r="N55" i="17" s="1"/>
  <c r="N105" i="17" a="1"/>
  <c r="N105" i="17" s="1"/>
  <c r="N155" i="17" a="1"/>
  <c r="N155" i="17" s="1"/>
  <c r="N205" i="17" a="1"/>
  <c r="N205" i="17" s="1"/>
  <c r="N255" i="17" a="1"/>
  <c r="N255" i="17" s="1"/>
  <c r="N305" i="17" a="1"/>
  <c r="N305" i="17" s="1"/>
  <c r="N355" i="17" a="1"/>
  <c r="N355" i="17" s="1"/>
  <c r="N420" i="17" a="1"/>
  <c r="N420" i="17"/>
  <c r="N421" i="17" a="1"/>
  <c r="N421" i="17" s="1"/>
  <c r="N422" i="17" a="1"/>
  <c r="N422" i="17" s="1"/>
  <c r="N423" i="17" a="1"/>
  <c r="N423" i="17" s="1"/>
  <c r="N424" i="17" a="1"/>
  <c r="N424" i="17" s="1"/>
  <c r="N425" i="17" a="1"/>
  <c r="N425" i="17" s="1"/>
  <c r="N6" i="17" a="1"/>
  <c r="N6" i="17" s="1"/>
  <c r="N56" i="17" a="1"/>
  <c r="N56" i="17" s="1"/>
  <c r="N106" i="17" a="1"/>
  <c r="N106" i="17" s="1"/>
  <c r="N156" i="17" a="1"/>
  <c r="N156" i="17" s="1"/>
  <c r="N206" i="17" a="1"/>
  <c r="N206" i="17" s="1"/>
  <c r="N256" i="17" a="1"/>
  <c r="N256" i="17" s="1"/>
  <c r="N306" i="17" a="1"/>
  <c r="N306" i="17" s="1"/>
  <c r="N356" i="17" a="1"/>
  <c r="N356" i="17" s="1"/>
  <c r="N426" i="17" a="1"/>
  <c r="N426" i="17" s="1"/>
  <c r="N427" i="17" a="1"/>
  <c r="N427" i="17" s="1"/>
  <c r="N428" i="17" a="1"/>
  <c r="N428" i="17" s="1"/>
  <c r="N429" i="17" a="1"/>
  <c r="N429" i="17" s="1"/>
  <c r="N430" i="17" a="1"/>
  <c r="N430" i="17" s="1"/>
  <c r="N431" i="17" a="1"/>
  <c r="N431" i="17" s="1"/>
  <c r="N7" i="17" a="1"/>
  <c r="N7" i="17" s="1"/>
  <c r="N57" i="17" a="1"/>
  <c r="N57" i="17" s="1"/>
  <c r="N107" i="17" a="1"/>
  <c r="N107" i="17" s="1"/>
  <c r="N157" i="17" a="1"/>
  <c r="N157" i="17" s="1"/>
  <c r="N207" i="17" a="1"/>
  <c r="N207" i="17" s="1"/>
  <c r="N257" i="17" a="1"/>
  <c r="N257" i="17" s="1"/>
  <c r="N307" i="17" a="1"/>
  <c r="N307" i="17" s="1"/>
  <c r="N357" i="17" a="1"/>
  <c r="N357" i="17" s="1"/>
  <c r="N432" i="17" a="1"/>
  <c r="N432" i="17" s="1"/>
  <c r="N433" i="17" a="1"/>
  <c r="N433" i="17" s="1"/>
  <c r="N434" i="17" a="1"/>
  <c r="N434" i="17" s="1"/>
  <c r="N435" i="17" a="1"/>
  <c r="N435" i="17" s="1"/>
  <c r="N436" i="17" a="1"/>
  <c r="N436" i="17" s="1"/>
  <c r="N437" i="17" a="1"/>
  <c r="N437" i="17" s="1"/>
  <c r="N8" i="17" a="1"/>
  <c r="N8" i="17" s="1"/>
  <c r="N58" i="17" a="1"/>
  <c r="N58" i="17" s="1"/>
  <c r="N108" i="17" a="1"/>
  <c r="N108" i="17" s="1"/>
  <c r="N158" i="17" a="1"/>
  <c r="N158" i="17" s="1"/>
  <c r="N208" i="17" a="1"/>
  <c r="N208" i="17" s="1"/>
  <c r="N258" i="17" a="1"/>
  <c r="N258" i="17" s="1"/>
  <c r="N308" i="17" a="1"/>
  <c r="N308" i="17" s="1"/>
  <c r="N358" i="17" a="1"/>
  <c r="N358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9" i="17" a="1"/>
  <c r="N9" i="17" s="1"/>
  <c r="N59" i="17" a="1"/>
  <c r="N59" i="17" s="1"/>
  <c r="N109" i="17" a="1"/>
  <c r="N109" i="17" s="1"/>
  <c r="N159" i="17" a="1"/>
  <c r="N159" i="17" s="1"/>
  <c r="N209" i="17" a="1"/>
  <c r="N209" i="17" s="1"/>
  <c r="N259" i="17" a="1"/>
  <c r="N259" i="17" s="1"/>
  <c r="N309" i="17" a="1"/>
  <c r="N309" i="17" s="1"/>
  <c r="N359" i="17" a="1"/>
  <c r="N359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10" i="17" a="1"/>
  <c r="N10" i="17" s="1"/>
  <c r="N60" i="17" a="1"/>
  <c r="N60" i="17" s="1"/>
  <c r="N110" i="17" a="1"/>
  <c r="N110" i="17" s="1"/>
  <c r="N160" i="17" a="1"/>
  <c r="N160" i="17" s="1"/>
  <c r="N210" i="17" a="1"/>
  <c r="N210" i="17" s="1"/>
  <c r="N260" i="17" a="1"/>
  <c r="N260" i="17" s="1"/>
  <c r="N310" i="17" a="1"/>
  <c r="N310" i="17" s="1"/>
  <c r="N360" i="17" a="1"/>
  <c r="N360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/>
  <c r="N455" i="17" a="1"/>
  <c r="N455" i="17" s="1"/>
  <c r="N11" i="17" a="1"/>
  <c r="N11" i="17" s="1"/>
  <c r="N61" i="17" a="1"/>
  <c r="N61" i="17" s="1"/>
  <c r="N111" i="17" a="1"/>
  <c r="N111" i="17" s="1"/>
  <c r="N161" i="17" a="1"/>
  <c r="N161" i="17" s="1"/>
  <c r="N211" i="17" a="1"/>
  <c r="N211" i="17" s="1"/>
  <c r="N261" i="17" a="1"/>
  <c r="N261" i="17" s="1"/>
  <c r="N311" i="17" a="1"/>
  <c r="N311" i="17" s="1"/>
  <c r="N361" i="17" a="1"/>
  <c r="N36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12" i="17" a="1"/>
  <c r="N12" i="17" s="1"/>
  <c r="N62" i="17" a="1"/>
  <c r="N62" i="17" s="1"/>
  <c r="N112" i="17" a="1"/>
  <c r="N112" i="17" s="1"/>
  <c r="N162" i="17" a="1"/>
  <c r="N162" i="17" s="1"/>
  <c r="N212" i="17" a="1"/>
  <c r="N212" i="17" s="1"/>
  <c r="N262" i="17" a="1"/>
  <c r="N262" i="17" s="1"/>
  <c r="N312" i="17" a="1"/>
  <c r="N312" i="17" s="1"/>
  <c r="N362" i="17" a="1"/>
  <c r="N362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13" i="17" a="1"/>
  <c r="N13" i="17"/>
  <c r="N63" i="17" a="1"/>
  <c r="N63" i="17" s="1"/>
  <c r="N113" i="17" a="1"/>
  <c r="N113" i="17" s="1"/>
  <c r="N163" i="17" a="1"/>
  <c r="N163" i="17" s="1"/>
  <c r="N213" i="17" a="1"/>
  <c r="N213" i="17" s="1"/>
  <c r="N263" i="17" a="1"/>
  <c r="N263" i="17" s="1"/>
  <c r="N313" i="17" a="1"/>
  <c r="N313" i="17" s="1"/>
  <c r="N363" i="17" a="1"/>
  <c r="N363" i="17" s="1"/>
  <c r="N468" i="17" a="1"/>
  <c r="N468" i="17" s="1"/>
  <c r="N469" i="17" a="1"/>
  <c r="N469" i="17" s="1"/>
  <c r="N470" i="17" a="1"/>
  <c r="N470" i="17" s="1"/>
  <c r="N471" i="17" a="1"/>
  <c r="N471" i="17"/>
  <c r="N472" i="17" a="1"/>
  <c r="N472" i="17" s="1"/>
  <c r="N473" i="17" a="1"/>
  <c r="N473" i="17" s="1"/>
  <c r="N14" i="17" a="1"/>
  <c r="N14" i="17" s="1"/>
  <c r="N64" i="17" a="1"/>
  <c r="N64" i="17" s="1"/>
  <c r="N114" i="17" a="1"/>
  <c r="N114" i="17" s="1"/>
  <c r="N164" i="17" a="1"/>
  <c r="N164" i="17" s="1"/>
  <c r="N214" i="17" a="1"/>
  <c r="N214" i="17" s="1"/>
  <c r="N264" i="17" a="1"/>
  <c r="N264" i="17" s="1"/>
  <c r="N314" i="17" a="1"/>
  <c r="N314" i="17" s="1"/>
  <c r="N364" i="17" a="1"/>
  <c r="N364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 s="1"/>
  <c r="N479" i="17" a="1"/>
  <c r="N479" i="17" s="1"/>
  <c r="N15" i="17" a="1"/>
  <c r="N15" i="17" s="1"/>
  <c r="N65" i="17" a="1"/>
  <c r="N65" i="17" s="1"/>
  <c r="N115" i="17" a="1"/>
  <c r="N115" i="17" s="1"/>
  <c r="N165" i="17" a="1"/>
  <c r="N165" i="17" s="1"/>
  <c r="N215" i="17" a="1"/>
  <c r="N215" i="17" s="1"/>
  <c r="N265" i="17" a="1"/>
  <c r="N265" i="17" s="1"/>
  <c r="N315" i="17" a="1"/>
  <c r="N315" i="17" s="1"/>
  <c r="N365" i="17" a="1"/>
  <c r="N365" i="17" s="1"/>
  <c r="N480" i="17" a="1"/>
  <c r="N480" i="17" s="1"/>
  <c r="N481" i="17" a="1"/>
  <c r="N481" i="17" s="1"/>
  <c r="N482" i="17" a="1"/>
  <c r="N482" i="17" s="1"/>
  <c r="N483" i="17" a="1"/>
  <c r="N483" i="17" s="1"/>
  <c r="N484" i="17" a="1"/>
  <c r="N484" i="17" s="1"/>
  <c r="N485" i="17" a="1"/>
  <c r="N485" i="17" s="1"/>
  <c r="N16" i="17" a="1"/>
  <c r="N16" i="17" s="1"/>
  <c r="N66" i="17" a="1"/>
  <c r="N66" i="17" s="1"/>
  <c r="N116" i="17" a="1"/>
  <c r="N116" i="17" s="1"/>
  <c r="N166" i="17" a="1"/>
  <c r="N166" i="17"/>
  <c r="N216" i="17" a="1"/>
  <c r="N216" i="17" s="1"/>
  <c r="N266" i="17" a="1"/>
  <c r="N266" i="17" s="1"/>
  <c r="N316" i="17" a="1"/>
  <c r="N316" i="17" s="1"/>
  <c r="N366" i="17" a="1"/>
  <c r="N366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 s="1"/>
  <c r="N17" i="17" a="1"/>
  <c r="N17" i="17" s="1"/>
  <c r="N67" i="17" a="1"/>
  <c r="N67" i="17" s="1"/>
  <c r="N117" i="17" a="1"/>
  <c r="N117" i="17" s="1"/>
  <c r="N167" i="17" a="1"/>
  <c r="N167" i="17" s="1"/>
  <c r="N217" i="17" a="1"/>
  <c r="N217" i="17" s="1"/>
  <c r="N267" i="17" a="1"/>
  <c r="N267" i="17" s="1"/>
  <c r="N317" i="17" a="1"/>
  <c r="N317" i="17" s="1"/>
  <c r="N367" i="17" a="1"/>
  <c r="N367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/>
  <c r="N497" i="17" a="1"/>
  <c r="N497" i="17" s="1"/>
  <c r="N18" i="17" a="1"/>
  <c r="N18" i="17" s="1"/>
  <c r="N68" i="17" a="1"/>
  <c r="N68" i="17" s="1"/>
  <c r="N118" i="17" a="1"/>
  <c r="N118" i="17" s="1"/>
  <c r="N168" i="17" a="1"/>
  <c r="N168" i="17" s="1"/>
  <c r="N218" i="17" a="1"/>
  <c r="N218" i="17" s="1"/>
  <c r="N268" i="17" a="1"/>
  <c r="N268" i="17" s="1"/>
  <c r="N318" i="17" a="1"/>
  <c r="N318" i="17" s="1"/>
  <c r="N368" i="17" a="1"/>
  <c r="N368" i="17" s="1"/>
  <c r="N498" i="17" a="1"/>
  <c r="N498" i="17" s="1"/>
  <c r="N499" i="17" a="1"/>
  <c r="N499" i="17" s="1"/>
  <c r="N500" i="17" a="1"/>
  <c r="N500" i="17" s="1"/>
  <c r="N501" i="17" a="1"/>
  <c r="N501" i="17"/>
  <c r="N502" i="17" a="1"/>
  <c r="N502" i="17" s="1"/>
  <c r="N503" i="17" a="1"/>
  <c r="N503" i="17"/>
  <c r="N19" i="17" a="1"/>
  <c r="N19" i="17"/>
  <c r="N69" i="17" a="1"/>
  <c r="N69" i="17" s="1"/>
  <c r="N119" i="17" a="1"/>
  <c r="N119" i="17" s="1"/>
  <c r="N169" i="17" a="1"/>
  <c r="N169" i="17" s="1"/>
  <c r="N219" i="17" a="1"/>
  <c r="N219" i="17" s="1"/>
  <c r="N269" i="17" a="1"/>
  <c r="N269" i="17" s="1"/>
  <c r="N319" i="17" a="1"/>
  <c r="N319" i="17" s="1"/>
  <c r="N369" i="17" a="1"/>
  <c r="N369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 s="1"/>
  <c r="N509" i="17" a="1"/>
  <c r="N509" i="17" s="1"/>
  <c r="N20" i="17" a="1"/>
  <c r="N20" i="17"/>
  <c r="N70" i="17" a="1"/>
  <c r="N70" i="17"/>
  <c r="N120" i="17" a="1"/>
  <c r="N120" i="17" s="1"/>
  <c r="N170" i="17" a="1"/>
  <c r="N170" i="17" s="1"/>
  <c r="N220" i="17" a="1"/>
  <c r="N220" i="17"/>
  <c r="N270" i="17" a="1"/>
  <c r="N270" i="17" s="1"/>
  <c r="N320" i="17" a="1"/>
  <c r="N320" i="17" s="1"/>
  <c r="N370" i="17" a="1"/>
  <c r="N370" i="17" s="1"/>
  <c r="N510" i="17" a="1"/>
  <c r="N510" i="17" s="1"/>
  <c r="N511" i="17" a="1"/>
  <c r="N511" i="17" s="1"/>
  <c r="N512" i="17" a="1"/>
  <c r="N512" i="17" s="1"/>
  <c r="N513" i="17" a="1"/>
  <c r="N513" i="17" s="1"/>
  <c r="N514" i="17" a="1"/>
  <c r="N514" i="17" s="1"/>
  <c r="N515" i="17" a="1"/>
  <c r="N515" i="17" s="1"/>
  <c r="N21" i="17" a="1"/>
  <c r="N21" i="17" s="1"/>
  <c r="N71" i="17" a="1"/>
  <c r="N71" i="17" s="1"/>
  <c r="N121" i="17" a="1"/>
  <c r="N121" i="17" s="1"/>
  <c r="N171" i="17" a="1"/>
  <c r="N171" i="17" s="1"/>
  <c r="N221" i="17" a="1"/>
  <c r="N221" i="17" s="1"/>
  <c r="N271" i="17" a="1"/>
  <c r="N271" i="17"/>
  <c r="N321" i="17" a="1"/>
  <c r="N321" i="17" s="1"/>
  <c r="N371" i="17" a="1"/>
  <c r="N371" i="17" s="1"/>
  <c r="N516" i="17" a="1"/>
  <c r="N516" i="17" s="1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22" i="17" a="1"/>
  <c r="N22" i="17" s="1"/>
  <c r="N72" i="17" a="1"/>
  <c r="N72" i="17" s="1"/>
  <c r="N122" i="17" a="1"/>
  <c r="N122" i="17" s="1"/>
  <c r="N172" i="17" a="1"/>
  <c r="N172" i="17" s="1"/>
  <c r="N222" i="17" a="1"/>
  <c r="N222" i="17" s="1"/>
  <c r="N272" i="17" a="1"/>
  <c r="N272" i="17" s="1"/>
  <c r="N322" i="17" a="1"/>
  <c r="N322" i="17" s="1"/>
  <c r="N372" i="17" a="1"/>
  <c r="N372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/>
  <c r="N23" i="17" a="1"/>
  <c r="N23" i="17" s="1"/>
  <c r="N73" i="17" a="1"/>
  <c r="N73" i="17" s="1"/>
  <c r="N123" i="17" a="1"/>
  <c r="N123" i="17" s="1"/>
  <c r="N173" i="17" a="1"/>
  <c r="N173" i="17" s="1"/>
  <c r="N223" i="17" a="1"/>
  <c r="N223" i="17" s="1"/>
  <c r="N273" i="17" a="1"/>
  <c r="N273" i="17" s="1"/>
  <c r="N323" i="17" a="1"/>
  <c r="N323" i="17" s="1"/>
  <c r="N373" i="17" a="1"/>
  <c r="N373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24" i="17" a="1"/>
  <c r="N24" i="17" s="1"/>
  <c r="N74" i="17" a="1"/>
  <c r="N74" i="17" s="1"/>
  <c r="N124" i="17" a="1"/>
  <c r="N124" i="17" s="1"/>
  <c r="N174" i="17" a="1"/>
  <c r="N174" i="17"/>
  <c r="N224" i="17" a="1"/>
  <c r="N224" i="17" s="1"/>
  <c r="N274" i="17" a="1"/>
  <c r="N274" i="17" s="1"/>
  <c r="N324" i="17" a="1"/>
  <c r="N324" i="17" s="1"/>
  <c r="N374" i="17" a="1"/>
  <c r="N374" i="17" s="1"/>
  <c r="N534" i="17" a="1"/>
  <c r="N534" i="17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25" i="17" a="1"/>
  <c r="N25" i="17" s="1"/>
  <c r="N75" i="17" a="1"/>
  <c r="N75" i="17" s="1"/>
  <c r="N125" i="17" a="1"/>
  <c r="N125" i="17" s="1"/>
  <c r="N175" i="17" a="1"/>
  <c r="N175" i="17" s="1"/>
  <c r="N225" i="17" a="1"/>
  <c r="N225" i="17"/>
  <c r="N275" i="17" a="1"/>
  <c r="N275" i="17" s="1"/>
  <c r="N325" i="17" a="1"/>
  <c r="N325" i="17" s="1"/>
  <c r="N375" i="17" a="1"/>
  <c r="N375" i="17" s="1"/>
  <c r="N540" i="17" a="1"/>
  <c r="N540" i="17" s="1"/>
  <c r="N541" i="17" a="1"/>
  <c r="N541" i="17" s="1"/>
  <c r="N542" i="17" a="1"/>
  <c r="N542" i="17" s="1"/>
  <c r="N543" i="17" a="1"/>
  <c r="N543" i="17"/>
  <c r="N544" i="17" a="1"/>
  <c r="N544" i="17" s="1"/>
  <c r="N545" i="17" a="1"/>
  <c r="N545" i="17" s="1"/>
  <c r="N26" i="17" a="1"/>
  <c r="N26" i="17" s="1"/>
  <c r="N76" i="17" a="1"/>
  <c r="N76" i="17" s="1"/>
  <c r="N126" i="17" a="1"/>
  <c r="N126" i="17" s="1"/>
  <c r="N176" i="17" a="1"/>
  <c r="N176" i="17" s="1"/>
  <c r="N226" i="17" a="1"/>
  <c r="N226" i="17" s="1"/>
  <c r="N276" i="17" a="1"/>
  <c r="N276" i="17" s="1"/>
  <c r="N326" i="17" a="1"/>
  <c r="N326" i="17" s="1"/>
  <c r="N376" i="17" a="1"/>
  <c r="N376" i="17" s="1"/>
  <c r="N546" i="17" a="1"/>
  <c r="N546" i="17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/>
  <c r="N27" i="17" a="1"/>
  <c r="N27" i="17"/>
  <c r="N77" i="17" a="1"/>
  <c r="N77" i="17" s="1"/>
  <c r="N127" i="17" a="1"/>
  <c r="N127" i="17" s="1"/>
  <c r="N177" i="17" a="1"/>
  <c r="N177" i="17" s="1"/>
  <c r="N227" i="17" a="1"/>
  <c r="N227" i="17" s="1"/>
  <c r="N277" i="17" a="1"/>
  <c r="N277" i="17" s="1"/>
  <c r="N327" i="17" a="1"/>
  <c r="N327" i="17" s="1"/>
  <c r="N377" i="17" a="1"/>
  <c r="N377" i="17" s="1"/>
  <c r="N552" i="17" a="1"/>
  <c r="N552" i="17" s="1"/>
  <c r="N553" i="17" a="1"/>
  <c r="N553" i="17" s="1"/>
  <c r="N554" i="17" a="1"/>
  <c r="N554" i="17" s="1"/>
  <c r="N555" i="17" a="1"/>
  <c r="N555" i="17" s="1"/>
  <c r="N556" i="17" a="1"/>
  <c r="N556" i="17" s="1"/>
  <c r="N557" i="17" a="1"/>
  <c r="N557" i="17" s="1"/>
  <c r="N28" i="17" a="1"/>
  <c r="N28" i="17" s="1"/>
  <c r="N78" i="17" a="1"/>
  <c r="N78" i="17" s="1"/>
  <c r="N128" i="17" a="1"/>
  <c r="N128" i="17" s="1"/>
  <c r="N178" i="17" a="1"/>
  <c r="N178" i="17" s="1"/>
  <c r="N228" i="17" a="1"/>
  <c r="N228" i="17" s="1"/>
  <c r="N278" i="17" a="1"/>
  <c r="N278" i="17" s="1"/>
  <c r="N328" i="17" a="1"/>
  <c r="N328" i="17"/>
  <c r="N378" i="17" a="1"/>
  <c r="N378" i="17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29" i="17" a="1"/>
  <c r="N29" i="17" s="1"/>
  <c r="N79" i="17" a="1"/>
  <c r="N79" i="17" s="1"/>
  <c r="N129" i="17" a="1"/>
  <c r="N129" i="17" s="1"/>
  <c r="N179" i="17" a="1"/>
  <c r="N179" i="17" s="1"/>
  <c r="N229" i="17" a="1"/>
  <c r="N229" i="17"/>
  <c r="N279" i="17" a="1"/>
  <c r="N279" i="17" s="1"/>
  <c r="N329" i="17" a="1"/>
  <c r="N329" i="17" s="1"/>
  <c r="N379" i="17" a="1"/>
  <c r="N379" i="17" s="1"/>
  <c r="N564" i="17" a="1"/>
  <c r="N564" i="17" s="1"/>
  <c r="N565" i="17" a="1"/>
  <c r="N565" i="17" s="1"/>
  <c r="N566" i="17" a="1"/>
  <c r="N566" i="17" s="1"/>
  <c r="N567" i="17" a="1"/>
  <c r="N567" i="17" s="1"/>
  <c r="N568" i="17" a="1"/>
  <c r="N568" i="17" s="1"/>
  <c r="N569" i="17" a="1"/>
  <c r="N569" i="17" s="1"/>
  <c r="N30" i="17" a="1"/>
  <c r="N30" i="17" s="1"/>
  <c r="N80" i="17" a="1"/>
  <c r="N80" i="17" s="1"/>
  <c r="N130" i="17" a="1"/>
  <c r="N130" i="17" s="1"/>
  <c r="N180" i="17" a="1"/>
  <c r="N180" i="17" s="1"/>
  <c r="N230" i="17" a="1"/>
  <c r="N230" i="17" s="1"/>
  <c r="N280" i="17" a="1"/>
  <c r="N280" i="17" s="1"/>
  <c r="N330" i="17" a="1"/>
  <c r="N330" i="17" s="1"/>
  <c r="N380" i="17" a="1"/>
  <c r="N380" i="17" s="1"/>
  <c r="N570" i="17" a="1"/>
  <c r="N570" i="17" s="1"/>
  <c r="N571" i="17" a="1"/>
  <c r="N571" i="17" s="1"/>
  <c r="N572" i="17" a="1"/>
  <c r="N572" i="17" s="1"/>
  <c r="N573" i="17" a="1"/>
  <c r="N573" i="17"/>
  <c r="N574" i="17" a="1"/>
  <c r="N574" i="17" s="1"/>
  <c r="N575" i="17" a="1"/>
  <c r="N575" i="17" s="1"/>
  <c r="N31" i="17" a="1"/>
  <c r="N31" i="17" s="1"/>
  <c r="N81" i="17" a="1"/>
  <c r="N81" i="17" s="1"/>
  <c r="N131" i="17" a="1"/>
  <c r="N131" i="17" s="1"/>
  <c r="N181" i="17" a="1"/>
  <c r="N181" i="17" s="1"/>
  <c r="N231" i="17" a="1"/>
  <c r="N231" i="17" s="1"/>
  <c r="N281" i="17" a="1"/>
  <c r="N281" i="17" s="1"/>
  <c r="N331" i="17" a="1"/>
  <c r="N331" i="17" s="1"/>
  <c r="N381" i="17" a="1"/>
  <c r="N381" i="17" s="1"/>
  <c r="N576" i="17" a="1"/>
  <c r="N576" i="17"/>
  <c r="N577" i="17" a="1"/>
  <c r="N577" i="17" s="1"/>
  <c r="N578" i="17" a="1"/>
  <c r="N578" i="17" s="1"/>
  <c r="N579" i="17" a="1"/>
  <c r="N579" i="17" s="1"/>
  <c r="N580" i="17" a="1"/>
  <c r="N580" i="17" s="1"/>
  <c r="N581" i="17" a="1"/>
  <c r="N581" i="17" s="1"/>
  <c r="N32" i="17" a="1"/>
  <c r="N32" i="17" s="1"/>
  <c r="N82" i="17" a="1"/>
  <c r="N82" i="17" s="1"/>
  <c r="N132" i="17" a="1"/>
  <c r="N132" i="17"/>
  <c r="N182" i="17" a="1"/>
  <c r="N182" i="17" s="1"/>
  <c r="N232" i="17" a="1"/>
  <c r="N232" i="17" s="1"/>
  <c r="N282" i="17" a="1"/>
  <c r="N282" i="17" s="1"/>
  <c r="N332" i="17" a="1"/>
  <c r="N332" i="17" s="1"/>
  <c r="N382" i="17" a="1"/>
  <c r="N382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33" i="17" a="1"/>
  <c r="N33" i="17" s="1"/>
  <c r="N83" i="17" a="1"/>
  <c r="N83" i="17" s="1"/>
  <c r="N133" i="17" a="1"/>
  <c r="N133" i="17" s="1"/>
  <c r="N183" i="17" a="1"/>
  <c r="N183" i="17" s="1"/>
  <c r="N233" i="17" a="1"/>
  <c r="N233" i="17" s="1"/>
  <c r="N283" i="17" a="1"/>
  <c r="N283" i="17" s="1"/>
  <c r="N333" i="17" a="1"/>
  <c r="N333" i="17" s="1"/>
  <c r="N383" i="17" a="1"/>
  <c r="N383" i="17" s="1"/>
  <c r="N588" i="17" a="1"/>
  <c r="N588" i="17" s="1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34" i="17" a="1"/>
  <c r="N34" i="17" s="1"/>
  <c r="N84" i="17" a="1"/>
  <c r="N84" i="17" s="1"/>
  <c r="N134" i="17" a="1"/>
  <c r="N134" i="17" s="1"/>
  <c r="N184" i="17" a="1"/>
  <c r="N184" i="17" s="1"/>
  <c r="N234" i="17" a="1"/>
  <c r="N234" i="17" s="1"/>
  <c r="N284" i="17" a="1"/>
  <c r="N284" i="17" s="1"/>
  <c r="N334" i="17" a="1"/>
  <c r="N334" i="17" s="1"/>
  <c r="N384" i="17" a="1"/>
  <c r="N384" i="17" s="1"/>
  <c r="N594" i="17" a="1"/>
  <c r="N594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35" i="17" a="1"/>
  <c r="N35" i="17" s="1"/>
  <c r="N85" i="17" a="1"/>
  <c r="N85" i="17" s="1"/>
  <c r="N135" i="17" a="1"/>
  <c r="N135" i="17" s="1"/>
  <c r="N185" i="17" a="1"/>
  <c r="N185" i="17" s="1"/>
  <c r="N235" i="17" a="1"/>
  <c r="N235" i="17" s="1"/>
  <c r="N285" i="17" a="1"/>
  <c r="N285" i="17" s="1"/>
  <c r="N335" i="17" a="1"/>
  <c r="N335" i="17" s="1"/>
  <c r="N385" i="17" a="1"/>
  <c r="N385" i="17" s="1"/>
  <c r="N600" i="17" a="1"/>
  <c r="N60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/>
  <c r="N36" i="17" a="1"/>
  <c r="N36" i="17"/>
  <c r="N86" i="17" a="1"/>
  <c r="N86" i="17" s="1"/>
  <c r="N136" i="17" a="1"/>
  <c r="N136" i="17" s="1"/>
  <c r="N186" i="17" a="1"/>
  <c r="N186" i="17" s="1"/>
  <c r="N236" i="17" a="1"/>
  <c r="N236" i="17" s="1"/>
  <c r="N286" i="17" a="1"/>
  <c r="N286" i="17" s="1"/>
  <c r="N336" i="17" a="1"/>
  <c r="N336" i="17"/>
  <c r="N386" i="17" a="1"/>
  <c r="N386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37" i="17" a="1"/>
  <c r="N37" i="17" s="1"/>
  <c r="N87" i="17" a="1"/>
  <c r="N87" i="17" s="1"/>
  <c r="N137" i="17" a="1"/>
  <c r="N137" i="17" s="1"/>
  <c r="N187" i="17" a="1"/>
  <c r="N187" i="17" s="1"/>
  <c r="N237" i="17" a="1"/>
  <c r="N237" i="17" s="1"/>
  <c r="N287" i="17" a="1"/>
  <c r="N287" i="17" s="1"/>
  <c r="N337" i="17" a="1"/>
  <c r="N337" i="17" s="1"/>
  <c r="N387" i="17" a="1"/>
  <c r="N387" i="17" s="1"/>
  <c r="N612" i="17" a="1"/>
  <c r="N612" i="17" s="1"/>
  <c r="N613" i="17" a="1"/>
  <c r="N613" i="17" s="1"/>
  <c r="N614" i="17" a="1"/>
  <c r="N614" i="17" s="1"/>
  <c r="N615" i="17" a="1"/>
  <c r="N615" i="17" s="1"/>
  <c r="N616" i="17" a="1"/>
  <c r="N616" i="17" s="1"/>
  <c r="N617" i="17" a="1"/>
  <c r="N617" i="17" s="1"/>
  <c r="N38" i="17" a="1"/>
  <c r="N38" i="17" s="1"/>
  <c r="N88" i="17" a="1"/>
  <c r="N88" i="17" s="1"/>
  <c r="N138" i="17" a="1"/>
  <c r="N138" i="17" s="1"/>
  <c r="N188" i="17" a="1"/>
  <c r="N188" i="17" s="1"/>
  <c r="N238" i="17" a="1"/>
  <c r="N238" i="17" s="1"/>
  <c r="N288" i="17" a="1"/>
  <c r="N288" i="17" s="1"/>
  <c r="N338" i="17" a="1"/>
  <c r="N338" i="17" s="1"/>
  <c r="N388" i="17" a="1"/>
  <c r="N388" i="17" s="1"/>
  <c r="N618" i="17" a="1"/>
  <c r="N618" i="17" s="1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 s="1"/>
  <c r="N39" i="17" a="1"/>
  <c r="N39" i="17" s="1"/>
  <c r="N89" i="17" a="1"/>
  <c r="N89" i="17" s="1"/>
  <c r="N139" i="17" a="1"/>
  <c r="N139" i="17" s="1"/>
  <c r="N189" i="17" a="1"/>
  <c r="N189" i="17" s="1"/>
  <c r="N239" i="17" a="1"/>
  <c r="N239" i="17" s="1"/>
  <c r="N289" i="17" a="1"/>
  <c r="N289" i="17" s="1"/>
  <c r="N339" i="17" a="1"/>
  <c r="N339" i="17"/>
  <c r="N389" i="17" a="1"/>
  <c r="N389" i="17" s="1"/>
  <c r="N624" i="17" a="1"/>
  <c r="N624" i="17" s="1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 s="1"/>
  <c r="N40" i="17" a="1"/>
  <c r="N40" i="17" s="1"/>
  <c r="N90" i="17" a="1"/>
  <c r="N90" i="17" s="1"/>
  <c r="N140" i="17" a="1"/>
  <c r="N140" i="17" s="1"/>
  <c r="N190" i="17" a="1"/>
  <c r="N190" i="17" s="1"/>
  <c r="N240" i="17" a="1"/>
  <c r="N240" i="17" s="1"/>
  <c r="N290" i="17" a="1"/>
  <c r="N290" i="17" s="1"/>
  <c r="N340" i="17" a="1"/>
  <c r="N340" i="17"/>
  <c r="N390" i="17" a="1"/>
  <c r="N390" i="17" s="1"/>
  <c r="N630" i="17" a="1"/>
  <c r="N630" i="17" s="1"/>
  <c r="N631" i="17" a="1"/>
  <c r="N631" i="17" s="1"/>
  <c r="N632" i="17" a="1"/>
  <c r="N632" i="17" s="1"/>
  <c r="N633" i="17" a="1"/>
  <c r="N633" i="17"/>
  <c r="N634" i="17" a="1"/>
  <c r="N634" i="17" s="1"/>
  <c r="N635" i="17" a="1"/>
  <c r="N635" i="17" s="1"/>
  <c r="N41" i="17" a="1"/>
  <c r="N41" i="17" s="1"/>
  <c r="N91" i="17" a="1"/>
  <c r="N91" i="17" s="1"/>
  <c r="N141" i="17" a="1"/>
  <c r="N141" i="17" s="1"/>
  <c r="N191" i="17" a="1"/>
  <c r="N191" i="17" s="1"/>
  <c r="N241" i="17" a="1"/>
  <c r="N241" i="17" s="1"/>
  <c r="N291" i="17" a="1"/>
  <c r="N291" i="17" s="1"/>
  <c r="N341" i="17" a="1"/>
  <c r="N341" i="17" s="1"/>
  <c r="N391" i="17" a="1"/>
  <c r="N39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 s="1"/>
  <c r="N641" i="17" a="1"/>
  <c r="N641" i="17" s="1"/>
  <c r="N42" i="17" a="1"/>
  <c r="N42" i="17" s="1"/>
  <c r="N92" i="17" a="1"/>
  <c r="N92" i="17" s="1"/>
  <c r="N142" i="17" a="1"/>
  <c r="N142" i="17" s="1"/>
  <c r="N192" i="17" a="1"/>
  <c r="N192" i="17" s="1"/>
  <c r="N242" i="17" a="1"/>
  <c r="N242" i="17" s="1"/>
  <c r="N292" i="17" a="1"/>
  <c r="N292" i="17" s="1"/>
  <c r="N342" i="17" a="1"/>
  <c r="N342" i="17" s="1"/>
  <c r="N392" i="17" a="1"/>
  <c r="N392" i="17" s="1"/>
  <c r="N642" i="17" a="1"/>
  <c r="N642" i="17" s="1"/>
  <c r="N643" i="17" a="1"/>
  <c r="N643" i="17" s="1"/>
  <c r="N644" i="17" a="1"/>
  <c r="N644" i="17" s="1"/>
  <c r="N645" i="17" a="1"/>
  <c r="N645" i="17" s="1"/>
  <c r="N646" i="17" a="1"/>
  <c r="N646" i="17" s="1"/>
  <c r="N647" i="17" a="1"/>
  <c r="N647" i="17" s="1"/>
  <c r="N43" i="17" a="1"/>
  <c r="N43" i="17" s="1"/>
  <c r="N93" i="17" a="1"/>
  <c r="N93" i="17" s="1"/>
  <c r="N143" i="17" a="1"/>
  <c r="N143" i="17" s="1"/>
  <c r="N193" i="17" a="1"/>
  <c r="N193" i="17" s="1"/>
  <c r="N243" i="17" a="1"/>
  <c r="N243" i="17" s="1"/>
  <c r="N293" i="17" a="1"/>
  <c r="N293" i="17" s="1"/>
  <c r="N343" i="17" a="1"/>
  <c r="N343" i="17" s="1"/>
  <c r="N393" i="17" a="1"/>
  <c r="N393" i="17" s="1"/>
  <c r="N648" i="17" a="1"/>
  <c r="N648" i="17" s="1"/>
  <c r="N649" i="17" a="1"/>
  <c r="N649" i="17" s="1"/>
  <c r="N650" i="17" a="1"/>
  <c r="N650" i="17" s="1"/>
  <c r="N651" i="17" a="1"/>
  <c r="N651" i="17" s="1"/>
  <c r="N652" i="17" a="1"/>
  <c r="N652" i="17" s="1"/>
  <c r="N653" i="17" a="1"/>
  <c r="N653" i="17" s="1"/>
  <c r="N44" i="17" a="1"/>
  <c r="N44" i="17" s="1"/>
  <c r="N94" i="17" a="1"/>
  <c r="N94" i="17" s="1"/>
  <c r="N144" i="17" a="1"/>
  <c r="N144" i="17" s="1"/>
  <c r="N194" i="17" a="1"/>
  <c r="N194" i="17" s="1"/>
  <c r="N244" i="17" a="1"/>
  <c r="N244" i="17" s="1"/>
  <c r="N294" i="17" a="1"/>
  <c r="N294" i="17"/>
  <c r="N344" i="17" a="1"/>
  <c r="N344" i="17" s="1"/>
  <c r="N394" i="17" a="1"/>
  <c r="N394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 s="1"/>
  <c r="N45" i="17" a="1"/>
  <c r="N45" i="17" s="1"/>
  <c r="N95" i="17" a="1"/>
  <c r="N95" i="17" s="1"/>
  <c r="N145" i="17" a="1"/>
  <c r="N145" i="17" s="1"/>
  <c r="N195" i="17" a="1"/>
  <c r="N195" i="17" s="1"/>
  <c r="N245" i="17" a="1"/>
  <c r="N245" i="17" s="1"/>
  <c r="N295" i="17" a="1"/>
  <c r="N295" i="17" s="1"/>
  <c r="N345" i="17" a="1"/>
  <c r="N345" i="17" s="1"/>
  <c r="N395" i="17" a="1"/>
  <c r="N395" i="17" s="1"/>
  <c r="N660" i="17" a="1"/>
  <c r="N660" i="17" s="1"/>
  <c r="N661" i="17" a="1"/>
  <c r="N661" i="17" s="1"/>
  <c r="N662" i="17" a="1"/>
  <c r="N662" i="17" s="1"/>
  <c r="N663" i="17" a="1"/>
  <c r="N663" i="17"/>
  <c r="N664" i="17" a="1"/>
  <c r="N664" i="17" s="1"/>
  <c r="N665" i="17" a="1"/>
  <c r="N665" i="17" s="1"/>
  <c r="N46" i="17" a="1"/>
  <c r="N46" i="17" s="1"/>
  <c r="N96" i="17" a="1"/>
  <c r="N96" i="17" s="1"/>
  <c r="N146" i="17" a="1"/>
  <c r="N146" i="17" s="1"/>
  <c r="N196" i="17" a="1"/>
  <c r="N196" i="17" s="1"/>
  <c r="N246" i="17" a="1"/>
  <c r="N246" i="17" s="1"/>
  <c r="N296" i="17" a="1"/>
  <c r="N296" i="17" s="1"/>
  <c r="N346" i="17" a="1"/>
  <c r="N346" i="17" s="1"/>
  <c r="N396" i="17" a="1"/>
  <c r="N396" i="17" s="1"/>
  <c r="N666" i="17" a="1"/>
  <c r="N666" i="17" s="1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 s="1"/>
  <c r="N47" i="17" a="1"/>
  <c r="N47" i="17" s="1"/>
  <c r="N97" i="17" a="1"/>
  <c r="N97" i="17" s="1"/>
  <c r="N147" i="17" a="1"/>
  <c r="N147" i="17" s="1"/>
  <c r="N197" i="17" a="1"/>
  <c r="N197" i="17" s="1"/>
  <c r="N247" i="17" a="1"/>
  <c r="N247" i="17" s="1"/>
  <c r="N297" i="17" a="1"/>
  <c r="N297" i="17" s="1"/>
  <c r="N347" i="17" a="1"/>
  <c r="N347" i="17" s="1"/>
  <c r="N397" i="17" a="1"/>
  <c r="N397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 s="1"/>
  <c r="N677" i="17" a="1"/>
  <c r="N677" i="17" s="1"/>
  <c r="N48" i="17" a="1"/>
  <c r="N48" i="17" s="1"/>
  <c r="N98" i="17" a="1"/>
  <c r="N98" i="17" s="1"/>
  <c r="N148" i="17" a="1"/>
  <c r="N148" i="17"/>
  <c r="N198" i="17" a="1"/>
  <c r="N198" i="17" s="1"/>
  <c r="N248" i="17" a="1"/>
  <c r="N248" i="17" s="1"/>
  <c r="N298" i="17" a="1"/>
  <c r="N298" i="17" s="1"/>
  <c r="N348" i="17" a="1"/>
  <c r="N348" i="17"/>
  <c r="N398" i="17" a="1"/>
  <c r="N398" i="17" s="1"/>
  <c r="N678" i="17" a="1"/>
  <c r="N678" i="17" s="1"/>
  <c r="N679" i="17" a="1"/>
  <c r="N679" i="17" s="1"/>
  <c r="N680" i="17" a="1"/>
  <c r="N680" i="17" s="1"/>
  <c r="N681" i="17" a="1"/>
  <c r="N681" i="17" s="1"/>
  <c r="N682" i="17" a="1"/>
  <c r="N682" i="17" s="1"/>
  <c r="N683" i="17" a="1"/>
  <c r="N683" i="17" s="1"/>
  <c r="N49" i="17" a="1"/>
  <c r="N49" i="17" s="1"/>
  <c r="N99" i="17" a="1"/>
  <c r="N99" i="17" s="1"/>
  <c r="N149" i="17" a="1"/>
  <c r="N149" i="17" s="1"/>
  <c r="N199" i="17" a="1"/>
  <c r="N199" i="17" s="1"/>
  <c r="N249" i="17" a="1"/>
  <c r="N249" i="17" s="1"/>
  <c r="N299" i="17" a="1"/>
  <c r="N299" i="17" s="1"/>
  <c r="N349" i="17" a="1"/>
  <c r="N349" i="17" s="1"/>
  <c r="N399" i="17" a="1"/>
  <c r="N399" i="17"/>
  <c r="N684" i="17" a="1"/>
  <c r="N684" i="17" s="1"/>
  <c r="N685" i="17" a="1"/>
  <c r="N685" i="17" s="1"/>
  <c r="N686" i="17" a="1"/>
  <c r="N686" i="17" s="1"/>
  <c r="N687" i="17" a="1"/>
  <c r="N687" i="17" s="1"/>
  <c r="N688" i="17" a="1"/>
  <c r="N688" i="17" s="1"/>
  <c r="N689" i="17" a="1"/>
  <c r="N689" i="17" s="1"/>
  <c r="N50" i="17" a="1"/>
  <c r="N50" i="17"/>
  <c r="N100" i="17" a="1"/>
  <c r="N100" i="17"/>
  <c r="N150" i="17" a="1"/>
  <c r="N150" i="17" s="1"/>
  <c r="N200" i="17" a="1"/>
  <c r="N200" i="17" s="1"/>
  <c r="N250" i="17" a="1"/>
  <c r="N250" i="17" s="1"/>
  <c r="N300" i="17" a="1"/>
  <c r="N300" i="17" s="1"/>
  <c r="N350" i="17" a="1"/>
  <c r="N350" i="17" s="1"/>
  <c r="N400" i="17" a="1"/>
  <c r="N400" i="17" s="1"/>
  <c r="N690" i="17" a="1"/>
  <c r="N690" i="17" s="1"/>
  <c r="N691" i="17" a="1"/>
  <c r="N691" i="17" s="1"/>
  <c r="N692" i="17" a="1"/>
  <c r="N692" i="17"/>
  <c r="N693" i="17" a="1"/>
  <c r="N693" i="17"/>
  <c r="N694" i="17" a="1"/>
  <c r="N694" i="17"/>
  <c r="N695" i="17" a="1"/>
  <c r="N695" i="17" s="1"/>
  <c r="N51" i="17" a="1"/>
  <c r="N51" i="17" s="1"/>
  <c r="N101" i="17" a="1"/>
  <c r="N101" i="17" s="1"/>
  <c r="N151" i="17" a="1"/>
  <c r="N151" i="17" s="1"/>
  <c r="N201" i="17" a="1"/>
  <c r="N201" i="17" s="1"/>
  <c r="N251" i="17" a="1"/>
  <c r="N251" i="17" s="1"/>
  <c r="N301" i="17" a="1"/>
  <c r="N301" i="17" s="1"/>
  <c r="N351" i="17" a="1"/>
  <c r="N351" i="17" s="1"/>
  <c r="N401" i="17" a="1"/>
  <c r="N401" i="17" s="1"/>
  <c r="N696" i="17" a="1"/>
  <c r="N696" i="17" s="1"/>
  <c r="N697" i="17" a="1"/>
  <c r="N697" i="17" s="1"/>
  <c r="N698" i="17" a="1"/>
  <c r="N698" i="17" s="1"/>
  <c r="N699" i="17" a="1"/>
  <c r="N699" i="17" s="1"/>
  <c r="N700" i="17" a="1"/>
  <c r="N700" i="17" s="1"/>
  <c r="N701" i="17" a="1"/>
  <c r="N701" i="17" s="1"/>
  <c r="O2" i="17" a="1"/>
  <c r="O2" i="17" s="1"/>
  <c r="O52" i="17" a="1"/>
  <c r="O52" i="17" s="1"/>
  <c r="O102" i="17" a="1"/>
  <c r="O102" i="17" s="1"/>
  <c r="O152" i="17" a="1"/>
  <c r="O152" i="17" s="1"/>
  <c r="O202" i="17" a="1"/>
  <c r="O202" i="17" s="1"/>
  <c r="O252" i="17" a="1"/>
  <c r="O252" i="17" s="1"/>
  <c r="O302" i="17" a="1"/>
  <c r="O302" i="17" s="1"/>
  <c r="O352" i="17" a="1"/>
  <c r="O352" i="17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3" i="17" a="1"/>
  <c r="O3" i="17" s="1"/>
  <c r="O53" i="17" a="1"/>
  <c r="O53" i="17" s="1"/>
  <c r="O103" i="17" a="1"/>
  <c r="O103" i="17" s="1"/>
  <c r="O153" i="17" a="1"/>
  <c r="O153" i="17"/>
  <c r="O203" i="17" a="1"/>
  <c r="O203" i="17"/>
  <c r="O253" i="17" a="1"/>
  <c r="O253" i="17" s="1"/>
  <c r="O303" i="17" a="1"/>
  <c r="O303" i="17"/>
  <c r="O353" i="17" a="1"/>
  <c r="O353" i="17" s="1"/>
  <c r="O408" i="17" a="1"/>
  <c r="O408" i="17" s="1"/>
  <c r="O409" i="17" a="1"/>
  <c r="O409" i="17"/>
  <c r="O410" i="17" a="1"/>
  <c r="O410" i="17" s="1"/>
  <c r="O411" i="17" a="1"/>
  <c r="O411" i="17" s="1"/>
  <c r="O412" i="17" a="1"/>
  <c r="O412" i="17" s="1"/>
  <c r="O413" i="17" a="1"/>
  <c r="O413" i="17" s="1"/>
  <c r="O4" i="17" a="1"/>
  <c r="O4" i="17" s="1"/>
  <c r="O54" i="17" a="1"/>
  <c r="O54" i="17" s="1"/>
  <c r="O104" i="17" a="1"/>
  <c r="O104" i="17" s="1"/>
  <c r="O154" i="17" a="1"/>
  <c r="O154" i="17" s="1"/>
  <c r="O204" i="17" a="1"/>
  <c r="O204" i="17" s="1"/>
  <c r="O254" i="17" a="1"/>
  <c r="O254" i="17" s="1"/>
  <c r="O304" i="17" a="1"/>
  <c r="O304" i="17"/>
  <c r="O354" i="17" a="1"/>
  <c r="O354" i="17" s="1"/>
  <c r="O414" i="17" a="1"/>
  <c r="O414" i="17" s="1"/>
  <c r="O415" i="17" a="1"/>
  <c r="O415" i="17" s="1"/>
  <c r="O416" i="17" a="1"/>
  <c r="O416" i="17" s="1"/>
  <c r="O417" i="17" a="1"/>
  <c r="O417" i="17" s="1"/>
  <c r="O418" i="17" a="1"/>
  <c r="O418" i="17" s="1"/>
  <c r="O419" i="17" a="1"/>
  <c r="O419" i="17" s="1"/>
  <c r="O5" i="17" a="1"/>
  <c r="O5" i="17" s="1"/>
  <c r="O55" i="17" a="1"/>
  <c r="O55" i="17" s="1"/>
  <c r="O105" i="17" a="1"/>
  <c r="O105" i="17" s="1"/>
  <c r="O155" i="17" a="1"/>
  <c r="O155" i="17" s="1"/>
  <c r="O205" i="17" a="1"/>
  <c r="O205" i="17" s="1"/>
  <c r="O255" i="17" a="1"/>
  <c r="O255" i="17" s="1"/>
  <c r="O305" i="17" a="1"/>
  <c r="O305" i="17" s="1"/>
  <c r="O355" i="17" a="1"/>
  <c r="O355" i="17" s="1"/>
  <c r="O420" i="17" a="1"/>
  <c r="O420" i="17" s="1"/>
  <c r="O421" i="17" a="1"/>
  <c r="O421" i="17" s="1"/>
  <c r="O422" i="17" a="1"/>
  <c r="O422" i="17" s="1"/>
  <c r="O423" i="17" a="1"/>
  <c r="O423" i="17" s="1"/>
  <c r="O424" i="17" a="1"/>
  <c r="O424" i="17" s="1"/>
  <c r="O425" i="17" a="1"/>
  <c r="O425" i="17"/>
  <c r="O6" i="17" a="1"/>
  <c r="O6" i="17" s="1"/>
  <c r="O56" i="17" a="1"/>
  <c r="O56" i="17" s="1"/>
  <c r="O106" i="17" a="1"/>
  <c r="O106" i="17"/>
  <c r="O156" i="17" a="1"/>
  <c r="O156" i="17" s="1"/>
  <c r="O206" i="17" a="1"/>
  <c r="O206" i="17" s="1"/>
  <c r="O256" i="17" a="1"/>
  <c r="O256" i="17" s="1"/>
  <c r="O306" i="17" a="1"/>
  <c r="O306" i="17" s="1"/>
  <c r="O356" i="17" a="1"/>
  <c r="O356" i="17" s="1"/>
  <c r="O426" i="17" a="1"/>
  <c r="O426" i="17" s="1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" i="17" a="1"/>
  <c r="O7" i="17" s="1"/>
  <c r="O57" i="17" a="1"/>
  <c r="O57" i="17" s="1"/>
  <c r="O107" i="17" a="1"/>
  <c r="O107" i="17" s="1"/>
  <c r="O157" i="17" a="1"/>
  <c r="O157" i="17" s="1"/>
  <c r="O207" i="17" a="1"/>
  <c r="O207" i="17" s="1"/>
  <c r="O257" i="17" a="1"/>
  <c r="O257" i="17" s="1"/>
  <c r="O307" i="17" a="1"/>
  <c r="O307" i="17"/>
  <c r="O357" i="17" a="1"/>
  <c r="O357" i="17"/>
  <c r="O432" i="17" a="1"/>
  <c r="O432" i="17" s="1"/>
  <c r="O433" i="17" a="1"/>
  <c r="O433" i="17" s="1"/>
  <c r="O434" i="17" a="1"/>
  <c r="O434" i="17" s="1"/>
  <c r="O435" i="17" a="1"/>
  <c r="O435" i="17" s="1"/>
  <c r="O436" i="17" a="1"/>
  <c r="O436" i="17" s="1"/>
  <c r="O437" i="17" a="1"/>
  <c r="O437" i="17" s="1"/>
  <c r="O8" i="17" a="1"/>
  <c r="O8" i="17" s="1"/>
  <c r="O58" i="17" a="1"/>
  <c r="O58" i="17" s="1"/>
  <c r="O108" i="17" a="1"/>
  <c r="O108" i="17" s="1"/>
  <c r="O158" i="17" a="1"/>
  <c r="O158" i="17" s="1"/>
  <c r="O208" i="17" a="1"/>
  <c r="O208" i="17" s="1"/>
  <c r="O258" i="17" a="1"/>
  <c r="O258" i="17" s="1"/>
  <c r="O308" i="17" a="1"/>
  <c r="O308" i="17" s="1"/>
  <c r="O358" i="17" a="1"/>
  <c r="O358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9" i="17" a="1"/>
  <c r="O9" i="17" s="1"/>
  <c r="O59" i="17" a="1"/>
  <c r="O59" i="17" s="1"/>
  <c r="O109" i="17" a="1"/>
  <c r="O109" i="17" s="1"/>
  <c r="O159" i="17" a="1"/>
  <c r="O159" i="17" s="1"/>
  <c r="O209" i="17" a="1"/>
  <c r="O209" i="17" s="1"/>
  <c r="O259" i="17" a="1"/>
  <c r="O259" i="17" s="1"/>
  <c r="O309" i="17" a="1"/>
  <c r="O309" i="17" s="1"/>
  <c r="O359" i="17" a="1"/>
  <c r="O359" i="17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10" i="17" a="1"/>
  <c r="O10" i="17" s="1"/>
  <c r="O60" i="17" a="1"/>
  <c r="O60" i="17" s="1"/>
  <c r="O110" i="17" a="1"/>
  <c r="O110" i="17" s="1"/>
  <c r="O160" i="17" a="1"/>
  <c r="O160" i="17" s="1"/>
  <c r="O210" i="17" a="1"/>
  <c r="O210" i="17" s="1"/>
  <c r="O260" i="17" a="1"/>
  <c r="O260" i="17" s="1"/>
  <c r="O310" i="17" a="1"/>
  <c r="O310" i="17" s="1"/>
  <c r="O360" i="17" a="1"/>
  <c r="O360" i="17" s="1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11" i="17" a="1"/>
  <c r="O11" i="17" s="1"/>
  <c r="O61" i="17" a="1"/>
  <c r="O61" i="17" s="1"/>
  <c r="O111" i="17" a="1"/>
  <c r="O111" i="17"/>
  <c r="O161" i="17" a="1"/>
  <c r="O161" i="17" s="1"/>
  <c r="O211" i="17" a="1"/>
  <c r="O211" i="17" s="1"/>
  <c r="O261" i="17" a="1"/>
  <c r="O261" i="17" s="1"/>
  <c r="O311" i="17" a="1"/>
  <c r="O311" i="17" s="1"/>
  <c r="O361" i="17" a="1"/>
  <c r="O36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 s="1"/>
  <c r="O461" i="17" a="1"/>
  <c r="O461" i="17" s="1"/>
  <c r="O12" i="17" a="1"/>
  <c r="O12" i="17" s="1"/>
  <c r="O62" i="17" a="1"/>
  <c r="O62" i="17" s="1"/>
  <c r="O112" i="17" a="1"/>
  <c r="O112" i="17" s="1"/>
  <c r="O162" i="17" a="1"/>
  <c r="O162" i="17" s="1"/>
  <c r="O212" i="17" a="1"/>
  <c r="O212" i="17" s="1"/>
  <c r="O262" i="17" a="1"/>
  <c r="O262" i="17" s="1"/>
  <c r="O312" i="17" a="1"/>
  <c r="O312" i="17" s="1"/>
  <c r="O362" i="17" a="1"/>
  <c r="O362" i="17" s="1"/>
  <c r="O462" i="17" a="1"/>
  <c r="O462" i="17"/>
  <c r="O463" i="17" a="1"/>
  <c r="O463" i="17" s="1"/>
  <c r="O464" i="17" a="1"/>
  <c r="O464" i="17" s="1"/>
  <c r="O465" i="17" a="1"/>
  <c r="O465" i="17" s="1"/>
  <c r="O466" i="17" a="1"/>
  <c r="O466" i="17"/>
  <c r="O467" i="17" a="1"/>
  <c r="O467" i="17" s="1"/>
  <c r="O13" i="17" a="1"/>
  <c r="O13" i="17" s="1"/>
  <c r="O63" i="17" a="1"/>
  <c r="O63" i="17" s="1"/>
  <c r="O113" i="17" a="1"/>
  <c r="O113" i="17" s="1"/>
  <c r="O163" i="17" a="1"/>
  <c r="O163" i="17" s="1"/>
  <c r="O213" i="17" a="1"/>
  <c r="O213" i="17" s="1"/>
  <c r="O263" i="17" a="1"/>
  <c r="O263" i="17" s="1"/>
  <c r="O313" i="17" a="1"/>
  <c r="O313" i="17" s="1"/>
  <c r="O363" i="17" a="1"/>
  <c r="O363" i="17" s="1"/>
  <c r="O468" i="17" a="1"/>
  <c r="O468" i="17" s="1"/>
  <c r="O469" i="17" a="1"/>
  <c r="O469" i="17" s="1"/>
  <c r="O470" i="17" a="1"/>
  <c r="O470" i="17" s="1"/>
  <c r="O471" i="17" a="1"/>
  <c r="O471" i="17"/>
  <c r="O472" i="17" a="1"/>
  <c r="O472" i="17" s="1"/>
  <c r="O473" i="17" a="1"/>
  <c r="O473" i="17" s="1"/>
  <c r="O14" i="17" a="1"/>
  <c r="O14" i="17" s="1"/>
  <c r="O64" i="17" a="1"/>
  <c r="O64" i="17" s="1"/>
  <c r="O114" i="17" a="1"/>
  <c r="O114" i="17" s="1"/>
  <c r="O164" i="17" a="1"/>
  <c r="O164" i="17" s="1"/>
  <c r="O214" i="17" a="1"/>
  <c r="O214" i="17" s="1"/>
  <c r="O264" i="17" a="1"/>
  <c r="O264" i="17" s="1"/>
  <c r="O314" i="17" a="1"/>
  <c r="O314" i="17" s="1"/>
  <c r="O364" i="17" a="1"/>
  <c r="O364" i="17" s="1"/>
  <c r="O474" i="17" a="1"/>
  <c r="O474" i="17" s="1"/>
  <c r="O475" i="17" a="1"/>
  <c r="O475" i="17" s="1"/>
  <c r="O476" i="17" a="1"/>
  <c r="O476" i="17" s="1"/>
  <c r="O477" i="17" a="1"/>
  <c r="O477" i="17" s="1"/>
  <c r="O478" i="17" a="1"/>
  <c r="O478" i="17" s="1"/>
  <c r="O479" i="17" a="1"/>
  <c r="O479" i="17" s="1"/>
  <c r="O15" i="17" a="1"/>
  <c r="O15" i="17"/>
  <c r="O65" i="17" a="1"/>
  <c r="O65" i="17" s="1"/>
  <c r="O115" i="17" a="1"/>
  <c r="O115" i="17" s="1"/>
  <c r="O165" i="17" a="1"/>
  <c r="O165" i="17" s="1"/>
  <c r="O215" i="17" a="1"/>
  <c r="O215" i="17" s="1"/>
  <c r="O265" i="17" a="1"/>
  <c r="O265" i="17" s="1"/>
  <c r="O315" i="17" a="1"/>
  <c r="O315" i="17"/>
  <c r="O365" i="17" a="1"/>
  <c r="O365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16" i="17" a="1"/>
  <c r="O16" i="17" s="1"/>
  <c r="O66" i="17" a="1"/>
  <c r="O66" i="17" s="1"/>
  <c r="O116" i="17" a="1"/>
  <c r="O116" i="17" s="1"/>
  <c r="O166" i="17" a="1"/>
  <c r="O166" i="17" s="1"/>
  <c r="O216" i="17" a="1"/>
  <c r="O216" i="17" s="1"/>
  <c r="O266" i="17" a="1"/>
  <c r="O266" i="17" s="1"/>
  <c r="O316" i="17" a="1"/>
  <c r="O316" i="17" s="1"/>
  <c r="O366" i="17" a="1"/>
  <c r="O366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17" i="17" a="1"/>
  <c r="O17" i="17" s="1"/>
  <c r="O67" i="17" a="1"/>
  <c r="O67" i="17" s="1"/>
  <c r="O117" i="17" a="1"/>
  <c r="O117" i="17"/>
  <c r="O167" i="17" a="1"/>
  <c r="O167" i="17" s="1"/>
  <c r="O217" i="17" a="1"/>
  <c r="O217" i="17" s="1"/>
  <c r="O267" i="17" a="1"/>
  <c r="O267" i="17" s="1"/>
  <c r="O317" i="17" a="1"/>
  <c r="O317" i="17" s="1"/>
  <c r="O367" i="17" a="1"/>
  <c r="O367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/>
  <c r="O18" i="17" a="1"/>
  <c r="O18" i="17" s="1"/>
  <c r="O68" i="17" a="1"/>
  <c r="O68" i="17" s="1"/>
  <c r="O118" i="17" a="1"/>
  <c r="O118" i="17" s="1"/>
  <c r="O168" i="17" a="1"/>
  <c r="O168" i="17" s="1"/>
  <c r="O218" i="17" a="1"/>
  <c r="O218" i="17" s="1"/>
  <c r="O268" i="17" a="1"/>
  <c r="O268" i="17" s="1"/>
  <c r="O318" i="17" a="1"/>
  <c r="O318" i="17" s="1"/>
  <c r="O368" i="17" a="1"/>
  <c r="O368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 s="1"/>
  <c r="O503" i="17" a="1"/>
  <c r="O503" i="17" s="1"/>
  <c r="O19" i="17" a="1"/>
  <c r="O19" i="17"/>
  <c r="O69" i="17" a="1"/>
  <c r="O69" i="17"/>
  <c r="O119" i="17" a="1"/>
  <c r="O119" i="17" s="1"/>
  <c r="O169" i="17" a="1"/>
  <c r="O169" i="17" s="1"/>
  <c r="O219" i="17" a="1"/>
  <c r="O219" i="17" s="1"/>
  <c r="O269" i="17" a="1"/>
  <c r="O269" i="17" s="1"/>
  <c r="O319" i="17" a="1"/>
  <c r="O319" i="17" s="1"/>
  <c r="O369" i="17" a="1"/>
  <c r="O369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20" i="17" a="1"/>
  <c r="O20" i="17" s="1"/>
  <c r="O70" i="17" a="1"/>
  <c r="O70" i="17" s="1"/>
  <c r="O120" i="17" a="1"/>
  <c r="O120" i="17" s="1"/>
  <c r="O170" i="17" a="1"/>
  <c r="O170" i="17" s="1"/>
  <c r="O220" i="17" a="1"/>
  <c r="O220" i="17" s="1"/>
  <c r="O270" i="17" a="1"/>
  <c r="O270" i="17" s="1"/>
  <c r="O320" i="17" a="1"/>
  <c r="O320" i="17" s="1"/>
  <c r="O370" i="17" a="1"/>
  <c r="O370" i="17" s="1"/>
  <c r="O510" i="17" a="1"/>
  <c r="O510" i="17" s="1"/>
  <c r="O511" i="17" a="1"/>
  <c r="O511" i="17" s="1"/>
  <c r="O512" i="17" a="1"/>
  <c r="O512" i="17"/>
  <c r="O513" i="17" a="1"/>
  <c r="O513" i="17" s="1"/>
  <c r="O514" i="17" a="1"/>
  <c r="O514" i="17" s="1"/>
  <c r="O515" i="17" a="1"/>
  <c r="O515" i="17" s="1"/>
  <c r="O21" i="17" a="1"/>
  <c r="O21" i="17" s="1"/>
  <c r="O71" i="17" a="1"/>
  <c r="O71" i="17" s="1"/>
  <c r="O121" i="17" a="1"/>
  <c r="O121" i="17" s="1"/>
  <c r="O171" i="17" a="1"/>
  <c r="O171" i="17" s="1"/>
  <c r="O221" i="17" a="1"/>
  <c r="O221" i="17" s="1"/>
  <c r="O271" i="17" a="1"/>
  <c r="O271" i="17" s="1"/>
  <c r="O321" i="17" a="1"/>
  <c r="O321" i="17" s="1"/>
  <c r="O371" i="17" a="1"/>
  <c r="O371" i="17" s="1"/>
  <c r="O516" i="17" a="1"/>
  <c r="O516" i="17"/>
  <c r="O517" i="17" a="1"/>
  <c r="O517" i="17" s="1"/>
  <c r="O518" i="17" a="1"/>
  <c r="O518" i="17"/>
  <c r="O519" i="17" a="1"/>
  <c r="O519" i="17"/>
  <c r="O520" i="17" a="1"/>
  <c r="O520" i="17" s="1"/>
  <c r="O521" i="17" a="1"/>
  <c r="O521" i="17" s="1"/>
  <c r="O22" i="17" a="1"/>
  <c r="O22" i="17" s="1"/>
  <c r="O72" i="17" a="1"/>
  <c r="O72" i="17" s="1"/>
  <c r="O122" i="17" a="1"/>
  <c r="O122" i="17" s="1"/>
  <c r="O172" i="17" a="1"/>
  <c r="O172" i="17" s="1"/>
  <c r="O222" i="17" a="1"/>
  <c r="O222" i="17" s="1"/>
  <c r="O272" i="17" a="1"/>
  <c r="O272" i="17" s="1"/>
  <c r="O322" i="17" a="1"/>
  <c r="O322" i="17" s="1"/>
  <c r="O372" i="17" a="1"/>
  <c r="O372" i="17" s="1"/>
  <c r="O522" i="17" a="1"/>
  <c r="O522" i="17" s="1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23" i="17" a="1"/>
  <c r="O23" i="17" s="1"/>
  <c r="O73" i="17" a="1"/>
  <c r="O73" i="17" s="1"/>
  <c r="O123" i="17" a="1"/>
  <c r="O123" i="17" s="1"/>
  <c r="O173" i="17" a="1"/>
  <c r="O173" i="17" s="1"/>
  <c r="O223" i="17" a="1"/>
  <c r="O223" i="17"/>
  <c r="O273" i="17" a="1"/>
  <c r="O273" i="17" s="1"/>
  <c r="O323" i="17" a="1"/>
  <c r="O323" i="17" s="1"/>
  <c r="O373" i="17" a="1"/>
  <c r="O373" i="17"/>
  <c r="O528" i="17" a="1"/>
  <c r="O528" i="17" s="1"/>
  <c r="O529" i="17" a="1"/>
  <c r="O529" i="17" s="1"/>
  <c r="O530" i="17" a="1"/>
  <c r="O530" i="17" s="1"/>
  <c r="O531" i="17" a="1"/>
  <c r="O531" i="17"/>
  <c r="O532" i="17" a="1"/>
  <c r="O532" i="17" s="1"/>
  <c r="O533" i="17" a="1"/>
  <c r="O533" i="17" s="1"/>
  <c r="O24" i="17" a="1"/>
  <c r="O24" i="17" s="1"/>
  <c r="O74" i="17" a="1"/>
  <c r="O74" i="17" s="1"/>
  <c r="O124" i="17" a="1"/>
  <c r="O124" i="17" s="1"/>
  <c r="O174" i="17" a="1"/>
  <c r="O174" i="17" s="1"/>
  <c r="O224" i="17" a="1"/>
  <c r="O224" i="17" s="1"/>
  <c r="O274" i="17" a="1"/>
  <c r="O274" i="17" s="1"/>
  <c r="O324" i="17" a="1"/>
  <c r="O324" i="17" s="1"/>
  <c r="O374" i="17" a="1"/>
  <c r="O374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 s="1"/>
  <c r="O25" i="17" a="1"/>
  <c r="O25" i="17" s="1"/>
  <c r="O75" i="17" a="1"/>
  <c r="O75" i="17" s="1"/>
  <c r="O125" i="17" a="1"/>
  <c r="O125" i="17" s="1"/>
  <c r="O175" i="17" a="1"/>
  <c r="O175" i="17" s="1"/>
  <c r="O225" i="17" a="1"/>
  <c r="O225" i="17" s="1"/>
  <c r="O275" i="17" a="1"/>
  <c r="O275" i="17" s="1"/>
  <c r="O325" i="17" a="1"/>
  <c r="O325" i="17" s="1"/>
  <c r="O375" i="17" a="1"/>
  <c r="O375" i="17" s="1"/>
  <c r="O540" i="17" a="1"/>
  <c r="O540" i="17" s="1"/>
  <c r="O541" i="17" a="1"/>
  <c r="O541" i="17" s="1"/>
  <c r="O542" i="17" a="1"/>
  <c r="O542" i="17" s="1"/>
  <c r="O543" i="17" a="1"/>
  <c r="O543" i="17" s="1"/>
  <c r="O544" i="17" a="1"/>
  <c r="O544" i="17" s="1"/>
  <c r="O545" i="17" a="1"/>
  <c r="O545" i="17" s="1"/>
  <c r="O26" i="17" a="1"/>
  <c r="O26" i="17" s="1"/>
  <c r="O76" i="17" a="1"/>
  <c r="O76" i="17" s="1"/>
  <c r="O126" i="17" a="1"/>
  <c r="O126" i="17" s="1"/>
  <c r="O176" i="17" a="1"/>
  <c r="O176" i="17" s="1"/>
  <c r="O226" i="17" a="1"/>
  <c r="O226" i="17" s="1"/>
  <c r="O276" i="17" a="1"/>
  <c r="O276" i="17" s="1"/>
  <c r="O326" i="17" a="1"/>
  <c r="O326" i="17" s="1"/>
  <c r="O376" i="17" a="1"/>
  <c r="O376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 s="1"/>
  <c r="O27" i="17" a="1"/>
  <c r="O27" i="17" s="1"/>
  <c r="O77" i="17" a="1"/>
  <c r="O77" i="17" s="1"/>
  <c r="O127" i="17" a="1"/>
  <c r="O127" i="17" s="1"/>
  <c r="O177" i="17" a="1"/>
  <c r="O177" i="17" s="1"/>
  <c r="O227" i="17" a="1"/>
  <c r="O227" i="17" s="1"/>
  <c r="O277" i="17" a="1"/>
  <c r="O277" i="17" s="1"/>
  <c r="O327" i="17" a="1"/>
  <c r="O327" i="17" s="1"/>
  <c r="O377" i="17" a="1"/>
  <c r="O377" i="17" s="1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28" i="17" a="1"/>
  <c r="O28" i="17" s="1"/>
  <c r="O78" i="17" a="1"/>
  <c r="O78" i="17" s="1"/>
  <c r="O128" i="17" a="1"/>
  <c r="O128" i="17" s="1"/>
  <c r="O178" i="17" a="1"/>
  <c r="O178" i="17" s="1"/>
  <c r="O228" i="17" a="1"/>
  <c r="O228" i="17" s="1"/>
  <c r="O278" i="17" a="1"/>
  <c r="O278" i="17" s="1"/>
  <c r="O328" i="17" a="1"/>
  <c r="O328" i="17" s="1"/>
  <c r="O378" i="17" a="1"/>
  <c r="O378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29" i="17" a="1"/>
  <c r="O29" i="17" s="1"/>
  <c r="O79" i="17" a="1"/>
  <c r="O79" i="17" s="1"/>
  <c r="O129" i="17" a="1"/>
  <c r="O129" i="17" s="1"/>
  <c r="O179" i="17" a="1"/>
  <c r="O179" i="17" s="1"/>
  <c r="O229" i="17" a="1"/>
  <c r="O229" i="17" s="1"/>
  <c r="O279" i="17" a="1"/>
  <c r="O279" i="17" s="1"/>
  <c r="O329" i="17" a="1"/>
  <c r="O329" i="17" s="1"/>
  <c r="O379" i="17" a="1"/>
  <c r="O379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30" i="17" a="1"/>
  <c r="O30" i="17" s="1"/>
  <c r="O80" i="17" a="1"/>
  <c r="O80" i="17" s="1"/>
  <c r="O130" i="17" a="1"/>
  <c r="O130" i="17" s="1"/>
  <c r="O180" i="17" a="1"/>
  <c r="O180" i="17" s="1"/>
  <c r="O230" i="17" a="1"/>
  <c r="O230" i="17"/>
  <c r="O280" i="17" a="1"/>
  <c r="O280" i="17" s="1"/>
  <c r="O330" i="17" a="1"/>
  <c r="O330" i="17" s="1"/>
  <c r="O380" i="17" a="1"/>
  <c r="O380" i="17" s="1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31" i="17" a="1"/>
  <c r="O31" i="17" s="1"/>
  <c r="O81" i="17" a="1"/>
  <c r="O81" i="17" s="1"/>
  <c r="O131" i="17" a="1"/>
  <c r="O131" i="17" s="1"/>
  <c r="O181" i="17" a="1"/>
  <c r="O181" i="17" s="1"/>
  <c r="O231" i="17" a="1"/>
  <c r="O231" i="17" s="1"/>
  <c r="O281" i="17" a="1"/>
  <c r="O281" i="17" s="1"/>
  <c r="O331" i="17" a="1"/>
  <c r="O331" i="17" s="1"/>
  <c r="O381" i="17" a="1"/>
  <c r="O381" i="17" s="1"/>
  <c r="O576" i="17" a="1"/>
  <c r="O576" i="17" s="1"/>
  <c r="O577" i="17" a="1"/>
  <c r="O577" i="17" s="1"/>
  <c r="O578" i="17" a="1"/>
  <c r="O578" i="17" s="1"/>
  <c r="O579" i="17" a="1"/>
  <c r="O579" i="17" s="1"/>
  <c r="O580" i="17" a="1"/>
  <c r="O580" i="17" s="1"/>
  <c r="O581" i="17" a="1"/>
  <c r="O581" i="17" s="1"/>
  <c r="O32" i="17" a="1"/>
  <c r="O32" i="17" s="1"/>
  <c r="O82" i="17" a="1"/>
  <c r="O82" i="17" s="1"/>
  <c r="O132" i="17" a="1"/>
  <c r="O132" i="17" s="1"/>
  <c r="O182" i="17" a="1"/>
  <c r="O182" i="17" s="1"/>
  <c r="O232" i="17" a="1"/>
  <c r="O232" i="17" s="1"/>
  <c r="O282" i="17" a="1"/>
  <c r="O282" i="17" s="1"/>
  <c r="O332" i="17" a="1"/>
  <c r="O332" i="17" s="1"/>
  <c r="O382" i="17" a="1"/>
  <c r="O382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 s="1"/>
  <c r="O587" i="17" a="1"/>
  <c r="O587" i="17" s="1"/>
  <c r="O33" i="17" a="1"/>
  <c r="O33" i="17" s="1"/>
  <c r="O83" i="17" a="1"/>
  <c r="O83" i="17" s="1"/>
  <c r="O133" i="17" a="1"/>
  <c r="O133" i="17" s="1"/>
  <c r="O183" i="17" a="1"/>
  <c r="O183" i="17" s="1"/>
  <c r="O233" i="17" a="1"/>
  <c r="O233" i="17" s="1"/>
  <c r="O283" i="17" a="1"/>
  <c r="O283" i="17" s="1"/>
  <c r="O333" i="17" a="1"/>
  <c r="O333" i="17" s="1"/>
  <c r="O383" i="17" a="1"/>
  <c r="O383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34" i="17" a="1"/>
  <c r="O34" i="17"/>
  <c r="O84" i="17" a="1"/>
  <c r="O84" i="17"/>
  <c r="O134" i="17" a="1"/>
  <c r="O134" i="17"/>
  <c r="O184" i="17" a="1"/>
  <c r="O184" i="17" s="1"/>
  <c r="O234" i="17" a="1"/>
  <c r="O234" i="17"/>
  <c r="O284" i="17" a="1"/>
  <c r="O284" i="17" s="1"/>
  <c r="O334" i="17" a="1"/>
  <c r="O334" i="17" s="1"/>
  <c r="O384" i="17" a="1"/>
  <c r="O384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35" i="17" a="1"/>
  <c r="O35" i="17"/>
  <c r="O85" i="17" a="1"/>
  <c r="O85" i="17"/>
  <c r="O135" i="17" a="1"/>
  <c r="O135" i="17" s="1"/>
  <c r="O185" i="17" a="1"/>
  <c r="O185" i="17"/>
  <c r="O235" i="17" a="1"/>
  <c r="O235" i="17" s="1"/>
  <c r="O285" i="17" a="1"/>
  <c r="O285" i="17" s="1"/>
  <c r="O335" i="17" a="1"/>
  <c r="O335" i="17" s="1"/>
  <c r="O385" i="17" a="1"/>
  <c r="O385" i="17"/>
  <c r="O600" i="17" a="1"/>
  <c r="O600" i="17" s="1"/>
  <c r="O601" i="17" a="1"/>
  <c r="O601" i="17" s="1"/>
  <c r="O602" i="17" a="1"/>
  <c r="O602" i="17" s="1"/>
  <c r="O603" i="17" a="1"/>
  <c r="O603" i="17" s="1"/>
  <c r="O604" i="17" a="1"/>
  <c r="O604" i="17" s="1"/>
  <c r="O605" i="17" a="1"/>
  <c r="O605" i="17" s="1"/>
  <c r="O36" i="17" a="1"/>
  <c r="O36" i="17" s="1"/>
  <c r="O86" i="17" a="1"/>
  <c r="O86" i="17" s="1"/>
  <c r="O136" i="17" a="1"/>
  <c r="O136" i="17" s="1"/>
  <c r="O186" i="17" a="1"/>
  <c r="O186" i="17" s="1"/>
  <c r="O236" i="17" a="1"/>
  <c r="O236" i="17" s="1"/>
  <c r="O286" i="17" a="1"/>
  <c r="O286" i="17" s="1"/>
  <c r="O336" i="17" a="1"/>
  <c r="O336" i="17" s="1"/>
  <c r="O386" i="17" a="1"/>
  <c r="O386" i="17" s="1"/>
  <c r="O606" i="17" a="1"/>
  <c r="O606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37" i="17" a="1"/>
  <c r="O37" i="17" s="1"/>
  <c r="O87" i="17" a="1"/>
  <c r="O87" i="17" s="1"/>
  <c r="O137" i="17" a="1"/>
  <c r="O137" i="17" s="1"/>
  <c r="O187" i="17" a="1"/>
  <c r="O187" i="17"/>
  <c r="O237" i="17" a="1"/>
  <c r="O237" i="17" s="1"/>
  <c r="O287" i="17" a="1"/>
  <c r="O287" i="17" s="1"/>
  <c r="O337" i="17" a="1"/>
  <c r="O337" i="17" s="1"/>
  <c r="O387" i="17" a="1"/>
  <c r="O387" i="17" s="1"/>
  <c r="O612" i="17" a="1"/>
  <c r="O612" i="17" s="1"/>
  <c r="O613" i="17" a="1"/>
  <c r="O613" i="17" s="1"/>
  <c r="O614" i="17" a="1"/>
  <c r="O614" i="17" s="1"/>
  <c r="O615" i="17" a="1"/>
  <c r="O615" i="17" s="1"/>
  <c r="O616" i="17" a="1"/>
  <c r="O616" i="17" s="1"/>
  <c r="O617" i="17" a="1"/>
  <c r="O617" i="17" s="1"/>
  <c r="O38" i="17" a="1"/>
  <c r="O38" i="17" s="1"/>
  <c r="O88" i="17" a="1"/>
  <c r="O88" i="17" s="1"/>
  <c r="O138" i="17" a="1"/>
  <c r="O138" i="17" s="1"/>
  <c r="O188" i="17" a="1"/>
  <c r="O188" i="17" s="1"/>
  <c r="O238" i="17" a="1"/>
  <c r="O238" i="17" s="1"/>
  <c r="O288" i="17" a="1"/>
  <c r="O288" i="17"/>
  <c r="O338" i="17" a="1"/>
  <c r="O338" i="17" s="1"/>
  <c r="O388" i="17" a="1"/>
  <c r="O388" i="17" s="1"/>
  <c r="O618" i="17" a="1"/>
  <c r="O618" i="17" s="1"/>
  <c r="O619" i="17" a="1"/>
  <c r="O619" i="17" s="1"/>
  <c r="O620" i="17" a="1"/>
  <c r="O620" i="17"/>
  <c r="O621" i="17" a="1"/>
  <c r="O621" i="17" s="1"/>
  <c r="O622" i="17" a="1"/>
  <c r="O622" i="17" s="1"/>
  <c r="O623" i="17" a="1"/>
  <c r="O623" i="17" s="1"/>
  <c r="O39" i="17" a="1"/>
  <c r="O39" i="17" s="1"/>
  <c r="O89" i="17" a="1"/>
  <c r="O89" i="17" s="1"/>
  <c r="O139" i="17" a="1"/>
  <c r="O139" i="17" s="1"/>
  <c r="O189" i="17" a="1"/>
  <c r="O189" i="17" s="1"/>
  <c r="O239" i="17" a="1"/>
  <c r="O239" i="17" s="1"/>
  <c r="O289" i="17" a="1"/>
  <c r="O289" i="17" s="1"/>
  <c r="O339" i="17" a="1"/>
  <c r="O339" i="17"/>
  <c r="O389" i="17" a="1"/>
  <c r="O389" i="17" s="1"/>
  <c r="O624" i="17" a="1"/>
  <c r="O624" i="17"/>
  <c r="O625" i="17" a="1"/>
  <c r="O625" i="17" s="1"/>
  <c r="O626" i="17" a="1"/>
  <c r="O626" i="17" s="1"/>
  <c r="O627" i="17" a="1"/>
  <c r="O627" i="17" s="1"/>
  <c r="O628" i="17" a="1"/>
  <c r="O628" i="17" s="1"/>
  <c r="O629" i="17" a="1"/>
  <c r="O629" i="17" s="1"/>
  <c r="O40" i="17" a="1"/>
  <c r="O40" i="17" s="1"/>
  <c r="O90" i="17" a="1"/>
  <c r="O90" i="17" s="1"/>
  <c r="O140" i="17" a="1"/>
  <c r="O140" i="17" s="1"/>
  <c r="O190" i="17" a="1"/>
  <c r="O190" i="17" s="1"/>
  <c r="O240" i="17" a="1"/>
  <c r="O240" i="17" s="1"/>
  <c r="O290" i="17" a="1"/>
  <c r="O290" i="17" s="1"/>
  <c r="O340" i="17" a="1"/>
  <c r="O340" i="17" s="1"/>
  <c r="O390" i="17" a="1"/>
  <c r="O390" i="17" s="1"/>
  <c r="O630" i="17" a="1"/>
  <c r="O630" i="17" s="1"/>
  <c r="O631" i="17" a="1"/>
  <c r="O631" i="17" s="1"/>
  <c r="O632" i="17" a="1"/>
  <c r="O632" i="17" s="1"/>
  <c r="O633" i="17" a="1"/>
  <c r="O633" i="17"/>
  <c r="O634" i="17" a="1"/>
  <c r="O634" i="17" s="1"/>
  <c r="O635" i="17" a="1"/>
  <c r="O635" i="17" s="1"/>
  <c r="O41" i="17" a="1"/>
  <c r="O41" i="17" s="1"/>
  <c r="O91" i="17" a="1"/>
  <c r="O91" i="17" s="1"/>
  <c r="O141" i="17" a="1"/>
  <c r="O141" i="17" s="1"/>
  <c r="O191" i="17" a="1"/>
  <c r="O191" i="17" s="1"/>
  <c r="O241" i="17" a="1"/>
  <c r="O241" i="17" s="1"/>
  <c r="O291" i="17" a="1"/>
  <c r="O291" i="17" s="1"/>
  <c r="O341" i="17" a="1"/>
  <c r="O341" i="17" s="1"/>
  <c r="O391" i="17" a="1"/>
  <c r="O391" i="17" s="1"/>
  <c r="O636" i="17" a="1"/>
  <c r="O636" i="17" s="1"/>
  <c r="O637" i="17" a="1"/>
  <c r="O637" i="17" s="1"/>
  <c r="O638" i="17" a="1"/>
  <c r="O638" i="17"/>
  <c r="O639" i="17" a="1"/>
  <c r="O639" i="17" s="1"/>
  <c r="O640" i="17" a="1"/>
  <c r="O640" i="17" s="1"/>
  <c r="O641" i="17" a="1"/>
  <c r="O641" i="17"/>
  <c r="O42" i="17" a="1"/>
  <c r="O42" i="17" s="1"/>
  <c r="O92" i="17" a="1"/>
  <c r="O92" i="17" s="1"/>
  <c r="O142" i="17" a="1"/>
  <c r="O142" i="17" s="1"/>
  <c r="O192" i="17" a="1"/>
  <c r="O192" i="17" s="1"/>
  <c r="O242" i="17" a="1"/>
  <c r="O242" i="17" s="1"/>
  <c r="O292" i="17" a="1"/>
  <c r="O292" i="17" s="1"/>
  <c r="O342" i="17" a="1"/>
  <c r="O342" i="17" s="1"/>
  <c r="O392" i="17" a="1"/>
  <c r="O392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43" i="17" a="1"/>
  <c r="O43" i="17" s="1"/>
  <c r="O93" i="17" a="1"/>
  <c r="O93" i="17"/>
  <c r="O143" i="17" a="1"/>
  <c r="O143" i="17" s="1"/>
  <c r="O193" i="17" a="1"/>
  <c r="O193" i="17" s="1"/>
  <c r="O243" i="17" a="1"/>
  <c r="O243" i="17" s="1"/>
  <c r="O293" i="17" a="1"/>
  <c r="O293" i="17" s="1"/>
  <c r="O343" i="17" a="1"/>
  <c r="O343" i="17" s="1"/>
  <c r="O393" i="17" a="1"/>
  <c r="O393" i="17" s="1"/>
  <c r="O648" i="17" a="1"/>
  <c r="O648" i="17" s="1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44" i="17" a="1"/>
  <c r="O44" i="17" s="1"/>
  <c r="O94" i="17" a="1"/>
  <c r="O94" i="17" s="1"/>
  <c r="O144" i="17" a="1"/>
  <c r="O144" i="17" s="1"/>
  <c r="O194" i="17" a="1"/>
  <c r="O194" i="17" s="1"/>
  <c r="O244" i="17" a="1"/>
  <c r="O244" i="17"/>
  <c r="O294" i="17" a="1"/>
  <c r="O294" i="17" s="1"/>
  <c r="O344" i="17" a="1"/>
  <c r="O344" i="17" s="1"/>
  <c r="O394" i="17" a="1"/>
  <c r="O394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45" i="17" a="1"/>
  <c r="O45" i="17" s="1"/>
  <c r="O95" i="17" a="1"/>
  <c r="O95" i="17" s="1"/>
  <c r="O145" i="17" a="1"/>
  <c r="O145" i="17" s="1"/>
  <c r="O195" i="17" a="1"/>
  <c r="O195" i="17" s="1"/>
  <c r="O245" i="17" a="1"/>
  <c r="O245" i="17" s="1"/>
  <c r="O295" i="17" a="1"/>
  <c r="O295" i="17" s="1"/>
  <c r="O345" i="17" a="1"/>
  <c r="O345" i="17" s="1"/>
  <c r="O395" i="17" a="1"/>
  <c r="O395" i="17" s="1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46" i="17" a="1"/>
  <c r="O46" i="17" s="1"/>
  <c r="O96" i="17" a="1"/>
  <c r="O96" i="17" s="1"/>
  <c r="O146" i="17" a="1"/>
  <c r="O146" i="17" s="1"/>
  <c r="O196" i="17" a="1"/>
  <c r="O196" i="17" s="1"/>
  <c r="O246" i="17" a="1"/>
  <c r="O246" i="17" s="1"/>
  <c r="O296" i="17" a="1"/>
  <c r="O296" i="17"/>
  <c r="O346" i="17" a="1"/>
  <c r="O346" i="17" s="1"/>
  <c r="O396" i="17" a="1"/>
  <c r="O396" i="17" s="1"/>
  <c r="O666" i="17" a="1"/>
  <c r="O666" i="17" s="1"/>
  <c r="O667" i="17" a="1"/>
  <c r="O667" i="17" s="1"/>
  <c r="O668" i="17" a="1"/>
  <c r="O668" i="17"/>
  <c r="O669" i="17" a="1"/>
  <c r="O669" i="17" s="1"/>
  <c r="O670" i="17" a="1"/>
  <c r="O670" i="17" s="1"/>
  <c r="O671" i="17" a="1"/>
  <c r="O671" i="17" s="1"/>
  <c r="O47" i="17" a="1"/>
  <c r="O47" i="17" s="1"/>
  <c r="O97" i="17" a="1"/>
  <c r="O97" i="17" s="1"/>
  <c r="O147" i="17" a="1"/>
  <c r="O147" i="17" s="1"/>
  <c r="O197" i="17" a="1"/>
  <c r="O197" i="17" s="1"/>
  <c r="O247" i="17" a="1"/>
  <c r="O247" i="17" s="1"/>
  <c r="O297" i="17" a="1"/>
  <c r="O297" i="17" s="1"/>
  <c r="O347" i="17" a="1"/>
  <c r="O347" i="17" s="1"/>
  <c r="O397" i="17" a="1"/>
  <c r="O397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48" i="17" a="1"/>
  <c r="O48" i="17" s="1"/>
  <c r="O98" i="17" a="1"/>
  <c r="O98" i="17" s="1"/>
  <c r="O148" i="17" a="1"/>
  <c r="O148" i="17" s="1"/>
  <c r="O198" i="17" a="1"/>
  <c r="O198" i="17" s="1"/>
  <c r="O248" i="17" a="1"/>
  <c r="O248" i="17" s="1"/>
  <c r="O298" i="17" a="1"/>
  <c r="O298" i="17" s="1"/>
  <c r="O348" i="17" a="1"/>
  <c r="O348" i="17" s="1"/>
  <c r="O398" i="17" a="1"/>
  <c r="O398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 s="1"/>
  <c r="O49" i="17" a="1"/>
  <c r="O49" i="17" s="1"/>
  <c r="O99" i="17" a="1"/>
  <c r="O99" i="17" s="1"/>
  <c r="O149" i="17" a="1"/>
  <c r="O149" i="17" s="1"/>
  <c r="O199" i="17" a="1"/>
  <c r="O199" i="17" s="1"/>
  <c r="O249" i="17" a="1"/>
  <c r="O249" i="17" s="1"/>
  <c r="O299" i="17" a="1"/>
  <c r="O299" i="17" s="1"/>
  <c r="O349" i="17" a="1"/>
  <c r="O349" i="17" s="1"/>
  <c r="O399" i="17" a="1"/>
  <c r="O399" i="17" s="1"/>
  <c r="O684" i="17" a="1"/>
  <c r="O684" i="17" s="1"/>
  <c r="O685" i="17" a="1"/>
  <c r="O685" i="17" s="1"/>
  <c r="O686" i="17" a="1"/>
  <c r="O686" i="17" s="1"/>
  <c r="O687" i="17" a="1"/>
  <c r="O687" i="17" s="1"/>
  <c r="O688" i="17" a="1"/>
  <c r="O688" i="17"/>
  <c r="O689" i="17" a="1"/>
  <c r="O689" i="17" s="1"/>
  <c r="O50" i="17" a="1"/>
  <c r="O50" i="17"/>
  <c r="O100" i="17" a="1"/>
  <c r="O100" i="17" s="1"/>
  <c r="O150" i="17" a="1"/>
  <c r="O150" i="17" s="1"/>
  <c r="O200" i="17" a="1"/>
  <c r="O200" i="17" s="1"/>
  <c r="O250" i="17" a="1"/>
  <c r="O250" i="17" s="1"/>
  <c r="O300" i="17" a="1"/>
  <c r="O300" i="17" s="1"/>
  <c r="O350" i="17" a="1"/>
  <c r="O350" i="17" s="1"/>
  <c r="O400" i="17" a="1"/>
  <c r="O400" i="17" s="1"/>
  <c r="O690" i="17" a="1"/>
  <c r="O690" i="17" s="1"/>
  <c r="O691" i="17" a="1"/>
  <c r="O691" i="17"/>
  <c r="O692" i="17" a="1"/>
  <c r="O692" i="17"/>
  <c r="O693" i="17" a="1"/>
  <c r="O693" i="17" s="1"/>
  <c r="O694" i="17" a="1"/>
  <c r="O694" i="17" s="1"/>
  <c r="O695" i="17" a="1"/>
  <c r="O695" i="17" s="1"/>
  <c r="O51" i="17" a="1"/>
  <c r="O51" i="17" s="1"/>
  <c r="O101" i="17" a="1"/>
  <c r="O101" i="17" s="1"/>
  <c r="O151" i="17" a="1"/>
  <c r="O151" i="17" s="1"/>
  <c r="O201" i="17" a="1"/>
  <c r="O201" i="17" s="1"/>
  <c r="O251" i="17" a="1"/>
  <c r="O251" i="17" s="1"/>
  <c r="O301" i="17" a="1"/>
  <c r="O301" i="17" s="1"/>
  <c r="O351" i="17" a="1"/>
  <c r="O351" i="17" s="1"/>
  <c r="O401" i="17" a="1"/>
  <c r="O401" i="17" s="1"/>
  <c r="O696" i="17" a="1"/>
  <c r="O696" i="17" s="1"/>
  <c r="O697" i="17" a="1"/>
  <c r="O697" i="17"/>
  <c r="O698" i="17" a="1"/>
  <c r="O698" i="17" s="1"/>
  <c r="O699" i="17" a="1"/>
  <c r="O699" i="17" s="1"/>
  <c r="O700" i="17" a="1"/>
  <c r="O700" i="17" s="1"/>
  <c r="O701" i="17" a="1"/>
  <c r="O701" i="17" s="1"/>
  <c r="P2" i="17" a="1"/>
  <c r="P2" i="17" s="1"/>
  <c r="P52" i="17" a="1"/>
  <c r="P52" i="17" s="1"/>
  <c r="P102" i="17" a="1"/>
  <c r="P102" i="17" s="1"/>
  <c r="P152" i="17" a="1"/>
  <c r="P152" i="17" s="1"/>
  <c r="P202" i="17" a="1"/>
  <c r="P202" i="17" s="1"/>
  <c r="P252" i="17" a="1"/>
  <c r="P252" i="17" s="1"/>
  <c r="P302" i="17" a="1"/>
  <c r="P302" i="17" s="1"/>
  <c r="P352" i="17" a="1"/>
  <c r="P352" i="17" s="1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 s="1"/>
  <c r="P3" i="17" a="1"/>
  <c r="P3" i="17" s="1"/>
  <c r="P53" i="17" a="1"/>
  <c r="P53" i="17" s="1"/>
  <c r="P103" i="17" a="1"/>
  <c r="P103" i="17" s="1"/>
  <c r="P153" i="17" a="1"/>
  <c r="P153" i="17" s="1"/>
  <c r="P203" i="17" a="1"/>
  <c r="P203" i="17" s="1"/>
  <c r="P253" i="17" a="1"/>
  <c r="P253" i="17"/>
  <c r="P303" i="17" a="1"/>
  <c r="P303" i="17" s="1"/>
  <c r="P353" i="17" a="1"/>
  <c r="P353" i="17" s="1"/>
  <c r="P408" i="17" a="1"/>
  <c r="P408" i="17" s="1"/>
  <c r="P409" i="17" a="1"/>
  <c r="P409" i="17" s="1"/>
  <c r="P410" i="17" a="1"/>
  <c r="P410" i="17"/>
  <c r="P411" i="17" a="1"/>
  <c r="P411" i="17" s="1"/>
  <c r="P412" i="17" a="1"/>
  <c r="P412" i="17" s="1"/>
  <c r="P413" i="17" a="1"/>
  <c r="P413" i="17" s="1"/>
  <c r="P4" i="17" a="1"/>
  <c r="P4" i="17" s="1"/>
  <c r="P54" i="17" a="1"/>
  <c r="P54" i="17" s="1"/>
  <c r="P104" i="17" a="1"/>
  <c r="P104" i="17" s="1"/>
  <c r="P154" i="17" a="1"/>
  <c r="P154" i="17" s="1"/>
  <c r="P204" i="17" a="1"/>
  <c r="P204" i="17" s="1"/>
  <c r="P254" i="17" a="1"/>
  <c r="P254" i="17" s="1"/>
  <c r="P304" i="17" a="1"/>
  <c r="P304" i="17" s="1"/>
  <c r="P354" i="17" a="1"/>
  <c r="P354" i="17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 s="1"/>
  <c r="P419" i="17" a="1"/>
  <c r="P419" i="17" s="1"/>
  <c r="P5" i="17" a="1"/>
  <c r="P5" i="17" s="1"/>
  <c r="P55" i="17" a="1"/>
  <c r="P55" i="17" s="1"/>
  <c r="P105" i="17" a="1"/>
  <c r="P105" i="17" s="1"/>
  <c r="P155" i="17" a="1"/>
  <c r="P155" i="17" s="1"/>
  <c r="P205" i="17" a="1"/>
  <c r="P205" i="17" s="1"/>
  <c r="P255" i="17" a="1"/>
  <c r="P255" i="17" s="1"/>
  <c r="P305" i="17" a="1"/>
  <c r="P305" i="17" s="1"/>
  <c r="P355" i="17" a="1"/>
  <c r="P355" i="17" s="1"/>
  <c r="P420" i="17" a="1"/>
  <c r="P420" i="17" s="1"/>
  <c r="P421" i="17" a="1"/>
  <c r="P421" i="17"/>
  <c r="P422" i="17" a="1"/>
  <c r="P422" i="17" s="1"/>
  <c r="P423" i="17" a="1"/>
  <c r="P423" i="17" s="1"/>
  <c r="P424" i="17" a="1"/>
  <c r="P424" i="17" s="1"/>
  <c r="P425" i="17" a="1"/>
  <c r="P425" i="17" s="1"/>
  <c r="P6" i="17" a="1"/>
  <c r="P6" i="17" s="1"/>
  <c r="P56" i="17" a="1"/>
  <c r="P56" i="17" s="1"/>
  <c r="P106" i="17" a="1"/>
  <c r="P106" i="17" s="1"/>
  <c r="P156" i="17" a="1"/>
  <c r="P156" i="17" s="1"/>
  <c r="P206" i="17" a="1"/>
  <c r="P206" i="17" s="1"/>
  <c r="P256" i="17" a="1"/>
  <c r="P256" i="17" s="1"/>
  <c r="P306" i="17" a="1"/>
  <c r="P306" i="17" s="1"/>
  <c r="P356" i="17" a="1"/>
  <c r="P356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 s="1"/>
  <c r="P431" i="17" a="1"/>
  <c r="P431" i="17" s="1"/>
  <c r="P7" i="17" a="1"/>
  <c r="P7" i="17" s="1"/>
  <c r="P57" i="17" a="1"/>
  <c r="P57" i="17" s="1"/>
  <c r="P107" i="17" a="1"/>
  <c r="P107" i="17" s="1"/>
  <c r="P157" i="17" a="1"/>
  <c r="P157" i="17" s="1"/>
  <c r="P207" i="17" a="1"/>
  <c r="P207" i="17" s="1"/>
  <c r="P257" i="17" a="1"/>
  <c r="P257" i="17" s="1"/>
  <c r="P307" i="17" a="1"/>
  <c r="P307" i="17" s="1"/>
  <c r="P357" i="17" a="1"/>
  <c r="P357" i="17" s="1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 s="1"/>
  <c r="P8" i="17" a="1"/>
  <c r="P8" i="17" s="1"/>
  <c r="P58" i="17" a="1"/>
  <c r="P58" i="17" s="1"/>
  <c r="P108" i="17" a="1"/>
  <c r="P108" i="17" s="1"/>
  <c r="P158" i="17" a="1"/>
  <c r="P158" i="17" s="1"/>
  <c r="P208" i="17" a="1"/>
  <c r="P208" i="17"/>
  <c r="P258" i="17" a="1"/>
  <c r="P258" i="17" s="1"/>
  <c r="P308" i="17" a="1"/>
  <c r="P308" i="17"/>
  <c r="P358" i="17" a="1"/>
  <c r="P358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9" i="17" a="1"/>
  <c r="P9" i="17" s="1"/>
  <c r="P59" i="17" a="1"/>
  <c r="P59" i="17" s="1"/>
  <c r="P109" i="17" a="1"/>
  <c r="P109" i="17" s="1"/>
  <c r="P159" i="17" a="1"/>
  <c r="P159" i="17" s="1"/>
  <c r="P209" i="17" a="1"/>
  <c r="P209" i="17" s="1"/>
  <c r="P259" i="17" a="1"/>
  <c r="P259" i="17" s="1"/>
  <c r="P309" i="17" a="1"/>
  <c r="P309" i="17" s="1"/>
  <c r="P359" i="17" a="1"/>
  <c r="P359" i="17" s="1"/>
  <c r="P444" i="17" a="1"/>
  <c r="P444" i="17" s="1"/>
  <c r="P445" i="17" a="1"/>
  <c r="P445" i="17" s="1"/>
  <c r="P446" i="17" a="1"/>
  <c r="P446" i="17" s="1"/>
  <c r="P447" i="17" a="1"/>
  <c r="P447" i="17" s="1"/>
  <c r="P448" i="17" a="1"/>
  <c r="P448" i="17" s="1"/>
  <c r="P449" i="17" a="1"/>
  <c r="P449" i="17" s="1"/>
  <c r="P10" i="17" a="1"/>
  <c r="P10" i="17" s="1"/>
  <c r="P60" i="17" a="1"/>
  <c r="P60" i="17" s="1"/>
  <c r="P110" i="17" a="1"/>
  <c r="P110" i="17" s="1"/>
  <c r="P160" i="17" a="1"/>
  <c r="P160" i="17" s="1"/>
  <c r="P210" i="17" a="1"/>
  <c r="P210" i="17" s="1"/>
  <c r="P260" i="17" a="1"/>
  <c r="P260" i="17" s="1"/>
  <c r="P310" i="17" a="1"/>
  <c r="P310" i="17" s="1"/>
  <c r="P360" i="17" a="1"/>
  <c r="P360" i="17" s="1"/>
  <c r="P450" i="17" a="1"/>
  <c r="P450" i="17" s="1"/>
  <c r="P451" i="17" a="1"/>
  <c r="P451" i="17"/>
  <c r="P452" i="17" a="1"/>
  <c r="P452" i="17" s="1"/>
  <c r="P453" i="17" a="1"/>
  <c r="P453" i="17" s="1"/>
  <c r="P454" i="17" a="1"/>
  <c r="P454" i="17" s="1"/>
  <c r="P455" i="17" a="1"/>
  <c r="P455" i="17" s="1"/>
  <c r="P11" i="17" a="1"/>
  <c r="P11" i="17" s="1"/>
  <c r="P61" i="17" a="1"/>
  <c r="P61" i="17"/>
  <c r="P111" i="17" a="1"/>
  <c r="P111" i="17" s="1"/>
  <c r="P161" i="17" a="1"/>
  <c r="P161" i="17" s="1"/>
  <c r="P211" i="17" a="1"/>
  <c r="P211" i="17" s="1"/>
  <c r="P261" i="17" a="1"/>
  <c r="P261" i="17" s="1"/>
  <c r="P311" i="17" a="1"/>
  <c r="P311" i="17" s="1"/>
  <c r="P361" i="17" a="1"/>
  <c r="P361" i="17" s="1"/>
  <c r="P456" i="17" a="1"/>
  <c r="P456" i="17"/>
  <c r="P457" i="17" a="1"/>
  <c r="P457" i="17" s="1"/>
  <c r="P458" i="17" a="1"/>
  <c r="P458" i="17"/>
  <c r="P459" i="17" a="1"/>
  <c r="P459" i="17" s="1"/>
  <c r="P460" i="17" a="1"/>
  <c r="P460" i="17" s="1"/>
  <c r="P461" i="17" a="1"/>
  <c r="P461" i="17" s="1"/>
  <c r="P12" i="17" a="1"/>
  <c r="P12" i="17" s="1"/>
  <c r="P62" i="17" a="1"/>
  <c r="P62" i="17" s="1"/>
  <c r="P112" i="17" a="1"/>
  <c r="P112" i="17" s="1"/>
  <c r="P162" i="17" a="1"/>
  <c r="P162" i="17" s="1"/>
  <c r="P212" i="17" a="1"/>
  <c r="P212" i="17" s="1"/>
  <c r="P262" i="17" a="1"/>
  <c r="P262" i="17" s="1"/>
  <c r="P312" i="17" a="1"/>
  <c r="P312" i="17" s="1"/>
  <c r="P362" i="17" a="1"/>
  <c r="P362" i="17" s="1"/>
  <c r="P462" i="17" a="1"/>
  <c r="P462" i="17" s="1"/>
  <c r="P463" i="17" a="1"/>
  <c r="P463" i="17" s="1"/>
  <c r="P464" i="17" a="1"/>
  <c r="P464" i="17" s="1"/>
  <c r="P465" i="17" a="1"/>
  <c r="P465" i="17"/>
  <c r="P466" i="17" a="1"/>
  <c r="P466" i="17" s="1"/>
  <c r="P467" i="17" a="1"/>
  <c r="P467" i="17" s="1"/>
  <c r="P13" i="17" a="1"/>
  <c r="P13" i="17" s="1"/>
  <c r="P63" i="17" a="1"/>
  <c r="P63" i="17" s="1"/>
  <c r="P113" i="17" a="1"/>
  <c r="P113" i="17" s="1"/>
  <c r="P163" i="17" a="1"/>
  <c r="P163" i="17" s="1"/>
  <c r="P213" i="17" a="1"/>
  <c r="P213" i="17" s="1"/>
  <c r="P263" i="17" a="1"/>
  <c r="P263" i="17" s="1"/>
  <c r="P313" i="17" a="1"/>
  <c r="P313" i="17" s="1"/>
  <c r="P363" i="17" a="1"/>
  <c r="P363" i="17" s="1"/>
  <c r="P468" i="17" a="1"/>
  <c r="P468" i="17" s="1"/>
  <c r="P469" i="17" a="1"/>
  <c r="P469" i="17" s="1"/>
  <c r="P470" i="17" a="1"/>
  <c r="P470" i="17" s="1"/>
  <c r="P471" i="17" a="1"/>
  <c r="P471" i="17"/>
  <c r="P472" i="17" a="1"/>
  <c r="P472" i="17" s="1"/>
  <c r="P473" i="17" a="1"/>
  <c r="P473" i="17" s="1"/>
  <c r="P14" i="17" a="1"/>
  <c r="P14" i="17" s="1"/>
  <c r="P64" i="17" a="1"/>
  <c r="P64" i="17" s="1"/>
  <c r="P114" i="17" a="1"/>
  <c r="P114" i="17" s="1"/>
  <c r="P164" i="17" a="1"/>
  <c r="P164" i="17" s="1"/>
  <c r="P214" i="17" a="1"/>
  <c r="P214" i="17" s="1"/>
  <c r="P264" i="17" a="1"/>
  <c r="P264" i="17" s="1"/>
  <c r="P314" i="17" a="1"/>
  <c r="P314" i="17" s="1"/>
  <c r="P364" i="17" a="1"/>
  <c r="P364" i="17" s="1"/>
  <c r="P474" i="17" a="1"/>
  <c r="P474" i="17" s="1"/>
  <c r="P475" i="17" a="1"/>
  <c r="P475" i="17" s="1"/>
  <c r="P476" i="17" a="1"/>
  <c r="P476" i="17" s="1"/>
  <c r="P477" i="17" a="1"/>
  <c r="P477" i="17" s="1"/>
  <c r="P478" i="17" a="1"/>
  <c r="P478" i="17" s="1"/>
  <c r="P479" i="17" a="1"/>
  <c r="P479" i="17" s="1"/>
  <c r="P15" i="17" a="1"/>
  <c r="P15" i="17" s="1"/>
  <c r="P65" i="17" a="1"/>
  <c r="P65" i="17" s="1"/>
  <c r="P115" i="17" a="1"/>
  <c r="P115" i="17" s="1"/>
  <c r="P165" i="17" a="1"/>
  <c r="P165" i="17" s="1"/>
  <c r="P215" i="17" a="1"/>
  <c r="P215" i="17" s="1"/>
  <c r="P265" i="17" a="1"/>
  <c r="P265" i="17"/>
  <c r="P315" i="17" a="1"/>
  <c r="P315" i="17" s="1"/>
  <c r="P365" i="17" a="1"/>
  <c r="P365" i="17" s="1"/>
  <c r="P480" i="17" a="1"/>
  <c r="P480" i="17" s="1"/>
  <c r="P481" i="17" a="1"/>
  <c r="P481" i="17" s="1"/>
  <c r="P482" i="17" a="1"/>
  <c r="P482" i="17" s="1"/>
  <c r="P483" i="17" a="1"/>
  <c r="P483" i="17" s="1"/>
  <c r="P484" i="17" a="1"/>
  <c r="P484" i="17" s="1"/>
  <c r="P485" i="17" a="1"/>
  <c r="P485" i="17" s="1"/>
  <c r="P16" i="17" a="1"/>
  <c r="P16" i="17" s="1"/>
  <c r="P66" i="17" a="1"/>
  <c r="P66" i="17" s="1"/>
  <c r="P116" i="17" a="1"/>
  <c r="P116" i="17" s="1"/>
  <c r="P166" i="17" a="1"/>
  <c r="P166" i="17" s="1"/>
  <c r="P216" i="17" a="1"/>
  <c r="P216" i="17" s="1"/>
  <c r="P266" i="17" a="1"/>
  <c r="P266" i="17"/>
  <c r="P316" i="17" a="1"/>
  <c r="P316" i="17" s="1"/>
  <c r="P366" i="17" a="1"/>
  <c r="P366" i="17" s="1"/>
  <c r="P486" i="17" a="1"/>
  <c r="P486" i="17" s="1"/>
  <c r="P487" i="17" a="1"/>
  <c r="P487" i="17" s="1"/>
  <c r="P488" i="17" a="1"/>
  <c r="P488" i="17"/>
  <c r="P489" i="17" a="1"/>
  <c r="P489" i="17" s="1"/>
  <c r="P490" i="17" a="1"/>
  <c r="P490" i="17" s="1"/>
  <c r="P491" i="17" a="1"/>
  <c r="P491" i="17" s="1"/>
  <c r="P17" i="17" a="1"/>
  <c r="P17" i="17" s="1"/>
  <c r="P67" i="17" a="1"/>
  <c r="P67" i="17" s="1"/>
  <c r="P117" i="17" a="1"/>
  <c r="P117" i="17" s="1"/>
  <c r="P167" i="17" a="1"/>
  <c r="P167" i="17" s="1"/>
  <c r="P217" i="17" a="1"/>
  <c r="P217" i="17" s="1"/>
  <c r="P267" i="17" a="1"/>
  <c r="P267" i="17" s="1"/>
  <c r="P317" i="17" a="1"/>
  <c r="P317" i="17" s="1"/>
  <c r="P367" i="17" a="1"/>
  <c r="P367" i="17" s="1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 s="1"/>
  <c r="P497" i="17" a="1"/>
  <c r="P497" i="17" s="1"/>
  <c r="P18" i="17" a="1"/>
  <c r="P18" i="17" s="1"/>
  <c r="P68" i="17" a="1"/>
  <c r="P68" i="17" s="1"/>
  <c r="P118" i="17" a="1"/>
  <c r="P118" i="17" s="1"/>
  <c r="P168" i="17" a="1"/>
  <c r="P168" i="17" s="1"/>
  <c r="P218" i="17" a="1"/>
  <c r="P218" i="17" s="1"/>
  <c r="P268" i="17" a="1"/>
  <c r="P268" i="17" s="1"/>
  <c r="P318" i="17" a="1"/>
  <c r="P318" i="17" s="1"/>
  <c r="P368" i="17" a="1"/>
  <c r="P368" i="17" s="1"/>
  <c r="P498" i="17" a="1"/>
  <c r="P498" i="17" s="1"/>
  <c r="P499" i="17" a="1"/>
  <c r="P499" i="17"/>
  <c r="P500" i="17" a="1"/>
  <c r="P500" i="17" s="1"/>
  <c r="P501" i="17" a="1"/>
  <c r="P501" i="17" s="1"/>
  <c r="P502" i="17" a="1"/>
  <c r="P502" i="17" s="1"/>
  <c r="P503" i="17" a="1"/>
  <c r="P503" i="17" s="1"/>
  <c r="P19" i="17" a="1"/>
  <c r="P19" i="17" s="1"/>
  <c r="P69" i="17" a="1"/>
  <c r="P69" i="17" s="1"/>
  <c r="P119" i="17" a="1"/>
  <c r="P119" i="17" s="1"/>
  <c r="P169" i="17" a="1"/>
  <c r="P169" i="17" s="1"/>
  <c r="P219" i="17" a="1"/>
  <c r="P219" i="17" s="1"/>
  <c r="P269" i="17" a="1"/>
  <c r="P269" i="17" s="1"/>
  <c r="P319" i="17" a="1"/>
  <c r="P319" i="17" s="1"/>
  <c r="P369" i="17" a="1"/>
  <c r="P369" i="17" s="1"/>
  <c r="P504" i="17" a="1"/>
  <c r="P504" i="17" s="1"/>
  <c r="P505" i="17" a="1"/>
  <c r="P505" i="17" s="1"/>
  <c r="P506" i="17" a="1"/>
  <c r="P506" i="17" s="1"/>
  <c r="P507" i="17" a="1"/>
  <c r="P507" i="17" s="1"/>
  <c r="P508" i="17" a="1"/>
  <c r="P508" i="17" s="1"/>
  <c r="P509" i="17" a="1"/>
  <c r="P509" i="17" s="1"/>
  <c r="P20" i="17" a="1"/>
  <c r="P20" i="17" s="1"/>
  <c r="P70" i="17" a="1"/>
  <c r="P70" i="17" s="1"/>
  <c r="P120" i="17" a="1"/>
  <c r="P120" i="17" s="1"/>
  <c r="P170" i="17" a="1"/>
  <c r="P170" i="17" s="1"/>
  <c r="P220" i="17" a="1"/>
  <c r="P220" i="17" s="1"/>
  <c r="P270" i="17" a="1"/>
  <c r="P270" i="17"/>
  <c r="P320" i="17" a="1"/>
  <c r="P320" i="17" s="1"/>
  <c r="P370" i="17" a="1"/>
  <c r="P370" i="17"/>
  <c r="P510" i="17" a="1"/>
  <c r="P510" i="17" s="1"/>
  <c r="P511" i="17" a="1"/>
  <c r="P511" i="17"/>
  <c r="P512" i="17" a="1"/>
  <c r="P512" i="17" s="1"/>
  <c r="P513" i="17" a="1"/>
  <c r="P513" i="17" s="1"/>
  <c r="P514" i="17" a="1"/>
  <c r="P514" i="17" s="1"/>
  <c r="P515" i="17" a="1"/>
  <c r="P515" i="17" s="1"/>
  <c r="P21" i="17" a="1"/>
  <c r="P21" i="17" s="1"/>
  <c r="P71" i="17" a="1"/>
  <c r="P71" i="17" s="1"/>
  <c r="P121" i="17" a="1"/>
  <c r="P121" i="17" s="1"/>
  <c r="P171" i="17" a="1"/>
  <c r="P171" i="17" s="1"/>
  <c r="P221" i="17" a="1"/>
  <c r="P221" i="17" s="1"/>
  <c r="P271" i="17" a="1"/>
  <c r="P271" i="17" s="1"/>
  <c r="P321" i="17" a="1"/>
  <c r="P321" i="17" s="1"/>
  <c r="P371" i="17" a="1"/>
  <c r="P371" i="17" s="1"/>
  <c r="P516" i="17" a="1"/>
  <c r="P516" i="17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 s="1"/>
  <c r="P22" i="17" a="1"/>
  <c r="P22" i="17" s="1"/>
  <c r="P72" i="17" a="1"/>
  <c r="P72" i="17" s="1"/>
  <c r="P122" i="17" a="1"/>
  <c r="P122" i="17" s="1"/>
  <c r="P172" i="17" a="1"/>
  <c r="P172" i="17" s="1"/>
  <c r="P222" i="17" a="1"/>
  <c r="P222" i="17" s="1"/>
  <c r="P272" i="17" a="1"/>
  <c r="P272" i="17" s="1"/>
  <c r="P322" i="17" a="1"/>
  <c r="P322" i="17" s="1"/>
  <c r="P372" i="17" a="1"/>
  <c r="P372" i="17" s="1"/>
  <c r="P522" i="17" a="1"/>
  <c r="P522" i="17" s="1"/>
  <c r="P523" i="17" a="1"/>
  <c r="P523" i="17" s="1"/>
  <c r="P524" i="17" a="1"/>
  <c r="P524" i="17" s="1"/>
  <c r="P525" i="17" a="1"/>
  <c r="P525" i="17" s="1"/>
  <c r="P526" i="17" a="1"/>
  <c r="P526" i="17" s="1"/>
  <c r="P527" i="17" a="1"/>
  <c r="P527" i="17"/>
  <c r="P23" i="17" a="1"/>
  <c r="P23" i="17" s="1"/>
  <c r="P73" i="17" a="1"/>
  <c r="P73" i="17" s="1"/>
  <c r="P123" i="17" a="1"/>
  <c r="P123" i="17"/>
  <c r="P173" i="17" a="1"/>
  <c r="P173" i="17" s="1"/>
  <c r="P223" i="17" a="1"/>
  <c r="P223" i="17" s="1"/>
  <c r="P273" i="17" a="1"/>
  <c r="P273" i="17" s="1"/>
  <c r="P323" i="17" a="1"/>
  <c r="P323" i="17" s="1"/>
  <c r="P373" i="17" a="1"/>
  <c r="P373" i="17" s="1"/>
  <c r="P528" i="17" a="1"/>
  <c r="P528" i="17" s="1"/>
  <c r="P529" i="17" a="1"/>
  <c r="P529" i="17" s="1"/>
  <c r="P530" i="17" a="1"/>
  <c r="P530" i="17" s="1"/>
  <c r="P531" i="17" a="1"/>
  <c r="P531" i="17" s="1"/>
  <c r="P532" i="17" a="1"/>
  <c r="P532" i="17" s="1"/>
  <c r="P533" i="17" a="1"/>
  <c r="P533" i="17" s="1"/>
  <c r="P24" i="17" a="1"/>
  <c r="P24" i="17" s="1"/>
  <c r="P74" i="17" a="1"/>
  <c r="P74" i="17" s="1"/>
  <c r="P124" i="17" a="1"/>
  <c r="P124" i="17" s="1"/>
  <c r="P174" i="17" a="1"/>
  <c r="P174" i="17" s="1"/>
  <c r="P224" i="17" a="1"/>
  <c r="P224" i="17" s="1"/>
  <c r="P274" i="17" a="1"/>
  <c r="P274" i="17" s="1"/>
  <c r="P324" i="17" a="1"/>
  <c r="P324" i="17" s="1"/>
  <c r="P374" i="17" a="1"/>
  <c r="P374" i="17" s="1"/>
  <c r="P534" i="17" a="1"/>
  <c r="P534" i="17" s="1"/>
  <c r="P535" i="17" a="1"/>
  <c r="P535" i="17" s="1"/>
  <c r="P536" i="17" a="1"/>
  <c r="P536" i="17" s="1"/>
  <c r="P537" i="17" a="1"/>
  <c r="P537" i="17" s="1"/>
  <c r="P538" i="17" a="1"/>
  <c r="P538" i="17" s="1"/>
  <c r="P539" i="17" a="1"/>
  <c r="P539" i="17" s="1"/>
  <c r="P25" i="17" a="1"/>
  <c r="P25" i="17" s="1"/>
  <c r="P75" i="17" a="1"/>
  <c r="P75" i="17" s="1"/>
  <c r="P125" i="17" a="1"/>
  <c r="P125" i="17" s="1"/>
  <c r="P175" i="17" a="1"/>
  <c r="P175" i="17" s="1"/>
  <c r="P225" i="17" a="1"/>
  <c r="P225" i="17" s="1"/>
  <c r="P275" i="17" a="1"/>
  <c r="P275" i="17" s="1"/>
  <c r="P325" i="17" a="1"/>
  <c r="P325" i="17" s="1"/>
  <c r="P375" i="17" a="1"/>
  <c r="P375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26" i="17" a="1"/>
  <c r="P26" i="17" s="1"/>
  <c r="P76" i="17" a="1"/>
  <c r="P76" i="17" s="1"/>
  <c r="P126" i="17" a="1"/>
  <c r="P126" i="17" s="1"/>
  <c r="P176" i="17" a="1"/>
  <c r="P176" i="17" s="1"/>
  <c r="P226" i="17" a="1"/>
  <c r="P226" i="17" s="1"/>
  <c r="P276" i="17" a="1"/>
  <c r="P276" i="17" s="1"/>
  <c r="P326" i="17" a="1"/>
  <c r="P326" i="17" s="1"/>
  <c r="P376" i="17" a="1"/>
  <c r="P376" i="17" s="1"/>
  <c r="P546" i="17" a="1"/>
  <c r="P546" i="17" s="1"/>
  <c r="P547" i="17" a="1"/>
  <c r="P547" i="17" s="1"/>
  <c r="P548" i="17" a="1"/>
  <c r="P548" i="17" s="1"/>
  <c r="P549" i="17" a="1"/>
  <c r="P549" i="17" s="1"/>
  <c r="P550" i="17" a="1"/>
  <c r="P550" i="17" s="1"/>
  <c r="P551" i="17" a="1"/>
  <c r="P551" i="17" s="1"/>
  <c r="P27" i="17" a="1"/>
  <c r="P27" i="17" s="1"/>
  <c r="P77" i="17" a="1"/>
  <c r="P77" i="17" s="1"/>
  <c r="P127" i="17" a="1"/>
  <c r="P127" i="17" s="1"/>
  <c r="P177" i="17" a="1"/>
  <c r="P177" i="17" s="1"/>
  <c r="P227" i="17" a="1"/>
  <c r="P227" i="17" s="1"/>
  <c r="P277" i="17" a="1"/>
  <c r="P277" i="17" s="1"/>
  <c r="P327" i="17" a="1"/>
  <c r="P327" i="17" s="1"/>
  <c r="P377" i="17" a="1"/>
  <c r="P377" i="17" s="1"/>
  <c r="P552" i="17" a="1"/>
  <c r="P552" i="17" s="1"/>
  <c r="P553" i="17" a="1"/>
  <c r="P553" i="17" s="1"/>
  <c r="P554" i="17" a="1"/>
  <c r="P554" i="17" s="1"/>
  <c r="P555" i="17" a="1"/>
  <c r="P555" i="17" s="1"/>
  <c r="P556" i="17" a="1"/>
  <c r="P556" i="17" s="1"/>
  <c r="P557" i="17" a="1"/>
  <c r="P557" i="17"/>
  <c r="P28" i="17" a="1"/>
  <c r="P28" i="17" s="1"/>
  <c r="P78" i="17" a="1"/>
  <c r="P78" i="17" s="1"/>
  <c r="P128" i="17" a="1"/>
  <c r="P128" i="17" s="1"/>
  <c r="P178" i="17" a="1"/>
  <c r="P178" i="17" s="1"/>
  <c r="P228" i="17" a="1"/>
  <c r="P228" i="17" s="1"/>
  <c r="P278" i="17" a="1"/>
  <c r="P278" i="17" s="1"/>
  <c r="P328" i="17" a="1"/>
  <c r="P328" i="17" s="1"/>
  <c r="P378" i="17" a="1"/>
  <c r="P378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 s="1"/>
  <c r="P29" i="17" a="1"/>
  <c r="P29" i="17" s="1"/>
  <c r="P79" i="17" a="1"/>
  <c r="P79" i="17" s="1"/>
  <c r="P129" i="17" a="1"/>
  <c r="P129" i="17" s="1"/>
  <c r="P179" i="17" a="1"/>
  <c r="P179" i="17"/>
  <c r="P229" i="17" a="1"/>
  <c r="P229" i="17" s="1"/>
  <c r="P279" i="17" a="1"/>
  <c r="P279" i="17" s="1"/>
  <c r="P329" i="17" a="1"/>
  <c r="P329" i="17" s="1"/>
  <c r="P379" i="17" a="1"/>
  <c r="P379" i="17"/>
  <c r="P564" i="17" a="1"/>
  <c r="P564" i="17" s="1"/>
  <c r="P565" i="17" a="1"/>
  <c r="P565" i="17" s="1"/>
  <c r="P566" i="17" a="1"/>
  <c r="P566" i="17" s="1"/>
  <c r="P567" i="17" a="1"/>
  <c r="P567" i="17"/>
  <c r="P568" i="17" a="1"/>
  <c r="P568" i="17" s="1"/>
  <c r="P569" i="17" a="1"/>
  <c r="P569" i="17" s="1"/>
  <c r="P30" i="17" a="1"/>
  <c r="P30" i="17" s="1"/>
  <c r="P80" i="17" a="1"/>
  <c r="P80" i="17" s="1"/>
  <c r="P130" i="17" a="1"/>
  <c r="P130" i="17" s="1"/>
  <c r="P180" i="17" a="1"/>
  <c r="P180" i="17" s="1"/>
  <c r="P230" i="17" a="1"/>
  <c r="P230" i="17" s="1"/>
  <c r="P280" i="17" a="1"/>
  <c r="P280" i="17" s="1"/>
  <c r="P330" i="17" a="1"/>
  <c r="P330" i="17"/>
  <c r="P380" i="17" a="1"/>
  <c r="P380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31" i="17" a="1"/>
  <c r="P31" i="17" s="1"/>
  <c r="P81" i="17" a="1"/>
  <c r="P81" i="17" s="1"/>
  <c r="P131" i="17" a="1"/>
  <c r="P131" i="17" s="1"/>
  <c r="P181" i="17" a="1"/>
  <c r="P181" i="17" s="1"/>
  <c r="P231" i="17" a="1"/>
  <c r="P231" i="17" s="1"/>
  <c r="P281" i="17" a="1"/>
  <c r="P281" i="17" s="1"/>
  <c r="P331" i="17" a="1"/>
  <c r="P331" i="17" s="1"/>
  <c r="P381" i="17" a="1"/>
  <c r="P381" i="17" s="1"/>
  <c r="P576" i="17" a="1"/>
  <c r="P576" i="17" s="1"/>
  <c r="P577" i="17" a="1"/>
  <c r="P577" i="17" s="1"/>
  <c r="P578" i="17" a="1"/>
  <c r="P578" i="17"/>
  <c r="P579" i="17" a="1"/>
  <c r="P579" i="17" s="1"/>
  <c r="P580" i="17" a="1"/>
  <c r="P580" i="17" s="1"/>
  <c r="P581" i="17" a="1"/>
  <c r="P581" i="17" s="1"/>
  <c r="P32" i="17" a="1"/>
  <c r="P32" i="17" s="1"/>
  <c r="P82" i="17" a="1"/>
  <c r="P82" i="17" s="1"/>
  <c r="P132" i="17" a="1"/>
  <c r="P132" i="17"/>
  <c r="P182" i="17" a="1"/>
  <c r="P182" i="17" s="1"/>
  <c r="P232" i="17" a="1"/>
  <c r="P232" i="17" s="1"/>
  <c r="P282" i="17" a="1"/>
  <c r="P282" i="17" s="1"/>
  <c r="P332" i="17" a="1"/>
  <c r="P332" i="17" s="1"/>
  <c r="P382" i="17" a="1"/>
  <c r="P382" i="17" s="1"/>
  <c r="P582" i="17" a="1"/>
  <c r="P582" i="17" s="1"/>
  <c r="P583" i="17" a="1"/>
  <c r="P583" i="17" s="1"/>
  <c r="P584" i="17" a="1"/>
  <c r="P584" i="17"/>
  <c r="P585" i="17" a="1"/>
  <c r="P585" i="17" s="1"/>
  <c r="P586" i="17" a="1"/>
  <c r="P586" i="17" s="1"/>
  <c r="P587" i="17" a="1"/>
  <c r="P587" i="17" s="1"/>
  <c r="P33" i="17" a="1"/>
  <c r="P33" i="17"/>
  <c r="P83" i="17" a="1"/>
  <c r="P83" i="17" s="1"/>
  <c r="P133" i="17" a="1"/>
  <c r="P133" i="17" s="1"/>
  <c r="P183" i="17" a="1"/>
  <c r="P183" i="17" s="1"/>
  <c r="P233" i="17" a="1"/>
  <c r="P233" i="17" s="1"/>
  <c r="P283" i="17" a="1"/>
  <c r="P283" i="17" s="1"/>
  <c r="P333" i="17" a="1"/>
  <c r="P333" i="17" s="1"/>
  <c r="P383" i="17" a="1"/>
  <c r="P383" i="17" s="1"/>
  <c r="P588" i="17" a="1"/>
  <c r="P588" i="17" s="1"/>
  <c r="P589" i="17" a="1"/>
  <c r="P589" i="17" s="1"/>
  <c r="P590" i="17" a="1"/>
  <c r="P590" i="17" s="1"/>
  <c r="P591" i="17" a="1"/>
  <c r="P591" i="17" s="1"/>
  <c r="P592" i="17" a="1"/>
  <c r="P592" i="17" s="1"/>
  <c r="P593" i="17" a="1"/>
  <c r="P593" i="17" s="1"/>
  <c r="P34" i="17" a="1"/>
  <c r="P34" i="17" s="1"/>
  <c r="P84" i="17" a="1"/>
  <c r="P84" i="17" s="1"/>
  <c r="P134" i="17" a="1"/>
  <c r="P134" i="17" s="1"/>
  <c r="P184" i="17" a="1"/>
  <c r="P184" i="17" s="1"/>
  <c r="P234" i="17" a="1"/>
  <c r="P234" i="17" s="1"/>
  <c r="P284" i="17" a="1"/>
  <c r="P284" i="17" s="1"/>
  <c r="P334" i="17" a="1"/>
  <c r="P334" i="17" s="1"/>
  <c r="P384" i="17" a="1"/>
  <c r="P384" i="17"/>
  <c r="P594" i="17" a="1"/>
  <c r="P594" i="17" s="1"/>
  <c r="P595" i="17" a="1"/>
  <c r="P595" i="17"/>
  <c r="P596" i="17" a="1"/>
  <c r="P596" i="17" s="1"/>
  <c r="P597" i="17" a="1"/>
  <c r="P597" i="17" s="1"/>
  <c r="P598" i="17" a="1"/>
  <c r="P598" i="17" s="1"/>
  <c r="P599" i="17" a="1"/>
  <c r="P599" i="17"/>
  <c r="P35" i="17" a="1"/>
  <c r="P35" i="17" s="1"/>
  <c r="P85" i="17" a="1"/>
  <c r="P85" i="17" s="1"/>
  <c r="P135" i="17" a="1"/>
  <c r="P135" i="17" s="1"/>
  <c r="P185" i="17" a="1"/>
  <c r="P185" i="17" s="1"/>
  <c r="P235" i="17" a="1"/>
  <c r="P235" i="17" s="1"/>
  <c r="P285" i="17" a="1"/>
  <c r="P285" i="17" s="1"/>
  <c r="P335" i="17" a="1"/>
  <c r="P335" i="17" s="1"/>
  <c r="P385" i="17" a="1"/>
  <c r="P385" i="17"/>
  <c r="P600" i="17" a="1"/>
  <c r="P600" i="17" s="1"/>
  <c r="P601" i="17" a="1"/>
  <c r="P601" i="17" s="1"/>
  <c r="P602" i="17" a="1"/>
  <c r="P602" i="17" s="1"/>
  <c r="P603" i="17" a="1"/>
  <c r="P603" i="17" s="1"/>
  <c r="P604" i="17" a="1"/>
  <c r="P604" i="17" s="1"/>
  <c r="P605" i="17" a="1"/>
  <c r="P605" i="17" s="1"/>
  <c r="P36" i="17" a="1"/>
  <c r="P36" i="17" s="1"/>
  <c r="P86" i="17" a="1"/>
  <c r="P86" i="17" s="1"/>
  <c r="P136" i="17" a="1"/>
  <c r="P136" i="17" s="1"/>
  <c r="P186" i="17" a="1"/>
  <c r="P186" i="17" s="1"/>
  <c r="P236" i="17" a="1"/>
  <c r="P236" i="17" s="1"/>
  <c r="P286" i="17" a="1"/>
  <c r="P286" i="17" s="1"/>
  <c r="P336" i="17" a="1"/>
  <c r="P336" i="17" s="1"/>
  <c r="P386" i="17" a="1"/>
  <c r="P386" i="17" s="1"/>
  <c r="P606" i="17" a="1"/>
  <c r="P606" i="17" s="1"/>
  <c r="P607" i="17" a="1"/>
  <c r="P607" i="17" s="1"/>
  <c r="P608" i="17" a="1"/>
  <c r="P608" i="17" s="1"/>
  <c r="P609" i="17" a="1"/>
  <c r="P609" i="17" s="1"/>
  <c r="P610" i="17" a="1"/>
  <c r="P610" i="17" s="1"/>
  <c r="P611" i="17" a="1"/>
  <c r="P611" i="17" s="1"/>
  <c r="P37" i="17" a="1"/>
  <c r="P37" i="17" s="1"/>
  <c r="P87" i="17" a="1"/>
  <c r="P87" i="17" s="1"/>
  <c r="P137" i="17" a="1"/>
  <c r="P137" i="17" s="1"/>
  <c r="P187" i="17" a="1"/>
  <c r="P187" i="17" s="1"/>
  <c r="P237" i="17" a="1"/>
  <c r="P237" i="17" s="1"/>
  <c r="P287" i="17" a="1"/>
  <c r="P287" i="17" s="1"/>
  <c r="P337" i="17" a="1"/>
  <c r="P337" i="17" s="1"/>
  <c r="P387" i="17" a="1"/>
  <c r="P387" i="17" s="1"/>
  <c r="P612" i="17" a="1"/>
  <c r="P612" i="17" s="1"/>
  <c r="P613" i="17" a="1"/>
  <c r="P613" i="17"/>
  <c r="P614" i="17" a="1"/>
  <c r="P614" i="17" s="1"/>
  <c r="P615" i="17" a="1"/>
  <c r="P615" i="17" s="1"/>
  <c r="P616" i="17" a="1"/>
  <c r="P616" i="17" s="1"/>
  <c r="P617" i="17" a="1"/>
  <c r="P617" i="17" s="1"/>
  <c r="P38" i="17" a="1"/>
  <c r="P38" i="17" s="1"/>
  <c r="P88" i="17" a="1"/>
  <c r="P88" i="17" s="1"/>
  <c r="P138" i="17" a="1"/>
  <c r="P138" i="17" s="1"/>
  <c r="P188" i="17" a="1"/>
  <c r="P188" i="17" s="1"/>
  <c r="P238" i="17" a="1"/>
  <c r="P238" i="17" s="1"/>
  <c r="P288" i="17" a="1"/>
  <c r="P288" i="17" s="1"/>
  <c r="P338" i="17" a="1"/>
  <c r="P338" i="17" s="1"/>
  <c r="P388" i="17" a="1"/>
  <c r="P388" i="17" s="1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 s="1"/>
  <c r="P623" i="17" a="1"/>
  <c r="P623" i="17" s="1"/>
  <c r="P39" i="17" a="1"/>
  <c r="P39" i="17" s="1"/>
  <c r="P89" i="17" a="1"/>
  <c r="P89" i="17" s="1"/>
  <c r="P139" i="17" a="1"/>
  <c r="P139" i="17"/>
  <c r="P189" i="17" a="1"/>
  <c r="P189" i="17" s="1"/>
  <c r="P239" i="17" a="1"/>
  <c r="P239" i="17"/>
  <c r="P289" i="17" a="1"/>
  <c r="P289" i="17" s="1"/>
  <c r="P339" i="17" a="1"/>
  <c r="P339" i="17" s="1"/>
  <c r="P389" i="17" a="1"/>
  <c r="P389" i="17" s="1"/>
  <c r="P624" i="17" a="1"/>
  <c r="P624" i="17" s="1"/>
  <c r="P625" i="17" a="1"/>
  <c r="P625" i="17" s="1"/>
  <c r="P626" i="17" a="1"/>
  <c r="P626" i="17" s="1"/>
  <c r="P627" i="17" a="1"/>
  <c r="P627" i="17" s="1"/>
  <c r="P628" i="17" a="1"/>
  <c r="P628" i="17" s="1"/>
  <c r="P629" i="17" a="1"/>
  <c r="P629" i="17" s="1"/>
  <c r="P40" i="17" a="1"/>
  <c r="P40" i="17" s="1"/>
  <c r="P90" i="17" a="1"/>
  <c r="P90" i="17"/>
  <c r="P140" i="17" a="1"/>
  <c r="P140" i="17" s="1"/>
  <c r="P190" i="17" a="1"/>
  <c r="P190" i="17" s="1"/>
  <c r="P240" i="17" a="1"/>
  <c r="P240" i="17" s="1"/>
  <c r="P290" i="17" a="1"/>
  <c r="P290" i="17" s="1"/>
  <c r="P340" i="17" a="1"/>
  <c r="P340" i="17"/>
  <c r="P390" i="17" a="1"/>
  <c r="P390" i="17" s="1"/>
  <c r="P630" i="17" a="1"/>
  <c r="P630" i="17" s="1"/>
  <c r="P631" i="17" a="1"/>
  <c r="P631" i="17" s="1"/>
  <c r="P632" i="17" a="1"/>
  <c r="P632" i="17" s="1"/>
  <c r="P633" i="17" a="1"/>
  <c r="P633" i="17"/>
  <c r="P634" i="17" a="1"/>
  <c r="P634" i="17" s="1"/>
  <c r="P635" i="17" a="1"/>
  <c r="P635" i="17" s="1"/>
  <c r="P41" i="17" a="1"/>
  <c r="P41" i="17"/>
  <c r="P91" i="17" a="1"/>
  <c r="P91" i="17"/>
  <c r="P141" i="17" a="1"/>
  <c r="P141" i="17" s="1"/>
  <c r="P191" i="17" a="1"/>
  <c r="P191" i="17" s="1"/>
  <c r="P241" i="17" a="1"/>
  <c r="P241" i="17" s="1"/>
  <c r="P291" i="17" a="1"/>
  <c r="P291" i="17" s="1"/>
  <c r="P341" i="17" a="1"/>
  <c r="P341" i="17" s="1"/>
  <c r="P391" i="17" a="1"/>
  <c r="P391" i="17" s="1"/>
  <c r="P636" i="17" a="1"/>
  <c r="P636" i="17" s="1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42" i="17" a="1"/>
  <c r="P42" i="17" s="1"/>
  <c r="P92" i="17" a="1"/>
  <c r="P92" i="17" s="1"/>
  <c r="P142" i="17" a="1"/>
  <c r="P142" i="17" s="1"/>
  <c r="P192" i="17" a="1"/>
  <c r="P192" i="17" s="1"/>
  <c r="P242" i="17" a="1"/>
  <c r="P242" i="17" s="1"/>
  <c r="P292" i="17" a="1"/>
  <c r="P292" i="17" s="1"/>
  <c r="P342" i="17" a="1"/>
  <c r="P342" i="17" s="1"/>
  <c r="P392" i="17" a="1"/>
  <c r="P392" i="17"/>
  <c r="P642" i="17" a="1"/>
  <c r="P642" i="17" s="1"/>
  <c r="P643" i="17" a="1"/>
  <c r="P643" i="17" s="1"/>
  <c r="P644" i="17" a="1"/>
  <c r="P644" i="17" s="1"/>
  <c r="P645" i="17" a="1"/>
  <c r="P645" i="17" s="1"/>
  <c r="P646" i="17" a="1"/>
  <c r="P646" i="17"/>
  <c r="P647" i="17" a="1"/>
  <c r="P647" i="17" s="1"/>
  <c r="P43" i="17" a="1"/>
  <c r="P43" i="17" s="1"/>
  <c r="P93" i="17" a="1"/>
  <c r="P93" i="17" s="1"/>
  <c r="P143" i="17" a="1"/>
  <c r="P143" i="17" s="1"/>
  <c r="P193" i="17" a="1"/>
  <c r="P193" i="17" s="1"/>
  <c r="P243" i="17" a="1"/>
  <c r="P243" i="17" s="1"/>
  <c r="P293" i="17" a="1"/>
  <c r="P293" i="17" s="1"/>
  <c r="P343" i="17" a="1"/>
  <c r="P343" i="17"/>
  <c r="P393" i="17" a="1"/>
  <c r="P393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44" i="17" a="1"/>
  <c r="P44" i="17" s="1"/>
  <c r="P94" i="17" a="1"/>
  <c r="P94" i="17" s="1"/>
  <c r="P144" i="17" a="1"/>
  <c r="P144" i="17" s="1"/>
  <c r="P194" i="17" a="1"/>
  <c r="P194" i="17" s="1"/>
  <c r="P244" i="17" a="1"/>
  <c r="P244" i="17" s="1"/>
  <c r="P294" i="17" a="1"/>
  <c r="P294" i="17" s="1"/>
  <c r="P344" i="17" a="1"/>
  <c r="P344" i="17" s="1"/>
  <c r="P394" i="17" a="1"/>
  <c r="P394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45" i="17" a="1"/>
  <c r="P45" i="17" s="1"/>
  <c r="P95" i="17" a="1"/>
  <c r="P95" i="17" s="1"/>
  <c r="P145" i="17" a="1"/>
  <c r="P145" i="17" s="1"/>
  <c r="P195" i="17" a="1"/>
  <c r="P195" i="17" s="1"/>
  <c r="P245" i="17" a="1"/>
  <c r="P245" i="17"/>
  <c r="P295" i="17" a="1"/>
  <c r="P295" i="17" s="1"/>
  <c r="P345" i="17" a="1"/>
  <c r="P345" i="17" s="1"/>
  <c r="P395" i="17" a="1"/>
  <c r="P395" i="17" s="1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46" i="17" a="1"/>
  <c r="P46" i="17" s="1"/>
  <c r="P96" i="17" a="1"/>
  <c r="P96" i="17" s="1"/>
  <c r="P146" i="17" a="1"/>
  <c r="P146" i="17" s="1"/>
  <c r="P196" i="17" a="1"/>
  <c r="P196" i="17" s="1"/>
  <c r="P246" i="17" a="1"/>
  <c r="P246" i="17" s="1"/>
  <c r="P296" i="17" a="1"/>
  <c r="P296" i="17" s="1"/>
  <c r="P346" i="17" a="1"/>
  <c r="P346" i="17" s="1"/>
  <c r="P396" i="17" a="1"/>
  <c r="P396" i="17" s="1"/>
  <c r="P666" i="17" a="1"/>
  <c r="P666" i="17" s="1"/>
  <c r="P667" i="17" a="1"/>
  <c r="P667" i="17" s="1"/>
  <c r="P668" i="17" a="1"/>
  <c r="P668" i="17"/>
  <c r="P669" i="17" a="1"/>
  <c r="P669" i="17" s="1"/>
  <c r="P670" i="17" a="1"/>
  <c r="P670" i="17" s="1"/>
  <c r="P671" i="17" a="1"/>
  <c r="P671" i="17" s="1"/>
  <c r="P47" i="17" a="1"/>
  <c r="P47" i="17" s="1"/>
  <c r="P97" i="17" a="1"/>
  <c r="P97" i="17" s="1"/>
  <c r="P147" i="17" a="1"/>
  <c r="P147" i="17" s="1"/>
  <c r="P197" i="17" a="1"/>
  <c r="P197" i="17" s="1"/>
  <c r="P247" i="17" a="1"/>
  <c r="P247" i="17" s="1"/>
  <c r="P297" i="17" a="1"/>
  <c r="P297" i="17" s="1"/>
  <c r="P347" i="17" a="1"/>
  <c r="P347" i="17" s="1"/>
  <c r="P397" i="17" a="1"/>
  <c r="P397" i="17" s="1"/>
  <c r="P672" i="17" a="1"/>
  <c r="P672" i="17" s="1"/>
  <c r="P673" i="17" a="1"/>
  <c r="P673" i="17" s="1"/>
  <c r="P674" i="17" a="1"/>
  <c r="P674" i="17"/>
  <c r="P675" i="17" a="1"/>
  <c r="P675" i="17" s="1"/>
  <c r="P676" i="17" a="1"/>
  <c r="P676" i="17" s="1"/>
  <c r="P677" i="17" a="1"/>
  <c r="P677" i="17" s="1"/>
  <c r="P48" i="17" a="1"/>
  <c r="P48" i="17" s="1"/>
  <c r="P98" i="17" a="1"/>
  <c r="P98" i="17" s="1"/>
  <c r="P148" i="17" a="1"/>
  <c r="P148" i="17" s="1"/>
  <c r="P198" i="17" a="1"/>
  <c r="P198" i="17" s="1"/>
  <c r="P248" i="17" a="1"/>
  <c r="P248" i="17" s="1"/>
  <c r="P298" i="17" a="1"/>
  <c r="P298" i="17" s="1"/>
  <c r="P348" i="17" a="1"/>
  <c r="P348" i="17" s="1"/>
  <c r="P398" i="17" a="1"/>
  <c r="P398" i="17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 s="1"/>
  <c r="P49" i="17" a="1"/>
  <c r="P49" i="17" s="1"/>
  <c r="P99" i="17" a="1"/>
  <c r="P99" i="17" s="1"/>
  <c r="P149" i="17" a="1"/>
  <c r="P149" i="17" s="1"/>
  <c r="P199" i="17" a="1"/>
  <c r="P199" i="17" s="1"/>
  <c r="P249" i="17" a="1"/>
  <c r="P249" i="17" s="1"/>
  <c r="P299" i="17" a="1"/>
  <c r="P299" i="17" s="1"/>
  <c r="P349" i="17" a="1"/>
  <c r="P349" i="17" s="1"/>
  <c r="P399" i="17" a="1"/>
  <c r="P399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 s="1"/>
  <c r="P689" i="17" a="1"/>
  <c r="P689" i="17" s="1"/>
  <c r="P50" i="17" a="1"/>
  <c r="P50" i="17" s="1"/>
  <c r="P100" i="17" a="1"/>
  <c r="P100" i="17" s="1"/>
  <c r="P150" i="17" a="1"/>
  <c r="P150" i="17" s="1"/>
  <c r="P200" i="17" a="1"/>
  <c r="P200" i="17" s="1"/>
  <c r="P250" i="17" a="1"/>
  <c r="P250" i="17" s="1"/>
  <c r="P300" i="17" a="1"/>
  <c r="P300" i="17" s="1"/>
  <c r="P350" i="17" a="1"/>
  <c r="P350" i="17" s="1"/>
  <c r="P400" i="17" a="1"/>
  <c r="P400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51" i="17" a="1"/>
  <c r="P51" i="17" s="1"/>
  <c r="P101" i="17" a="1"/>
  <c r="P101" i="17" s="1"/>
  <c r="P151" i="17" a="1"/>
  <c r="P151" i="17"/>
  <c r="P201" i="17" a="1"/>
  <c r="P201" i="17" s="1"/>
  <c r="P251" i="17" a="1"/>
  <c r="P251" i="17" s="1"/>
  <c r="P301" i="17" a="1"/>
  <c r="P301" i="17"/>
  <c r="P351" i="17" a="1"/>
  <c r="P351" i="17" s="1"/>
  <c r="P401" i="17" a="1"/>
  <c r="P401" i="17" s="1"/>
  <c r="P696" i="17" a="1"/>
  <c r="P696" i="17"/>
  <c r="P697" i="17" a="1"/>
  <c r="P697" i="17"/>
  <c r="P698" i="17" a="1"/>
  <c r="P698" i="17" s="1"/>
  <c r="P699" i="17" a="1"/>
  <c r="P699" i="17" s="1"/>
  <c r="P700" i="17" a="1"/>
  <c r="P700" i="17" s="1"/>
  <c r="P701" i="17" a="1"/>
  <c r="P701" i="17" s="1"/>
  <c r="R2" i="17" a="1"/>
  <c r="R2" i="17" s="1"/>
  <c r="R52" i="17" a="1"/>
  <c r="R52" i="17"/>
  <c r="R102" i="17" a="1"/>
  <c r="R102" i="17" s="1"/>
  <c r="R152" i="17" a="1"/>
  <c r="R152" i="17" s="1"/>
  <c r="R202" i="17" a="1"/>
  <c r="R202" i="17" s="1"/>
  <c r="R252" i="17" a="1"/>
  <c r="R252" i="17" s="1"/>
  <c r="R302" i="17" a="1"/>
  <c r="R302" i="17" s="1"/>
  <c r="R352" i="17" a="1"/>
  <c r="R352" i="17" s="1"/>
  <c r="R402" i="17" a="1"/>
  <c r="R402" i="17" s="1"/>
  <c r="R403" i="17" a="1"/>
  <c r="R403" i="17" s="1"/>
  <c r="R404" i="17" a="1"/>
  <c r="R404" i="17" s="1"/>
  <c r="R405" i="17" a="1"/>
  <c r="R405" i="17"/>
  <c r="R406" i="17" a="1"/>
  <c r="R406" i="17" s="1"/>
  <c r="R407" i="17" a="1"/>
  <c r="R407" i="17" s="1"/>
  <c r="R3" i="17" a="1"/>
  <c r="R3" i="17"/>
  <c r="R53" i="17" a="1"/>
  <c r="R53" i="17" s="1"/>
  <c r="R103" i="17" a="1"/>
  <c r="R103" i="17" s="1"/>
  <c r="R153" i="17" a="1"/>
  <c r="R153" i="17" s="1"/>
  <c r="R203" i="17" a="1"/>
  <c r="R203" i="17" s="1"/>
  <c r="R253" i="17" a="1"/>
  <c r="R253" i="17" s="1"/>
  <c r="R303" i="17" a="1"/>
  <c r="R303" i="17" s="1"/>
  <c r="R353" i="17" a="1"/>
  <c r="R353" i="17" s="1"/>
  <c r="R408" i="17" a="1"/>
  <c r="R408" i="17" s="1"/>
  <c r="R409" i="17" a="1"/>
  <c r="R409" i="17" s="1"/>
  <c r="R410" i="17" a="1"/>
  <c r="R410" i="17" s="1"/>
  <c r="R411" i="17" a="1"/>
  <c r="R411" i="17" s="1"/>
  <c r="R412" i="17" a="1"/>
  <c r="R412" i="17" s="1"/>
  <c r="R413" i="17" a="1"/>
  <c r="R413" i="17" s="1"/>
  <c r="R4" i="17" a="1"/>
  <c r="R4" i="17" s="1"/>
  <c r="R54" i="17" a="1"/>
  <c r="R54" i="17" s="1"/>
  <c r="R104" i="17" a="1"/>
  <c r="R104" i="17" s="1"/>
  <c r="R154" i="17" a="1"/>
  <c r="R154" i="17" s="1"/>
  <c r="R204" i="17" a="1"/>
  <c r="R204" i="17" s="1"/>
  <c r="R254" i="17" a="1"/>
  <c r="R254" i="17" s="1"/>
  <c r="R304" i="17" a="1"/>
  <c r="R304" i="17" s="1"/>
  <c r="R354" i="17" a="1"/>
  <c r="R354" i="17" s="1"/>
  <c r="R414" i="17" a="1"/>
  <c r="R414" i="17" s="1"/>
  <c r="R415" i="17" a="1"/>
  <c r="R415" i="17" s="1"/>
  <c r="R416" i="17" a="1"/>
  <c r="R416" i="17" s="1"/>
  <c r="R417" i="17" a="1"/>
  <c r="R417" i="17" s="1"/>
  <c r="R418" i="17" a="1"/>
  <c r="R418" i="17"/>
  <c r="R419" i="17" a="1"/>
  <c r="R419" i="17"/>
  <c r="R5" i="17" a="1"/>
  <c r="R5" i="17" s="1"/>
  <c r="R55" i="17" a="1"/>
  <c r="R55" i="17" s="1"/>
  <c r="R105" i="17" a="1"/>
  <c r="R105" i="17" s="1"/>
  <c r="R155" i="17" a="1"/>
  <c r="R155" i="17" s="1"/>
  <c r="R205" i="17" a="1"/>
  <c r="R205" i="17" s="1"/>
  <c r="R255" i="17" a="1"/>
  <c r="R255" i="17" s="1"/>
  <c r="R305" i="17" a="1"/>
  <c r="R305" i="17" s="1"/>
  <c r="R355" i="17" a="1"/>
  <c r="R355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6" i="17" a="1"/>
  <c r="R6" i="17" s="1"/>
  <c r="R56" i="17" a="1"/>
  <c r="R56" i="17"/>
  <c r="R106" i="17" a="1"/>
  <c r="R106" i="17"/>
  <c r="R156" i="17" a="1"/>
  <c r="R156" i="17" s="1"/>
  <c r="R206" i="17" a="1"/>
  <c r="R206" i="17" s="1"/>
  <c r="R256" i="17" a="1"/>
  <c r="R256" i="17" s="1"/>
  <c r="R306" i="17" a="1"/>
  <c r="R306" i="17" s="1"/>
  <c r="R356" i="17" a="1"/>
  <c r="R356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 s="1"/>
  <c r="R7" i="17" a="1"/>
  <c r="R7" i="17" s="1"/>
  <c r="R57" i="17" a="1"/>
  <c r="R57" i="17" s="1"/>
  <c r="R107" i="17" a="1"/>
  <c r="R107" i="17" s="1"/>
  <c r="R157" i="17" a="1"/>
  <c r="R157" i="17" s="1"/>
  <c r="R207" i="17" a="1"/>
  <c r="R207" i="17" s="1"/>
  <c r="R257" i="17" a="1"/>
  <c r="R257" i="17" s="1"/>
  <c r="R307" i="17" a="1"/>
  <c r="R307" i="17" s="1"/>
  <c r="R357" i="17" a="1"/>
  <c r="R357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8" i="17" a="1"/>
  <c r="R8" i="17" s="1"/>
  <c r="R58" i="17" a="1"/>
  <c r="R58" i="17" s="1"/>
  <c r="R108" i="17" a="1"/>
  <c r="R108" i="17" s="1"/>
  <c r="R158" i="17" a="1"/>
  <c r="R158" i="17" s="1"/>
  <c r="R208" i="17" a="1"/>
  <c r="R208" i="17" s="1"/>
  <c r="R258" i="17" a="1"/>
  <c r="R258" i="17" s="1"/>
  <c r="R308" i="17" a="1"/>
  <c r="R308" i="17" s="1"/>
  <c r="R358" i="17" a="1"/>
  <c r="R358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9" i="17" a="1"/>
  <c r="R9" i="17" s="1"/>
  <c r="R59" i="17" a="1"/>
  <c r="R59" i="17" s="1"/>
  <c r="R109" i="17" a="1"/>
  <c r="R109" i="17" s="1"/>
  <c r="R159" i="17" a="1"/>
  <c r="R159" i="17" s="1"/>
  <c r="R209" i="17" a="1"/>
  <c r="R209" i="17" s="1"/>
  <c r="R259" i="17" a="1"/>
  <c r="R259" i="17" s="1"/>
  <c r="R309" i="17" a="1"/>
  <c r="R309" i="17" s="1"/>
  <c r="R359" i="17" a="1"/>
  <c r="R359" i="17" s="1"/>
  <c r="R444" i="17" a="1"/>
  <c r="R444" i="17" s="1"/>
  <c r="R445" i="17" a="1"/>
  <c r="R445" i="17"/>
  <c r="R446" i="17" a="1"/>
  <c r="R446" i="17" s="1"/>
  <c r="R447" i="17" a="1"/>
  <c r="R447" i="17" s="1"/>
  <c r="R448" i="17" a="1"/>
  <c r="R448" i="17" s="1"/>
  <c r="R449" i="17" a="1"/>
  <c r="R449" i="17" s="1"/>
  <c r="R10" i="17" a="1"/>
  <c r="R10" i="17" s="1"/>
  <c r="R60" i="17" a="1"/>
  <c r="R60" i="17" s="1"/>
  <c r="R110" i="17" a="1"/>
  <c r="R110" i="17" s="1"/>
  <c r="R160" i="17" a="1"/>
  <c r="R160" i="17" s="1"/>
  <c r="R210" i="17" a="1"/>
  <c r="R210" i="17" s="1"/>
  <c r="R260" i="17" a="1"/>
  <c r="R260" i="17" s="1"/>
  <c r="R310" i="17" a="1"/>
  <c r="R310" i="17" s="1"/>
  <c r="R360" i="17" a="1"/>
  <c r="R360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 s="1"/>
  <c r="R11" i="17" a="1"/>
  <c r="R11" i="17" s="1"/>
  <c r="R61" i="17" a="1"/>
  <c r="R61" i="17" s="1"/>
  <c r="R111" i="17" a="1"/>
  <c r="R111" i="17" s="1"/>
  <c r="R161" i="17" a="1"/>
  <c r="R161" i="17"/>
  <c r="R211" i="17" a="1"/>
  <c r="R211" i="17" s="1"/>
  <c r="R261" i="17" a="1"/>
  <c r="R261" i="17" s="1"/>
  <c r="R311" i="17" a="1"/>
  <c r="R311" i="17" s="1"/>
  <c r="R361" i="17" a="1"/>
  <c r="R361" i="17" s="1"/>
  <c r="R456" i="17" a="1"/>
  <c r="R456" i="17" s="1"/>
  <c r="R457" i="17" a="1"/>
  <c r="R457" i="17" s="1"/>
  <c r="R458" i="17" a="1"/>
  <c r="R458" i="17"/>
  <c r="R459" i="17" a="1"/>
  <c r="R459" i="17" s="1"/>
  <c r="R460" i="17" a="1"/>
  <c r="R460" i="17" s="1"/>
  <c r="R461" i="17" a="1"/>
  <c r="R461" i="17" s="1"/>
  <c r="R12" i="17" a="1"/>
  <c r="R12" i="17" s="1"/>
  <c r="R62" i="17" a="1"/>
  <c r="R62" i="17" s="1"/>
  <c r="R112" i="17" a="1"/>
  <c r="R112" i="17" s="1"/>
  <c r="R162" i="17" a="1"/>
  <c r="R162" i="17" s="1"/>
  <c r="R212" i="17" a="1"/>
  <c r="R212" i="17" s="1"/>
  <c r="R262" i="17" a="1"/>
  <c r="R262" i="17" s="1"/>
  <c r="R312" i="17" a="1"/>
  <c r="R312" i="17" s="1"/>
  <c r="R362" i="17" a="1"/>
  <c r="R362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/>
  <c r="R467" i="17" a="1"/>
  <c r="R467" i="17" s="1"/>
  <c r="R13" i="17" a="1"/>
  <c r="R13" i="17" s="1"/>
  <c r="R63" i="17" a="1"/>
  <c r="R63" i="17" s="1"/>
  <c r="R113" i="17" a="1"/>
  <c r="R113" i="17" s="1"/>
  <c r="R163" i="17" a="1"/>
  <c r="R163" i="17" s="1"/>
  <c r="R213" i="17" a="1"/>
  <c r="R213" i="17" s="1"/>
  <c r="R263" i="17" a="1"/>
  <c r="R263" i="17" s="1"/>
  <c r="R313" i="17" a="1"/>
  <c r="R313" i="17" s="1"/>
  <c r="R363" i="17" a="1"/>
  <c r="R363" i="17" s="1"/>
  <c r="R468" i="17" a="1"/>
  <c r="R468" i="17" s="1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14" i="17" a="1"/>
  <c r="R14" i="17"/>
  <c r="R64" i="17" a="1"/>
  <c r="R64" i="17" s="1"/>
  <c r="R114" i="17" a="1"/>
  <c r="R114" i="17" s="1"/>
  <c r="R164" i="17" a="1"/>
  <c r="R164" i="17" s="1"/>
  <c r="R214" i="17" a="1"/>
  <c r="R214" i="17" s="1"/>
  <c r="R264" i="17" a="1"/>
  <c r="R264" i="17" s="1"/>
  <c r="R314" i="17" a="1"/>
  <c r="R314" i="17" s="1"/>
  <c r="R364" i="17" a="1"/>
  <c r="R364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15" i="17" a="1"/>
  <c r="R15" i="17" s="1"/>
  <c r="R65" i="17" a="1"/>
  <c r="R65" i="17" s="1"/>
  <c r="R115" i="17" a="1"/>
  <c r="R115" i="17" s="1"/>
  <c r="R165" i="17" a="1"/>
  <c r="R165" i="17" s="1"/>
  <c r="R215" i="17" a="1"/>
  <c r="R215" i="17" s="1"/>
  <c r="R265" i="17" a="1"/>
  <c r="R265" i="17" s="1"/>
  <c r="R315" i="17" a="1"/>
  <c r="R315" i="17" s="1"/>
  <c r="R365" i="17" a="1"/>
  <c r="R365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16" i="17" a="1"/>
  <c r="R16" i="17" s="1"/>
  <c r="R66" i="17" a="1"/>
  <c r="R66" i="17"/>
  <c r="R116" i="17" a="1"/>
  <c r="R116" i="17" s="1"/>
  <c r="R166" i="17" a="1"/>
  <c r="R166" i="17" s="1"/>
  <c r="R216" i="17" a="1"/>
  <c r="R216" i="17" s="1"/>
  <c r="R266" i="17" a="1"/>
  <c r="R266" i="17" s="1"/>
  <c r="R316" i="17" a="1"/>
  <c r="R316" i="17" s="1"/>
  <c r="R366" i="17" a="1"/>
  <c r="R366" i="17" s="1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17" i="17" a="1"/>
  <c r="R17" i="17" s="1"/>
  <c r="R67" i="17" a="1"/>
  <c r="R67" i="17" s="1"/>
  <c r="R117" i="17" a="1"/>
  <c r="R117" i="17" s="1"/>
  <c r="R167" i="17" a="1"/>
  <c r="R167" i="17" s="1"/>
  <c r="R217" i="17" a="1"/>
  <c r="R217" i="17" s="1"/>
  <c r="R267" i="17" a="1"/>
  <c r="R267" i="17" s="1"/>
  <c r="R317" i="17" a="1"/>
  <c r="R317" i="17" s="1"/>
  <c r="R367" i="17" a="1"/>
  <c r="R367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18" i="17" a="1"/>
  <c r="R18" i="17" s="1"/>
  <c r="R68" i="17" a="1"/>
  <c r="R68" i="17" s="1"/>
  <c r="R118" i="17" a="1"/>
  <c r="R118" i="17" s="1"/>
  <c r="R168" i="17" a="1"/>
  <c r="R168" i="17" s="1"/>
  <c r="R218" i="17" a="1"/>
  <c r="R218" i="17" s="1"/>
  <c r="R268" i="17" a="1"/>
  <c r="R268" i="17" s="1"/>
  <c r="R318" i="17" a="1"/>
  <c r="R318" i="17" s="1"/>
  <c r="R368" i="17" a="1"/>
  <c r="R368" i="17" s="1"/>
  <c r="R498" i="17" a="1"/>
  <c r="R498" i="17" s="1"/>
  <c r="R499" i="17" a="1"/>
  <c r="R499" i="17" s="1"/>
  <c r="R500" i="17" a="1"/>
  <c r="R500" i="17" s="1"/>
  <c r="R501" i="17" a="1"/>
  <c r="R501" i="17" s="1"/>
  <c r="R502" i="17" a="1"/>
  <c r="R502" i="17"/>
  <c r="R503" i="17" a="1"/>
  <c r="R503" i="17" s="1"/>
  <c r="R19" i="17" a="1"/>
  <c r="R19" i="17" s="1"/>
  <c r="R69" i="17" a="1"/>
  <c r="R69" i="17" s="1"/>
  <c r="R119" i="17" a="1"/>
  <c r="R119" i="17" s="1"/>
  <c r="R169" i="17" a="1"/>
  <c r="R169" i="17" s="1"/>
  <c r="R219" i="17" a="1"/>
  <c r="R219" i="17" s="1"/>
  <c r="R269" i="17" a="1"/>
  <c r="R269" i="17" s="1"/>
  <c r="R319" i="17" a="1"/>
  <c r="R319" i="17" s="1"/>
  <c r="R369" i="17" a="1"/>
  <c r="R369" i="17" s="1"/>
  <c r="R504" i="17" a="1"/>
  <c r="R504" i="17" s="1"/>
  <c r="R505" i="17" a="1"/>
  <c r="R505" i="17" s="1"/>
  <c r="R506" i="17" a="1"/>
  <c r="R506" i="17"/>
  <c r="R507" i="17" a="1"/>
  <c r="R507" i="17" s="1"/>
  <c r="R508" i="17" a="1"/>
  <c r="R508" i="17" s="1"/>
  <c r="R509" i="17" a="1"/>
  <c r="R509" i="17" s="1"/>
  <c r="R20" i="17" a="1"/>
  <c r="R20" i="17" s="1"/>
  <c r="R70" i="17" a="1"/>
  <c r="R70" i="17" s="1"/>
  <c r="R120" i="17" a="1"/>
  <c r="R120" i="17" s="1"/>
  <c r="R170" i="17" a="1"/>
  <c r="R170" i="17" s="1"/>
  <c r="R220" i="17" a="1"/>
  <c r="R220" i="17" s="1"/>
  <c r="R270" i="17" a="1"/>
  <c r="R270" i="17" s="1"/>
  <c r="R320" i="17" a="1"/>
  <c r="R320" i="17" s="1"/>
  <c r="R370" i="17" a="1"/>
  <c r="R370" i="17" s="1"/>
  <c r="R510" i="17" a="1"/>
  <c r="R510" i="17" s="1"/>
  <c r="R511" i="17" a="1"/>
  <c r="R511" i="17" s="1"/>
  <c r="R512" i="17" a="1"/>
  <c r="R512" i="17" s="1"/>
  <c r="R513" i="17" a="1"/>
  <c r="R513" i="17" s="1"/>
  <c r="R514" i="17" a="1"/>
  <c r="R514" i="17" s="1"/>
  <c r="R515" i="17" a="1"/>
  <c r="R515" i="17" s="1"/>
  <c r="R21" i="17" a="1"/>
  <c r="R21" i="17" s="1"/>
  <c r="R71" i="17" a="1"/>
  <c r="R71" i="17" s="1"/>
  <c r="R121" i="17" a="1"/>
  <c r="R121" i="17" s="1"/>
  <c r="R171" i="17" a="1"/>
  <c r="R171" i="17" s="1"/>
  <c r="R221" i="17" a="1"/>
  <c r="R221" i="17" s="1"/>
  <c r="R271" i="17" a="1"/>
  <c r="R271" i="17" s="1"/>
  <c r="R321" i="17" a="1"/>
  <c r="R321" i="17" s="1"/>
  <c r="R371" i="17" a="1"/>
  <c r="R371" i="17" s="1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22" i="17" a="1"/>
  <c r="R22" i="17"/>
  <c r="R72" i="17" a="1"/>
  <c r="R72" i="17" s="1"/>
  <c r="R122" i="17" a="1"/>
  <c r="R122" i="17" s="1"/>
  <c r="R172" i="17" a="1"/>
  <c r="R172" i="17" s="1"/>
  <c r="R222" i="17" a="1"/>
  <c r="R222" i="17" s="1"/>
  <c r="R272" i="17" a="1"/>
  <c r="R272" i="17" s="1"/>
  <c r="R322" i="17" a="1"/>
  <c r="R322" i="17" s="1"/>
  <c r="R372" i="17" a="1"/>
  <c r="R372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23" i="17" a="1"/>
  <c r="R23" i="17" s="1"/>
  <c r="R73" i="17" a="1"/>
  <c r="R73" i="17" s="1"/>
  <c r="R123" i="17" a="1"/>
  <c r="R123" i="17" s="1"/>
  <c r="R173" i="17" a="1"/>
  <c r="R173" i="17" s="1"/>
  <c r="R223" i="17" a="1"/>
  <c r="R223" i="17" s="1"/>
  <c r="R273" i="17" a="1"/>
  <c r="R273" i="17" s="1"/>
  <c r="R323" i="17" a="1"/>
  <c r="R323" i="17" s="1"/>
  <c r="R373" i="17" a="1"/>
  <c r="R373" i="17" s="1"/>
  <c r="R528" i="17" a="1"/>
  <c r="R528" i="17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 s="1"/>
  <c r="R24" i="17" a="1"/>
  <c r="R24" i="17" s="1"/>
  <c r="R74" i="17" a="1"/>
  <c r="R74" i="17" s="1"/>
  <c r="R124" i="17" a="1"/>
  <c r="R124" i="17" s="1"/>
  <c r="R174" i="17" a="1"/>
  <c r="R174" i="17" s="1"/>
  <c r="R224" i="17" a="1"/>
  <c r="R224" i="17" s="1"/>
  <c r="R274" i="17" a="1"/>
  <c r="R274" i="17" s="1"/>
  <c r="R324" i="17" a="1"/>
  <c r="R324" i="17" s="1"/>
  <c r="R374" i="17" a="1"/>
  <c r="R374" i="17" s="1"/>
  <c r="R534" i="17" a="1"/>
  <c r="R534" i="17" s="1"/>
  <c r="R535" i="17" a="1"/>
  <c r="R535" i="17" s="1"/>
  <c r="R536" i="17" a="1"/>
  <c r="R536" i="17" s="1"/>
  <c r="R537" i="17" a="1"/>
  <c r="R537" i="17" s="1"/>
  <c r="R538" i="17" a="1"/>
  <c r="R538" i="17" s="1"/>
  <c r="R539" i="17" a="1"/>
  <c r="R539" i="17" s="1"/>
  <c r="R25" i="17" a="1"/>
  <c r="R25" i="17" s="1"/>
  <c r="R75" i="17" a="1"/>
  <c r="R75" i="17" s="1"/>
  <c r="R125" i="17" a="1"/>
  <c r="R125" i="17" s="1"/>
  <c r="R175" i="17" a="1"/>
  <c r="R175" i="17" s="1"/>
  <c r="R225" i="17" a="1"/>
  <c r="R225" i="17" s="1"/>
  <c r="R275" i="17" a="1"/>
  <c r="R275" i="17" s="1"/>
  <c r="R325" i="17" a="1"/>
  <c r="R325" i="17" s="1"/>
  <c r="R375" i="17" a="1"/>
  <c r="R375" i="17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 s="1"/>
  <c r="R26" i="17" a="1"/>
  <c r="R26" i="17" s="1"/>
  <c r="R76" i="17" a="1"/>
  <c r="R76" i="17" s="1"/>
  <c r="R126" i="17" a="1"/>
  <c r="R126" i="17" s="1"/>
  <c r="R176" i="17" a="1"/>
  <c r="R176" i="17" s="1"/>
  <c r="R226" i="17" a="1"/>
  <c r="R226" i="17" s="1"/>
  <c r="R276" i="17" a="1"/>
  <c r="R276" i="17" s="1"/>
  <c r="R326" i="17" a="1"/>
  <c r="R326" i="17" s="1"/>
  <c r="R376" i="17" a="1"/>
  <c r="R376" i="17" s="1"/>
  <c r="R546" i="17" a="1"/>
  <c r="R546" i="17" s="1"/>
  <c r="R547" i="17" a="1"/>
  <c r="R547" i="17" s="1"/>
  <c r="R548" i="17" a="1"/>
  <c r="R548" i="17"/>
  <c r="R549" i="17" a="1"/>
  <c r="R549" i="17" s="1"/>
  <c r="R550" i="17" a="1"/>
  <c r="R550" i="17" s="1"/>
  <c r="R551" i="17" a="1"/>
  <c r="R551" i="17" s="1"/>
  <c r="R27" i="17" a="1"/>
  <c r="R27" i="17" s="1"/>
  <c r="R77" i="17" a="1"/>
  <c r="R77" i="17" s="1"/>
  <c r="R127" i="17" a="1"/>
  <c r="R127" i="17" s="1"/>
  <c r="R177" i="17" a="1"/>
  <c r="R177" i="17" s="1"/>
  <c r="R227" i="17" a="1"/>
  <c r="R227" i="17" s="1"/>
  <c r="R277" i="17" a="1"/>
  <c r="R277" i="17" s="1"/>
  <c r="R327" i="17" a="1"/>
  <c r="R327" i="17" s="1"/>
  <c r="R377" i="17" a="1"/>
  <c r="R377" i="17" s="1"/>
  <c r="R552" i="17" a="1"/>
  <c r="R55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28" i="17" a="1"/>
  <c r="R28" i="17" s="1"/>
  <c r="R78" i="17" a="1"/>
  <c r="R78" i="17" s="1"/>
  <c r="R128" i="17" a="1"/>
  <c r="R128" i="17" s="1"/>
  <c r="R178" i="17" a="1"/>
  <c r="R178" i="17" s="1"/>
  <c r="R228" i="17" a="1"/>
  <c r="R228" i="17" s="1"/>
  <c r="R278" i="17" a="1"/>
  <c r="R278" i="17" s="1"/>
  <c r="R328" i="17" a="1"/>
  <c r="R328" i="17" s="1"/>
  <c r="R378" i="17" a="1"/>
  <c r="R378" i="17" s="1"/>
  <c r="R558" i="17" a="1"/>
  <c r="R558" i="17" s="1"/>
  <c r="R559" i="17" a="1"/>
  <c r="R559" i="17" s="1"/>
  <c r="R560" i="17" a="1"/>
  <c r="R560" i="17" s="1"/>
  <c r="R561" i="17" a="1"/>
  <c r="R561" i="17" s="1"/>
  <c r="R562" i="17" a="1"/>
  <c r="R562" i="17" s="1"/>
  <c r="R563" i="17" a="1"/>
  <c r="R563" i="17" s="1"/>
  <c r="R29" i="17" a="1"/>
  <c r="R29" i="17" s="1"/>
  <c r="R79" i="17" a="1"/>
  <c r="R79" i="17" s="1"/>
  <c r="R129" i="17" a="1"/>
  <c r="R129" i="17" s="1"/>
  <c r="R179" i="17" a="1"/>
  <c r="R179" i="17" s="1"/>
  <c r="R229" i="17" a="1"/>
  <c r="R229" i="17" s="1"/>
  <c r="R279" i="17" a="1"/>
  <c r="R279" i="17" s="1"/>
  <c r="R329" i="17" a="1"/>
  <c r="R329" i="17" s="1"/>
  <c r="R379" i="17" a="1"/>
  <c r="R379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/>
  <c r="R569" i="17" a="1"/>
  <c r="R569" i="17" s="1"/>
  <c r="R30" i="17" a="1"/>
  <c r="R30" i="17" s="1"/>
  <c r="R80" i="17" a="1"/>
  <c r="R80" i="17" s="1"/>
  <c r="R130" i="17" a="1"/>
  <c r="R130" i="17" s="1"/>
  <c r="R180" i="17" a="1"/>
  <c r="R180" i="17"/>
  <c r="R230" i="17" a="1"/>
  <c r="R230" i="17" s="1"/>
  <c r="R280" i="17" a="1"/>
  <c r="R280" i="17" s="1"/>
  <c r="R330" i="17" a="1"/>
  <c r="R330" i="17" s="1"/>
  <c r="R380" i="17" a="1"/>
  <c r="R380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31" i="17" a="1"/>
  <c r="R31" i="17" s="1"/>
  <c r="R81" i="17" a="1"/>
  <c r="R81" i="17" s="1"/>
  <c r="R131" i="17" a="1"/>
  <c r="R131" i="17" s="1"/>
  <c r="R181" i="17" a="1"/>
  <c r="R181" i="17" s="1"/>
  <c r="R231" i="17" a="1"/>
  <c r="R231" i="17" s="1"/>
  <c r="R281" i="17" a="1"/>
  <c r="R281" i="17" s="1"/>
  <c r="R331" i="17" a="1"/>
  <c r="R331" i="17" s="1"/>
  <c r="R381" i="17" a="1"/>
  <c r="R381" i="17" s="1"/>
  <c r="R576" i="17" a="1"/>
  <c r="R576" i="17" s="1"/>
  <c r="R577" i="17" a="1"/>
  <c r="R577" i="17" s="1"/>
  <c r="R578" i="17" a="1"/>
  <c r="R578" i="17" s="1"/>
  <c r="R579" i="17" a="1"/>
  <c r="R579" i="17" s="1"/>
  <c r="R580" i="17" a="1"/>
  <c r="R580" i="17" s="1"/>
  <c r="R581" i="17" a="1"/>
  <c r="R581" i="17" s="1"/>
  <c r="R32" i="17" a="1"/>
  <c r="R32" i="17" s="1"/>
  <c r="R82" i="17" a="1"/>
  <c r="R82" i="17" s="1"/>
  <c r="R132" i="17" a="1"/>
  <c r="R132" i="17" s="1"/>
  <c r="R182" i="17" a="1"/>
  <c r="R182" i="17" s="1"/>
  <c r="R232" i="17" a="1"/>
  <c r="R232" i="17" s="1"/>
  <c r="R282" i="17" a="1"/>
  <c r="R282" i="17" s="1"/>
  <c r="R332" i="17" a="1"/>
  <c r="R332" i="17" s="1"/>
  <c r="R382" i="17" a="1"/>
  <c r="R382" i="17" s="1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33" i="17" a="1"/>
  <c r="R33" i="17" s="1"/>
  <c r="R83" i="17" a="1"/>
  <c r="R83" i="17" s="1"/>
  <c r="R133" i="17" a="1"/>
  <c r="R133" i="17" s="1"/>
  <c r="R183" i="17" a="1"/>
  <c r="R183" i="17" s="1"/>
  <c r="R233" i="17" a="1"/>
  <c r="R233" i="17" s="1"/>
  <c r="R283" i="17" a="1"/>
  <c r="R283" i="17" s="1"/>
  <c r="R333" i="17" a="1"/>
  <c r="R333" i="17" s="1"/>
  <c r="R383" i="17" a="1"/>
  <c r="R383" i="17" s="1"/>
  <c r="R588" i="17" a="1"/>
  <c r="R58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 s="1"/>
  <c r="R34" i="17" a="1"/>
  <c r="R34" i="17" s="1"/>
  <c r="R84" i="17" a="1"/>
  <c r="R84" i="17" s="1"/>
  <c r="R134" i="17" a="1"/>
  <c r="R134" i="17" s="1"/>
  <c r="R184" i="17" a="1"/>
  <c r="R184" i="17" s="1"/>
  <c r="R234" i="17" a="1"/>
  <c r="R234" i="17" s="1"/>
  <c r="R284" i="17" a="1"/>
  <c r="R284" i="17" s="1"/>
  <c r="R334" i="17" a="1"/>
  <c r="R334" i="17" s="1"/>
  <c r="R384" i="17" a="1"/>
  <c r="R384" i="17" s="1"/>
  <c r="R594" i="17" a="1"/>
  <c r="R594" i="17" s="1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35" i="17" a="1"/>
  <c r="R35" i="17" s="1"/>
  <c r="R85" i="17" a="1"/>
  <c r="R85" i="17" s="1"/>
  <c r="R135" i="17" a="1"/>
  <c r="R135" i="17" s="1"/>
  <c r="R185" i="17" a="1"/>
  <c r="R185" i="17" s="1"/>
  <c r="R235" i="17" a="1"/>
  <c r="R235" i="17" s="1"/>
  <c r="R285" i="17" a="1"/>
  <c r="R285" i="17" s="1"/>
  <c r="R335" i="17" a="1"/>
  <c r="R335" i="17" s="1"/>
  <c r="R385" i="17" a="1"/>
  <c r="R385" i="17" s="1"/>
  <c r="R600" i="17" a="1"/>
  <c r="R600" i="17" s="1"/>
  <c r="R601" i="17" a="1"/>
  <c r="R601" i="17" s="1"/>
  <c r="R602" i="17" a="1"/>
  <c r="R602" i="17" s="1"/>
  <c r="R603" i="17" a="1"/>
  <c r="R603" i="17" s="1"/>
  <c r="R604" i="17" a="1"/>
  <c r="R604" i="17" s="1"/>
  <c r="R605" i="17" a="1"/>
  <c r="R605" i="17" s="1"/>
  <c r="R36" i="17" a="1"/>
  <c r="R36" i="17" s="1"/>
  <c r="R86" i="17" a="1"/>
  <c r="R86" i="17" s="1"/>
  <c r="R136" i="17" a="1"/>
  <c r="R136" i="17" s="1"/>
  <c r="R186" i="17" a="1"/>
  <c r="R186" i="17" s="1"/>
  <c r="R236" i="17" a="1"/>
  <c r="R236" i="17" s="1"/>
  <c r="R286" i="17" a="1"/>
  <c r="R286" i="17" s="1"/>
  <c r="R336" i="17" a="1"/>
  <c r="R336" i="17" s="1"/>
  <c r="R386" i="17" a="1"/>
  <c r="R386" i="17" s="1"/>
  <c r="R606" i="17" a="1"/>
  <c r="R606" i="17" s="1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37" i="17" a="1"/>
  <c r="R37" i="17" s="1"/>
  <c r="R87" i="17" a="1"/>
  <c r="R87" i="17"/>
  <c r="R137" i="17" a="1"/>
  <c r="R137" i="17" s="1"/>
  <c r="R187" i="17" a="1"/>
  <c r="R187" i="17" s="1"/>
  <c r="R237" i="17" a="1"/>
  <c r="R237" i="17" s="1"/>
  <c r="R287" i="17" a="1"/>
  <c r="R287" i="17" s="1"/>
  <c r="R337" i="17" a="1"/>
  <c r="R337" i="17" s="1"/>
  <c r="R387" i="17" a="1"/>
  <c r="R387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38" i="17" a="1"/>
  <c r="R38" i="17" s="1"/>
  <c r="R88" i="17" a="1"/>
  <c r="R88" i="17" s="1"/>
  <c r="R138" i="17" a="1"/>
  <c r="R138" i="17"/>
  <c r="R188" i="17" a="1"/>
  <c r="R188" i="17" s="1"/>
  <c r="R238" i="17" a="1"/>
  <c r="R238" i="17" s="1"/>
  <c r="R288" i="17" a="1"/>
  <c r="R288" i="17" s="1"/>
  <c r="R338" i="17" a="1"/>
  <c r="R338" i="17" s="1"/>
  <c r="R388" i="17" a="1"/>
  <c r="R388" i="17" s="1"/>
  <c r="R618" i="17" a="1"/>
  <c r="R618" i="17" s="1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39" i="17" a="1"/>
  <c r="R39" i="17" s="1"/>
  <c r="R89" i="17" a="1"/>
  <c r="R89" i="17" s="1"/>
  <c r="R139" i="17" a="1"/>
  <c r="R139" i="17" s="1"/>
  <c r="R189" i="17" a="1"/>
  <c r="R189" i="17" s="1"/>
  <c r="R239" i="17" a="1"/>
  <c r="R239" i="17" s="1"/>
  <c r="R289" i="17" a="1"/>
  <c r="R289" i="17" s="1"/>
  <c r="R339" i="17" a="1"/>
  <c r="R339" i="17" s="1"/>
  <c r="R389" i="17" a="1"/>
  <c r="R389" i="17" s="1"/>
  <c r="R624" i="17" a="1"/>
  <c r="R624" i="17" s="1"/>
  <c r="R625" i="17" a="1"/>
  <c r="R625" i="17" s="1"/>
  <c r="R626" i="17" a="1"/>
  <c r="R626" i="17" s="1"/>
  <c r="R627" i="17" a="1"/>
  <c r="R627" i="17" s="1"/>
  <c r="R628" i="17" a="1"/>
  <c r="R628" i="17" s="1"/>
  <c r="R629" i="17" a="1"/>
  <c r="R629" i="17" s="1"/>
  <c r="R40" i="17" a="1"/>
  <c r="R40" i="17" s="1"/>
  <c r="R90" i="17" a="1"/>
  <c r="R90" i="17" s="1"/>
  <c r="R140" i="17" a="1"/>
  <c r="R140" i="17"/>
  <c r="R190" i="17" a="1"/>
  <c r="R190" i="17" s="1"/>
  <c r="R240" i="17" a="1"/>
  <c r="R240" i="17" s="1"/>
  <c r="R290" i="17" a="1"/>
  <c r="R290" i="17" s="1"/>
  <c r="R340" i="17" a="1"/>
  <c r="R340" i="17" s="1"/>
  <c r="R390" i="17" a="1"/>
  <c r="R390" i="17" s="1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41" i="17" a="1"/>
  <c r="R41" i="17" s="1"/>
  <c r="R91" i="17" a="1"/>
  <c r="R91" i="17" s="1"/>
  <c r="R141" i="17" a="1"/>
  <c r="R141" i="17" s="1"/>
  <c r="R191" i="17" a="1"/>
  <c r="R191" i="17" s="1"/>
  <c r="R241" i="17" a="1"/>
  <c r="R241" i="17" s="1"/>
  <c r="R291" i="17" a="1"/>
  <c r="R291" i="17" s="1"/>
  <c r="R341" i="17" a="1"/>
  <c r="R341" i="17" s="1"/>
  <c r="R391" i="17" a="1"/>
  <c r="R391" i="17" s="1"/>
  <c r="R636" i="17" a="1"/>
  <c r="R636" i="17" s="1"/>
  <c r="R637" i="17" a="1"/>
  <c r="R637" i="17" s="1"/>
  <c r="R638" i="17" a="1"/>
  <c r="R638" i="17" s="1"/>
  <c r="R639" i="17" a="1"/>
  <c r="R639" i="17" s="1"/>
  <c r="R640" i="17" a="1"/>
  <c r="R640" i="17" s="1"/>
  <c r="R641" i="17" a="1"/>
  <c r="R641" i="17" s="1"/>
  <c r="R42" i="17" a="1"/>
  <c r="R42" i="17" s="1"/>
  <c r="R92" i="17" a="1"/>
  <c r="R92" i="17" s="1"/>
  <c r="R142" i="17" a="1"/>
  <c r="R142" i="17" s="1"/>
  <c r="R192" i="17" a="1"/>
  <c r="R192" i="17" s="1"/>
  <c r="R242" i="17" a="1"/>
  <c r="R242" i="17" s="1"/>
  <c r="R292" i="17" a="1"/>
  <c r="R292" i="17" s="1"/>
  <c r="R342" i="17" a="1"/>
  <c r="R342" i="17" s="1"/>
  <c r="R392" i="17" a="1"/>
  <c r="R392" i="17" s="1"/>
  <c r="R642" i="17" a="1"/>
  <c r="R642" i="17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43" i="17" a="1"/>
  <c r="R43" i="17" s="1"/>
  <c r="R93" i="17" a="1"/>
  <c r="R93" i="17" s="1"/>
  <c r="R143" i="17" a="1"/>
  <c r="R143" i="17" s="1"/>
  <c r="R193" i="17" a="1"/>
  <c r="R193" i="17" s="1"/>
  <c r="R243" i="17" a="1"/>
  <c r="R243" i="17" s="1"/>
  <c r="R293" i="17" a="1"/>
  <c r="R293" i="17" s="1"/>
  <c r="R343" i="17" a="1"/>
  <c r="R343" i="17"/>
  <c r="R393" i="17" a="1"/>
  <c r="R393" i="17" s="1"/>
  <c r="R648" i="17" a="1"/>
  <c r="R648" i="17" s="1"/>
  <c r="R649" i="17" a="1"/>
  <c r="R649" i="17" s="1"/>
  <c r="R650" i="17" a="1"/>
  <c r="R650" i="17" s="1"/>
  <c r="R651" i="17" a="1"/>
  <c r="R651" i="17" s="1"/>
  <c r="R652" i="17" a="1"/>
  <c r="R652" i="17" s="1"/>
  <c r="R653" i="17" a="1"/>
  <c r="R653" i="17" s="1"/>
  <c r="R44" i="17" a="1"/>
  <c r="R44" i="17" s="1"/>
  <c r="R94" i="17" a="1"/>
  <c r="R94" i="17" s="1"/>
  <c r="R144" i="17" a="1"/>
  <c r="R144" i="17" s="1"/>
  <c r="R194" i="17" a="1"/>
  <c r="R194" i="17" s="1"/>
  <c r="R244" i="17" a="1"/>
  <c r="R244" i="17" s="1"/>
  <c r="R294" i="17" a="1"/>
  <c r="R294" i="17" s="1"/>
  <c r="R344" i="17" a="1"/>
  <c r="R344" i="17" s="1"/>
  <c r="R394" i="17" a="1"/>
  <c r="R394" i="17" s="1"/>
  <c r="R654" i="17" a="1"/>
  <c r="R654" i="17" s="1"/>
  <c r="R655" i="17" a="1"/>
  <c r="R655" i="17" s="1"/>
  <c r="R656" i="17" a="1"/>
  <c r="R656" i="17" s="1"/>
  <c r="R657" i="17" a="1"/>
  <c r="R657" i="17" s="1"/>
  <c r="R658" i="17" a="1"/>
  <c r="R658" i="17" s="1"/>
  <c r="R659" i="17" a="1"/>
  <c r="R659" i="17" s="1"/>
  <c r="R45" i="17" a="1"/>
  <c r="R45" i="17" s="1"/>
  <c r="R95" i="17" a="1"/>
  <c r="R95" i="17" s="1"/>
  <c r="R145" i="17" a="1"/>
  <c r="R145" i="17" s="1"/>
  <c r="R195" i="17" a="1"/>
  <c r="R195" i="17" s="1"/>
  <c r="R245" i="17" a="1"/>
  <c r="R245" i="17" s="1"/>
  <c r="R295" i="17" a="1"/>
  <c r="R295" i="17" s="1"/>
  <c r="R345" i="17" a="1"/>
  <c r="R345" i="17" s="1"/>
  <c r="R395" i="17" a="1"/>
  <c r="R395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46" i="17" a="1"/>
  <c r="R46" i="17"/>
  <c r="R96" i="17" a="1"/>
  <c r="R96" i="17" s="1"/>
  <c r="R146" i="17" a="1"/>
  <c r="R146" i="17" s="1"/>
  <c r="R196" i="17" a="1"/>
  <c r="R196" i="17"/>
  <c r="R246" i="17" a="1"/>
  <c r="R246" i="17" s="1"/>
  <c r="R296" i="17" a="1"/>
  <c r="R296" i="17" s="1"/>
  <c r="R346" i="17" a="1"/>
  <c r="R346" i="17" s="1"/>
  <c r="R396" i="17" a="1"/>
  <c r="R396" i="17" s="1"/>
  <c r="R666" i="17" a="1"/>
  <c r="R666" i="17" s="1"/>
  <c r="R667" i="17" a="1"/>
  <c r="R667" i="17" s="1"/>
  <c r="R668" i="17" a="1"/>
  <c r="R668" i="17" s="1"/>
  <c r="R669" i="17" a="1"/>
  <c r="R669" i="17" s="1"/>
  <c r="R670" i="17" a="1"/>
  <c r="R670" i="17" s="1"/>
  <c r="R671" i="17" a="1"/>
  <c r="R671" i="17" s="1"/>
  <c r="R47" i="17" a="1"/>
  <c r="R47" i="17" s="1"/>
  <c r="R97" i="17" a="1"/>
  <c r="R97" i="17" s="1"/>
  <c r="R147" i="17" a="1"/>
  <c r="R147" i="17" s="1"/>
  <c r="R197" i="17" a="1"/>
  <c r="R197" i="17" s="1"/>
  <c r="R247" i="17" a="1"/>
  <c r="R247" i="17" s="1"/>
  <c r="R297" i="17" a="1"/>
  <c r="R297" i="17"/>
  <c r="R347" i="17" a="1"/>
  <c r="R347" i="17" s="1"/>
  <c r="R397" i="17" a="1"/>
  <c r="R397" i="17" s="1"/>
  <c r="R672" i="17" a="1"/>
  <c r="R672" i="17" s="1"/>
  <c r="R673" i="17" a="1"/>
  <c r="R673" i="17" s="1"/>
  <c r="R674" i="17" a="1"/>
  <c r="R674" i="17"/>
  <c r="R675" i="17" a="1"/>
  <c r="R675" i="17" s="1"/>
  <c r="R676" i="17" a="1"/>
  <c r="R676" i="17" s="1"/>
  <c r="R677" i="17" a="1"/>
  <c r="R677" i="17" s="1"/>
  <c r="R48" i="17" a="1"/>
  <c r="R48" i="17" s="1"/>
  <c r="R98" i="17" a="1"/>
  <c r="R98" i="17" s="1"/>
  <c r="R148" i="17" a="1"/>
  <c r="R148" i="17" s="1"/>
  <c r="R198" i="17" a="1"/>
  <c r="R198" i="17" s="1"/>
  <c r="R248" i="17" a="1"/>
  <c r="R248" i="17"/>
  <c r="R298" i="17" a="1"/>
  <c r="R298" i="17" s="1"/>
  <c r="R348" i="17" a="1"/>
  <c r="R348" i="17" s="1"/>
  <c r="R398" i="17" a="1"/>
  <c r="R398" i="17" s="1"/>
  <c r="R678" i="17" a="1"/>
  <c r="R678" i="17" s="1"/>
  <c r="R679" i="17" a="1"/>
  <c r="R679" i="17" s="1"/>
  <c r="R680" i="17" a="1"/>
  <c r="R680" i="17" s="1"/>
  <c r="R681" i="17" a="1"/>
  <c r="R681" i="17" s="1"/>
  <c r="R682" i="17" a="1"/>
  <c r="R682" i="17" s="1"/>
  <c r="R683" i="17" a="1"/>
  <c r="R683" i="17" s="1"/>
  <c r="R49" i="17" a="1"/>
  <c r="R49" i="17" s="1"/>
  <c r="R99" i="17" a="1"/>
  <c r="R99" i="17" s="1"/>
  <c r="R149" i="17" a="1"/>
  <c r="R149" i="17" s="1"/>
  <c r="R199" i="17" a="1"/>
  <c r="R199" i="17" s="1"/>
  <c r="R249" i="17" a="1"/>
  <c r="R249" i="17" s="1"/>
  <c r="R299" i="17" a="1"/>
  <c r="R299" i="17" s="1"/>
  <c r="R349" i="17" a="1"/>
  <c r="R349" i="17"/>
  <c r="R399" i="17" a="1"/>
  <c r="R399" i="17" s="1"/>
  <c r="R684" i="17" a="1"/>
  <c r="R684" i="17" s="1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50" i="17" a="1"/>
  <c r="R50" i="17" s="1"/>
  <c r="R100" i="17" a="1"/>
  <c r="R100" i="17" s="1"/>
  <c r="R150" i="17" a="1"/>
  <c r="R150" i="17" s="1"/>
  <c r="R200" i="17" a="1"/>
  <c r="R200" i="17" s="1"/>
  <c r="R250" i="17" a="1"/>
  <c r="R250" i="17" s="1"/>
  <c r="R300" i="17" a="1"/>
  <c r="R300" i="17" s="1"/>
  <c r="R350" i="17" a="1"/>
  <c r="R350" i="17" s="1"/>
  <c r="R400" i="17" a="1"/>
  <c r="R400" i="17" s="1"/>
  <c r="R690" i="17" a="1"/>
  <c r="R690" i="17" s="1"/>
  <c r="R691" i="17" a="1"/>
  <c r="R691" i="17" s="1"/>
  <c r="R692" i="17" a="1"/>
  <c r="R692" i="17" s="1"/>
  <c r="R693" i="17" a="1"/>
  <c r="R693" i="17" s="1"/>
  <c r="R694" i="17" a="1"/>
  <c r="R694" i="17" s="1"/>
  <c r="R695" i="17" a="1"/>
  <c r="R695" i="17" s="1"/>
  <c r="R51" i="17" a="1"/>
  <c r="R51" i="17" s="1"/>
  <c r="R101" i="17" a="1"/>
  <c r="R101" i="17" s="1"/>
  <c r="R151" i="17" a="1"/>
  <c r="R151" i="17" s="1"/>
  <c r="R201" i="17" a="1"/>
  <c r="R201" i="17" s="1"/>
  <c r="R251" i="17" a="1"/>
  <c r="R251" i="17" s="1"/>
  <c r="R301" i="17" a="1"/>
  <c r="R301" i="17" s="1"/>
  <c r="R351" i="17" a="1"/>
  <c r="R351" i="17" s="1"/>
  <c r="R401" i="17" a="1"/>
  <c r="R401" i="17" s="1"/>
  <c r="R696" i="17" a="1"/>
  <c r="R696" i="17" s="1"/>
  <c r="R697" i="17" a="1"/>
  <c r="R697" i="17" s="1"/>
  <c r="R698" i="17" a="1"/>
  <c r="R698" i="17" s="1"/>
  <c r="R699" i="17" a="1"/>
  <c r="R699" i="17" s="1"/>
  <c r="R700" i="17" a="1"/>
  <c r="R700" i="17" s="1"/>
  <c r="R701" i="17" a="1"/>
  <c r="R701" i="17" s="1"/>
  <c r="S2" i="17" a="1"/>
  <c r="S2" i="17" s="1"/>
  <c r="S52" i="17" a="1"/>
  <c r="S52" i="17" s="1"/>
  <c r="S102" i="17" a="1"/>
  <c r="S102" i="17" s="1"/>
  <c r="S152" i="17" a="1"/>
  <c r="S152" i="17" s="1"/>
  <c r="S202" i="17" a="1"/>
  <c r="S202" i="17" s="1"/>
  <c r="S252" i="17" a="1"/>
  <c r="S252" i="17" s="1"/>
  <c r="S302" i="17" a="1"/>
  <c r="S302" i="17" s="1"/>
  <c r="S352" i="17" a="1"/>
  <c r="S352" i="17" s="1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/>
  <c r="S407" i="17" a="1"/>
  <c r="S407" i="17" s="1"/>
  <c r="S3" i="17" a="1"/>
  <c r="S3" i="17" s="1"/>
  <c r="S53" i="17" a="1"/>
  <c r="S53" i="17" s="1"/>
  <c r="S103" i="17" a="1"/>
  <c r="S103" i="17" s="1"/>
  <c r="S153" i="17" a="1"/>
  <c r="S153" i="17" s="1"/>
  <c r="S203" i="17" a="1"/>
  <c r="S203" i="17" s="1"/>
  <c r="S253" i="17" a="1"/>
  <c r="S253" i="17" s="1"/>
  <c r="S303" i="17" a="1"/>
  <c r="S303" i="17" s="1"/>
  <c r="S353" i="17" a="1"/>
  <c r="S353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 s="1"/>
  <c r="S413" i="17" a="1"/>
  <c r="S413" i="17" s="1"/>
  <c r="S4" i="17" a="1"/>
  <c r="S4" i="17" s="1"/>
  <c r="S54" i="17" a="1"/>
  <c r="S54" i="17" s="1"/>
  <c r="S104" i="17" a="1"/>
  <c r="S104" i="17" s="1"/>
  <c r="S154" i="17" a="1"/>
  <c r="S154" i="17" s="1"/>
  <c r="S204" i="17" a="1"/>
  <c r="S204" i="17" s="1"/>
  <c r="S254" i="17" a="1"/>
  <c r="S254" i="17" s="1"/>
  <c r="S304" i="17" a="1"/>
  <c r="S304" i="17" s="1"/>
  <c r="S354" i="17" a="1"/>
  <c r="S354" i="17" s="1"/>
  <c r="S414" i="17" a="1"/>
  <c r="S414" i="17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 s="1"/>
  <c r="S5" i="17" a="1"/>
  <c r="S5" i="17" s="1"/>
  <c r="S55" i="17" a="1"/>
  <c r="S55" i="17" s="1"/>
  <c r="S105" i="17" a="1"/>
  <c r="S105" i="17" s="1"/>
  <c r="S155" i="17" a="1"/>
  <c r="S155" i="17" s="1"/>
  <c r="S205" i="17" a="1"/>
  <c r="S205" i="17" s="1"/>
  <c r="S255" i="17" a="1"/>
  <c r="S255" i="17" s="1"/>
  <c r="S305" i="17" a="1"/>
  <c r="S305" i="17" s="1"/>
  <c r="S355" i="17" a="1"/>
  <c r="S355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6" i="17" a="1"/>
  <c r="S6" i="17" s="1"/>
  <c r="S56" i="17" a="1"/>
  <c r="S56" i="17" s="1"/>
  <c r="S106" i="17" a="1"/>
  <c r="S106" i="17" s="1"/>
  <c r="S156" i="17" a="1"/>
  <c r="S156" i="17" s="1"/>
  <c r="S206" i="17" a="1"/>
  <c r="S206" i="17" s="1"/>
  <c r="S256" i="17" a="1"/>
  <c r="S256" i="17" s="1"/>
  <c r="S306" i="17" a="1"/>
  <c r="S306" i="17" s="1"/>
  <c r="S356" i="17" a="1"/>
  <c r="S356" i="17" s="1"/>
  <c r="S426" i="17" a="1"/>
  <c r="S426" i="17" s="1"/>
  <c r="S427" i="17" a="1"/>
  <c r="S427" i="17" s="1"/>
  <c r="S428" i="17" a="1"/>
  <c r="S428" i="17" s="1"/>
  <c r="S429" i="17" a="1"/>
  <c r="S429" i="17" s="1"/>
  <c r="S430" i="17" a="1"/>
  <c r="S430" i="17" s="1"/>
  <c r="S431" i="17" a="1"/>
  <c r="S431" i="17" s="1"/>
  <c r="S7" i="17" a="1"/>
  <c r="S7" i="17" s="1"/>
  <c r="S57" i="17" a="1"/>
  <c r="S57" i="17" s="1"/>
  <c r="S107" i="17" a="1"/>
  <c r="S107" i="17" s="1"/>
  <c r="S157" i="17" a="1"/>
  <c r="S157" i="17" s="1"/>
  <c r="S207" i="17" a="1"/>
  <c r="S207" i="17" s="1"/>
  <c r="S257" i="17" a="1"/>
  <c r="S257" i="17" s="1"/>
  <c r="S307" i="17" a="1"/>
  <c r="S307" i="17" s="1"/>
  <c r="S357" i="17" a="1"/>
  <c r="S357" i="17" s="1"/>
  <c r="S432" i="17" a="1"/>
  <c r="S432" i="17" s="1"/>
  <c r="S433" i="17" a="1"/>
  <c r="S433" i="17" s="1"/>
  <c r="S434" i="17" a="1"/>
  <c r="S434" i="17" s="1"/>
  <c r="S435" i="17" a="1"/>
  <c r="S435" i="17" s="1"/>
  <c r="S436" i="17" a="1"/>
  <c r="S436" i="17" s="1"/>
  <c r="S437" i="17" a="1"/>
  <c r="S437" i="17" s="1"/>
  <c r="S8" i="17" a="1"/>
  <c r="S8" i="17" s="1"/>
  <c r="S58" i="17" a="1"/>
  <c r="S58" i="17" s="1"/>
  <c r="S108" i="17" a="1"/>
  <c r="S108" i="17" s="1"/>
  <c r="S158" i="17" a="1"/>
  <c r="S158" i="17" s="1"/>
  <c r="S208" i="17" a="1"/>
  <c r="S208" i="17" s="1"/>
  <c r="S258" i="17" a="1"/>
  <c r="S258" i="17" s="1"/>
  <c r="S308" i="17" a="1"/>
  <c r="S308" i="17" s="1"/>
  <c r="S358" i="17" a="1"/>
  <c r="S358" i="17" s="1"/>
  <c r="S438" i="17" a="1"/>
  <c r="S438" i="17" s="1"/>
  <c r="S439" i="17" a="1"/>
  <c r="S439" i="17" s="1"/>
  <c r="S440" i="17" a="1"/>
  <c r="S440" i="17" s="1"/>
  <c r="S441" i="17" a="1"/>
  <c r="S441" i="17" s="1"/>
  <c r="S442" i="17" a="1"/>
  <c r="S442" i="17" s="1"/>
  <c r="S443" i="17" a="1"/>
  <c r="S443" i="17" s="1"/>
  <c r="S9" i="17" a="1"/>
  <c r="S9" i="17" s="1"/>
  <c r="S59" i="17" a="1"/>
  <c r="S59" i="17" s="1"/>
  <c r="S109" i="17" a="1"/>
  <c r="S109" i="17" s="1"/>
  <c r="S159" i="17" a="1"/>
  <c r="S159" i="17" s="1"/>
  <c r="S209" i="17" a="1"/>
  <c r="S209" i="17" s="1"/>
  <c r="S259" i="17" a="1"/>
  <c r="S259" i="17" s="1"/>
  <c r="S309" i="17" a="1"/>
  <c r="S309" i="17" s="1"/>
  <c r="S359" i="17" a="1"/>
  <c r="S359" i="17" s="1"/>
  <c r="S444" i="17" a="1"/>
  <c r="S444" i="17" s="1"/>
  <c r="S445" i="17" a="1"/>
  <c r="S445" i="17" s="1"/>
  <c r="S446" i="17" a="1"/>
  <c r="S446" i="17" s="1"/>
  <c r="S447" i="17" a="1"/>
  <c r="S447" i="17" s="1"/>
  <c r="S448" i="17" a="1"/>
  <c r="S448" i="17" s="1"/>
  <c r="S449" i="17" a="1"/>
  <c r="S449" i="17" s="1"/>
  <c r="S10" i="17" a="1"/>
  <c r="S10" i="17" s="1"/>
  <c r="S60" i="17" a="1"/>
  <c r="S60" i="17" s="1"/>
  <c r="S110" i="17" a="1"/>
  <c r="S110" i="17" s="1"/>
  <c r="S160" i="17" a="1"/>
  <c r="S160" i="17" s="1"/>
  <c r="S210" i="17" a="1"/>
  <c r="S210" i="17"/>
  <c r="S260" i="17" a="1"/>
  <c r="S260" i="17" s="1"/>
  <c r="S310" i="17" a="1"/>
  <c r="S310" i="17" s="1"/>
  <c r="S360" i="17" a="1"/>
  <c r="S360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11" i="17" a="1"/>
  <c r="S11" i="17" s="1"/>
  <c r="S61" i="17" a="1"/>
  <c r="S61" i="17" s="1"/>
  <c r="S111" i="17" a="1"/>
  <c r="S111" i="17" s="1"/>
  <c r="S161" i="17" a="1"/>
  <c r="S161" i="17" s="1"/>
  <c r="S211" i="17" a="1"/>
  <c r="S211" i="17" s="1"/>
  <c r="S261" i="17" a="1"/>
  <c r="S261" i="17" s="1"/>
  <c r="S311" i="17" a="1"/>
  <c r="S311" i="17" s="1"/>
  <c r="S361" i="17" a="1"/>
  <c r="S361" i="17" s="1"/>
  <c r="S456" i="17" a="1"/>
  <c r="S456" i="17" s="1"/>
  <c r="S457" i="17" a="1"/>
  <c r="S457" i="17" s="1"/>
  <c r="S458" i="17" a="1"/>
  <c r="S458" i="17" s="1"/>
  <c r="S459" i="17" a="1"/>
  <c r="S459" i="17" s="1"/>
  <c r="S460" i="17" a="1"/>
  <c r="S460" i="17" s="1"/>
  <c r="S461" i="17" a="1"/>
  <c r="S461" i="17" s="1"/>
  <c r="S12" i="17" a="1"/>
  <c r="S12" i="17"/>
  <c r="S62" i="17" a="1"/>
  <c r="S62" i="17" s="1"/>
  <c r="S112" i="17" a="1"/>
  <c r="S112" i="17" s="1"/>
  <c r="S162" i="17" a="1"/>
  <c r="S162" i="17" s="1"/>
  <c r="S212" i="17" a="1"/>
  <c r="S212" i="17" s="1"/>
  <c r="S262" i="17" a="1"/>
  <c r="S262" i="17" s="1"/>
  <c r="S312" i="17" a="1"/>
  <c r="S312" i="17" s="1"/>
  <c r="S362" i="17" a="1"/>
  <c r="S362" i="17" s="1"/>
  <c r="S462" i="17" a="1"/>
  <c r="S462" i="17" s="1"/>
  <c r="S463" i="17" a="1"/>
  <c r="S463" i="17" s="1"/>
  <c r="S464" i="17" a="1"/>
  <c r="S464" i="17" s="1"/>
  <c r="S465" i="17" a="1"/>
  <c r="S465" i="17" s="1"/>
  <c r="S466" i="17" a="1"/>
  <c r="S466" i="17" s="1"/>
  <c r="S467" i="17" a="1"/>
  <c r="S467" i="17" s="1"/>
  <c r="S13" i="17" a="1"/>
  <c r="S13" i="17" s="1"/>
  <c r="S63" i="17" a="1"/>
  <c r="S63" i="17" s="1"/>
  <c r="S113" i="17" a="1"/>
  <c r="S113" i="17" s="1"/>
  <c r="S163" i="17" a="1"/>
  <c r="S163" i="17" s="1"/>
  <c r="S213" i="17" a="1"/>
  <c r="S213" i="17" s="1"/>
  <c r="S263" i="17" a="1"/>
  <c r="S263" i="17" s="1"/>
  <c r="S313" i="17" a="1"/>
  <c r="S313" i="17" s="1"/>
  <c r="S363" i="17" a="1"/>
  <c r="S363" i="17" s="1"/>
  <c r="S468" i="17" a="1"/>
  <c r="S468" i="17" s="1"/>
  <c r="S469" i="17" a="1"/>
  <c r="S469" i="17" s="1"/>
  <c r="S470" i="17" a="1"/>
  <c r="S470" i="17"/>
  <c r="S471" i="17" a="1"/>
  <c r="S471" i="17" s="1"/>
  <c r="S472" i="17" a="1"/>
  <c r="S472" i="17" s="1"/>
  <c r="S473" i="17" a="1"/>
  <c r="S473" i="17" s="1"/>
  <c r="S14" i="17" a="1"/>
  <c r="S14" i="17" s="1"/>
  <c r="S64" i="17" a="1"/>
  <c r="S64" i="17" s="1"/>
  <c r="S114" i="17" a="1"/>
  <c r="S114" i="17" s="1"/>
  <c r="S164" i="17" a="1"/>
  <c r="S164" i="17" s="1"/>
  <c r="S214" i="17" a="1"/>
  <c r="S214" i="17" s="1"/>
  <c r="S264" i="17" a="1"/>
  <c r="S264" i="17" s="1"/>
  <c r="S314" i="17" a="1"/>
  <c r="S314" i="17" s="1"/>
  <c r="S364" i="17" a="1"/>
  <c r="S364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 s="1"/>
  <c r="S15" i="17" a="1"/>
  <c r="S15" i="17" s="1"/>
  <c r="S65" i="17" a="1"/>
  <c r="S65" i="17" s="1"/>
  <c r="S115" i="17" a="1"/>
  <c r="S115" i="17" s="1"/>
  <c r="S165" i="17" a="1"/>
  <c r="S165" i="17" s="1"/>
  <c r="S215" i="17" a="1"/>
  <c r="S215" i="17" s="1"/>
  <c r="S265" i="17" a="1"/>
  <c r="S265" i="17" s="1"/>
  <c r="S315" i="17" a="1"/>
  <c r="S315" i="17" s="1"/>
  <c r="S365" i="17" a="1"/>
  <c r="S365" i="17" s="1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16" i="17" a="1"/>
  <c r="S16" i="17"/>
  <c r="S66" i="17" a="1"/>
  <c r="S66" i="17" s="1"/>
  <c r="S116" i="17" a="1"/>
  <c r="S116" i="17" s="1"/>
  <c r="S166" i="17" a="1"/>
  <c r="S166" i="17" s="1"/>
  <c r="S216" i="17" a="1"/>
  <c r="S216" i="17" s="1"/>
  <c r="S266" i="17" a="1"/>
  <c r="S266" i="17" s="1"/>
  <c r="S316" i="17" a="1"/>
  <c r="S316" i="17" s="1"/>
  <c r="S366" i="17" a="1"/>
  <c r="S366" i="17" s="1"/>
  <c r="S486" i="17" a="1"/>
  <c r="S486" i="17"/>
  <c r="S487" i="17" a="1"/>
  <c r="S487" i="17" s="1"/>
  <c r="S488" i="17" a="1"/>
  <c r="S488" i="17" s="1"/>
  <c r="S489" i="17" a="1"/>
  <c r="S489" i="17" s="1"/>
  <c r="S490" i="17" a="1"/>
  <c r="S490" i="17" s="1"/>
  <c r="S491" i="17" a="1"/>
  <c r="S491" i="17" s="1"/>
  <c r="S17" i="17" a="1"/>
  <c r="S17" i="17" s="1"/>
  <c r="S67" i="17" a="1"/>
  <c r="S67" i="17" s="1"/>
  <c r="S117" i="17" a="1"/>
  <c r="S117" i="17" s="1"/>
  <c r="S167" i="17" a="1"/>
  <c r="S167" i="17" s="1"/>
  <c r="S217" i="17" a="1"/>
  <c r="S217" i="17" s="1"/>
  <c r="S267" i="17" a="1"/>
  <c r="S267" i="17" s="1"/>
  <c r="S317" i="17" a="1"/>
  <c r="S317" i="17" s="1"/>
  <c r="S367" i="17" a="1"/>
  <c r="S367" i="17" s="1"/>
  <c r="S492" i="17" a="1"/>
  <c r="S492" i="17" s="1"/>
  <c r="S493" i="17" a="1"/>
  <c r="S493" i="17" s="1"/>
  <c r="S494" i="17" a="1"/>
  <c r="S494" i="17"/>
  <c r="S495" i="17" a="1"/>
  <c r="S495" i="17" s="1"/>
  <c r="S496" i="17" a="1"/>
  <c r="S496" i="17" s="1"/>
  <c r="S497" i="17" a="1"/>
  <c r="S497" i="17" s="1"/>
  <c r="S18" i="17" a="1"/>
  <c r="S18" i="17" s="1"/>
  <c r="S68" i="17" a="1"/>
  <c r="S68" i="17" s="1"/>
  <c r="S118" i="17" a="1"/>
  <c r="S118" i="17" s="1"/>
  <c r="S168" i="17" a="1"/>
  <c r="S168" i="17" s="1"/>
  <c r="S218" i="17" a="1"/>
  <c r="S218" i="17" s="1"/>
  <c r="S268" i="17" a="1"/>
  <c r="S268" i="17" s="1"/>
  <c r="S318" i="17" a="1"/>
  <c r="S318" i="17" s="1"/>
  <c r="S368" i="17" a="1"/>
  <c r="S368" i="17" s="1"/>
  <c r="S498" i="17" a="1"/>
  <c r="S498" i="17" s="1"/>
  <c r="S499" i="17" a="1"/>
  <c r="S499" i="17" s="1"/>
  <c r="S500" i="17" a="1"/>
  <c r="S500" i="17" s="1"/>
  <c r="S501" i="17" a="1"/>
  <c r="S501" i="17" s="1"/>
  <c r="S502" i="17" a="1"/>
  <c r="S502" i="17" s="1"/>
  <c r="S503" i="17" a="1"/>
  <c r="S503" i="17" s="1"/>
  <c r="S19" i="17" a="1"/>
  <c r="S19" i="17" s="1"/>
  <c r="S69" i="17" a="1"/>
  <c r="S69" i="17" s="1"/>
  <c r="S119" i="17" a="1"/>
  <c r="S119" i="17" s="1"/>
  <c r="S169" i="17" a="1"/>
  <c r="S169" i="17" s="1"/>
  <c r="S219" i="17" a="1"/>
  <c r="S219" i="17" s="1"/>
  <c r="S269" i="17" a="1"/>
  <c r="S269" i="17" s="1"/>
  <c r="S319" i="17" a="1"/>
  <c r="S319" i="17" s="1"/>
  <c r="S369" i="17" a="1"/>
  <c r="S369" i="17" s="1"/>
  <c r="S504" i="17" a="1"/>
  <c r="S504" i="17" s="1"/>
  <c r="S505" i="17" a="1"/>
  <c r="S505" i="17" s="1"/>
  <c r="S506" i="17" a="1"/>
  <c r="S506" i="17" s="1"/>
  <c r="S507" i="17" a="1"/>
  <c r="S507" i="17" s="1"/>
  <c r="S508" i="17" a="1"/>
  <c r="S508" i="17" s="1"/>
  <c r="S509" i="17" a="1"/>
  <c r="S509" i="17" s="1"/>
  <c r="S20" i="17" a="1"/>
  <c r="S20" i="17" s="1"/>
  <c r="S70" i="17" a="1"/>
  <c r="S70" i="17" s="1"/>
  <c r="S120" i="17" a="1"/>
  <c r="S120" i="17" s="1"/>
  <c r="S170" i="17" a="1"/>
  <c r="S170" i="17" s="1"/>
  <c r="S220" i="17" a="1"/>
  <c r="S220" i="17" s="1"/>
  <c r="S270" i="17" a="1"/>
  <c r="S270" i="17" s="1"/>
  <c r="S320" i="17" a="1"/>
  <c r="S320" i="17" s="1"/>
  <c r="S370" i="17" a="1"/>
  <c r="S370" i="17" s="1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 s="1"/>
  <c r="S515" i="17" a="1"/>
  <c r="S515" i="17" s="1"/>
  <c r="S21" i="17" a="1"/>
  <c r="S21" i="17" s="1"/>
  <c r="S71" i="17" a="1"/>
  <c r="S71" i="17" s="1"/>
  <c r="S121" i="17" a="1"/>
  <c r="S121" i="17"/>
  <c r="S171" i="17" a="1"/>
  <c r="S171" i="17" s="1"/>
  <c r="S221" i="17" a="1"/>
  <c r="S221" i="17" s="1"/>
  <c r="S271" i="17" a="1"/>
  <c r="S271" i="17" s="1"/>
  <c r="S321" i="17" a="1"/>
  <c r="S321" i="17" s="1"/>
  <c r="S371" i="17" a="1"/>
  <c r="S371" i="17" s="1"/>
  <c r="S516" i="17" a="1"/>
  <c r="S516" i="17" s="1"/>
  <c r="S517" i="17" a="1"/>
  <c r="S517" i="17" s="1"/>
  <c r="S518" i="17" a="1"/>
  <c r="S518" i="17" s="1"/>
  <c r="S519" i="17" a="1"/>
  <c r="S519" i="17" s="1"/>
  <c r="S520" i="17" a="1"/>
  <c r="S520" i="17" s="1"/>
  <c r="S521" i="17" a="1"/>
  <c r="S521" i="17" s="1"/>
  <c r="S22" i="17" a="1"/>
  <c r="S22" i="17" s="1"/>
  <c r="S72" i="17" a="1"/>
  <c r="S72" i="17" s="1"/>
  <c r="S122" i="17" a="1"/>
  <c r="S122" i="17" s="1"/>
  <c r="S172" i="17" a="1"/>
  <c r="S172" i="17" s="1"/>
  <c r="S222" i="17" a="1"/>
  <c r="S222" i="17" s="1"/>
  <c r="S272" i="17" a="1"/>
  <c r="S272" i="17" s="1"/>
  <c r="S322" i="17" a="1"/>
  <c r="S322" i="17" s="1"/>
  <c r="S372" i="17" a="1"/>
  <c r="S372" i="17" s="1"/>
  <c r="S522" i="17" a="1"/>
  <c r="S522" i="17" s="1"/>
  <c r="S523" i="17" a="1"/>
  <c r="S523" i="17" s="1"/>
  <c r="S524" i="17" a="1"/>
  <c r="S524" i="17" s="1"/>
  <c r="S525" i="17" a="1"/>
  <c r="S525" i="17" s="1"/>
  <c r="S526" i="17" a="1"/>
  <c r="S526" i="17"/>
  <c r="S527" i="17" a="1"/>
  <c r="S527" i="17" s="1"/>
  <c r="S23" i="17" a="1"/>
  <c r="S23" i="17" s="1"/>
  <c r="S73" i="17" a="1"/>
  <c r="S73" i="17" s="1"/>
  <c r="S123" i="17" a="1"/>
  <c r="S123" i="17" s="1"/>
  <c r="S173" i="17" a="1"/>
  <c r="S173" i="17" s="1"/>
  <c r="S223" i="17" a="1"/>
  <c r="S223" i="17" s="1"/>
  <c r="S273" i="17" a="1"/>
  <c r="S273" i="17" s="1"/>
  <c r="S323" i="17" a="1"/>
  <c r="S323" i="17" s="1"/>
  <c r="S373" i="17" a="1"/>
  <c r="S373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24" i="17" a="1"/>
  <c r="S24" i="17" s="1"/>
  <c r="S74" i="17" a="1"/>
  <c r="S74" i="17" s="1"/>
  <c r="S124" i="17" a="1"/>
  <c r="S124" i="17" s="1"/>
  <c r="S174" i="17" a="1"/>
  <c r="S174" i="17" s="1"/>
  <c r="S224" i="17" a="1"/>
  <c r="S224" i="17" s="1"/>
  <c r="S274" i="17" a="1"/>
  <c r="S274" i="17" s="1"/>
  <c r="S324" i="17" a="1"/>
  <c r="S324" i="17" s="1"/>
  <c r="S374" i="17" a="1"/>
  <c r="S374" i="17" s="1"/>
  <c r="S534" i="17" a="1"/>
  <c r="S534" i="17" s="1"/>
  <c r="S535" i="17" a="1"/>
  <c r="S535" i="17" s="1"/>
  <c r="S536" i="17" a="1"/>
  <c r="S536" i="17" s="1"/>
  <c r="S537" i="17" a="1"/>
  <c r="S537" i="17" s="1"/>
  <c r="S538" i="17" a="1"/>
  <c r="S538" i="17" s="1"/>
  <c r="S539" i="17" a="1"/>
  <c r="S539" i="17" s="1"/>
  <c r="S25" i="17" a="1"/>
  <c r="S25" i="17" s="1"/>
  <c r="S75" i="17" a="1"/>
  <c r="S75" i="17" s="1"/>
  <c r="S125" i="17" a="1"/>
  <c r="S125" i="17" s="1"/>
  <c r="S175" i="17" a="1"/>
  <c r="S175" i="17" s="1"/>
  <c r="S225" i="17" a="1"/>
  <c r="S225" i="17" s="1"/>
  <c r="S275" i="17" a="1"/>
  <c r="S275" i="17" s="1"/>
  <c r="S325" i="17" a="1"/>
  <c r="S325" i="17" s="1"/>
  <c r="S375" i="17" a="1"/>
  <c r="S375" i="17" s="1"/>
  <c r="S540" i="17" a="1"/>
  <c r="S540" i="17" s="1"/>
  <c r="S541" i="17" a="1"/>
  <c r="S541" i="17" s="1"/>
  <c r="S542" i="17" a="1"/>
  <c r="S542" i="17" s="1"/>
  <c r="S543" i="17" a="1"/>
  <c r="S543" i="17" s="1"/>
  <c r="S544" i="17" a="1"/>
  <c r="S544" i="17" s="1"/>
  <c r="S545" i="17" a="1"/>
  <c r="S545" i="17" s="1"/>
  <c r="S26" i="17" a="1"/>
  <c r="S26" i="17" s="1"/>
  <c r="S76" i="17" a="1"/>
  <c r="S76" i="17" s="1"/>
  <c r="S126" i="17" a="1"/>
  <c r="S126" i="17" s="1"/>
  <c r="S176" i="17" a="1"/>
  <c r="S176" i="17" s="1"/>
  <c r="S226" i="17" a="1"/>
  <c r="S226" i="17" s="1"/>
  <c r="S276" i="17" a="1"/>
  <c r="S276" i="17" s="1"/>
  <c r="S326" i="17" a="1"/>
  <c r="S326" i="17" s="1"/>
  <c r="S376" i="17" a="1"/>
  <c r="S376" i="17" s="1"/>
  <c r="S546" i="17" a="1"/>
  <c r="S546" i="17" s="1"/>
  <c r="S547" i="17" a="1"/>
  <c r="S547" i="17" s="1"/>
  <c r="S548" i="17" a="1"/>
  <c r="S548" i="17" s="1"/>
  <c r="S549" i="17" a="1"/>
  <c r="S549" i="17" s="1"/>
  <c r="S550" i="17" a="1"/>
  <c r="S550" i="17" s="1"/>
  <c r="S551" i="17" a="1"/>
  <c r="S551" i="17" s="1"/>
  <c r="S27" i="17" a="1"/>
  <c r="S27" i="17" s="1"/>
  <c r="S77" i="17" a="1"/>
  <c r="S77" i="17" s="1"/>
  <c r="S127" i="17" a="1"/>
  <c r="S127" i="17" s="1"/>
  <c r="S177" i="17" a="1"/>
  <c r="S177" i="17" s="1"/>
  <c r="S227" i="17" a="1"/>
  <c r="S227" i="17" s="1"/>
  <c r="S277" i="17" a="1"/>
  <c r="S277" i="17" s="1"/>
  <c r="S327" i="17" a="1"/>
  <c r="S327" i="17" s="1"/>
  <c r="S377" i="17" a="1"/>
  <c r="S377" i="17" s="1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28" i="17" a="1"/>
  <c r="S28" i="17" s="1"/>
  <c r="S78" i="17" a="1"/>
  <c r="S78" i="17" s="1"/>
  <c r="S128" i="17" a="1"/>
  <c r="S128" i="17" s="1"/>
  <c r="S178" i="17" a="1"/>
  <c r="S178" i="17" s="1"/>
  <c r="S228" i="17" a="1"/>
  <c r="S228" i="17" s="1"/>
  <c r="S278" i="17" a="1"/>
  <c r="S278" i="17" s="1"/>
  <c r="S328" i="17" a="1"/>
  <c r="S328" i="17" s="1"/>
  <c r="S378" i="17" a="1"/>
  <c r="S378" i="17" s="1"/>
  <c r="S558" i="17" a="1"/>
  <c r="S558" i="17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 s="1"/>
  <c r="S29" i="17" a="1"/>
  <c r="S29" i="17" s="1"/>
  <c r="S79" i="17" a="1"/>
  <c r="S79" i="17" s="1"/>
  <c r="S129" i="17" a="1"/>
  <c r="S129" i="17" s="1"/>
  <c r="S179" i="17" a="1"/>
  <c r="S179" i="17" s="1"/>
  <c r="S229" i="17" a="1"/>
  <c r="S229" i="17" s="1"/>
  <c r="S279" i="17" a="1"/>
  <c r="S279" i="17" s="1"/>
  <c r="S329" i="17" a="1"/>
  <c r="S329" i="17" s="1"/>
  <c r="S379" i="17" a="1"/>
  <c r="S379" i="17" s="1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30" i="17" a="1"/>
  <c r="S30" i="17" s="1"/>
  <c r="S80" i="17" a="1"/>
  <c r="S80" i="17" s="1"/>
  <c r="S130" i="17" a="1"/>
  <c r="S130" i="17" s="1"/>
  <c r="S180" i="17" a="1"/>
  <c r="S180" i="17" s="1"/>
  <c r="S230" i="17" a="1"/>
  <c r="S230" i="17"/>
  <c r="S280" i="17" a="1"/>
  <c r="S280" i="17" s="1"/>
  <c r="S330" i="17" a="1"/>
  <c r="S330" i="17" s="1"/>
  <c r="S380" i="17" a="1"/>
  <c r="S380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 s="1"/>
  <c r="S575" i="17" a="1"/>
  <c r="S575" i="17" s="1"/>
  <c r="S31" i="17" a="1"/>
  <c r="S31" i="17" s="1"/>
  <c r="S81" i="17" a="1"/>
  <c r="S81" i="17" s="1"/>
  <c r="S131" i="17" a="1"/>
  <c r="S131" i="17" s="1"/>
  <c r="S181" i="17" a="1"/>
  <c r="S181" i="17" s="1"/>
  <c r="S231" i="17" a="1"/>
  <c r="S231" i="17" s="1"/>
  <c r="S281" i="17" a="1"/>
  <c r="S281" i="17" s="1"/>
  <c r="S331" i="17" a="1"/>
  <c r="S331" i="17" s="1"/>
  <c r="S381" i="17" a="1"/>
  <c r="S381" i="17" s="1"/>
  <c r="S576" i="17" a="1"/>
  <c r="S576" i="17" s="1"/>
  <c r="S577" i="17" a="1"/>
  <c r="S577" i="17" s="1"/>
  <c r="S578" i="17" a="1"/>
  <c r="S578" i="17" s="1"/>
  <c r="S579" i="17" a="1"/>
  <c r="S579" i="17" s="1"/>
  <c r="S580" i="17" a="1"/>
  <c r="S580" i="17" s="1"/>
  <c r="S581" i="17" a="1"/>
  <c r="S581" i="17" s="1"/>
  <c r="S32" i="17" a="1"/>
  <c r="S32" i="17"/>
  <c r="S82" i="17" a="1"/>
  <c r="S82" i="17" s="1"/>
  <c r="S132" i="17" a="1"/>
  <c r="S132" i="17" s="1"/>
  <c r="S182" i="17" a="1"/>
  <c r="S182" i="17" s="1"/>
  <c r="S232" i="17" a="1"/>
  <c r="S232" i="17" s="1"/>
  <c r="S282" i="17" a="1"/>
  <c r="S282" i="17" s="1"/>
  <c r="S332" i="17" a="1"/>
  <c r="S332" i="17" s="1"/>
  <c r="S382" i="17" a="1"/>
  <c r="S382" i="17" s="1"/>
  <c r="S582" i="17" a="1"/>
  <c r="S582" i="17" s="1"/>
  <c r="S583" i="17" a="1"/>
  <c r="S583" i="17" s="1"/>
  <c r="S584" i="17" a="1"/>
  <c r="S584" i="17" s="1"/>
  <c r="S585" i="17" a="1"/>
  <c r="S585" i="17" s="1"/>
  <c r="S586" i="17" a="1"/>
  <c r="S586" i="17" s="1"/>
  <c r="S587" i="17" a="1"/>
  <c r="S587" i="17" s="1"/>
  <c r="S33" i="17" a="1"/>
  <c r="S33" i="17" s="1"/>
  <c r="S83" i="17" a="1"/>
  <c r="S83" i="17" s="1"/>
  <c r="S133" i="17" a="1"/>
  <c r="S133" i="17" s="1"/>
  <c r="S183" i="17" a="1"/>
  <c r="S183" i="17" s="1"/>
  <c r="S233" i="17" a="1"/>
  <c r="S233" i="17" s="1"/>
  <c r="S283" i="17" a="1"/>
  <c r="S283" i="17" s="1"/>
  <c r="S333" i="17" a="1"/>
  <c r="S333" i="17" s="1"/>
  <c r="S383" i="17" a="1"/>
  <c r="S383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34" i="17" a="1"/>
  <c r="S34" i="17" s="1"/>
  <c r="S84" i="17" a="1"/>
  <c r="S84" i="17" s="1"/>
  <c r="S134" i="17" a="1"/>
  <c r="S134" i="17" s="1"/>
  <c r="S184" i="17" a="1"/>
  <c r="S184" i="17" s="1"/>
  <c r="S234" i="17" a="1"/>
  <c r="S234" i="17"/>
  <c r="S284" i="17" a="1"/>
  <c r="S284" i="17" s="1"/>
  <c r="S334" i="17" a="1"/>
  <c r="S334" i="17" s="1"/>
  <c r="S384" i="17" a="1"/>
  <c r="S384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 s="1"/>
  <c r="S599" i="17" a="1"/>
  <c r="S599" i="17" s="1"/>
  <c r="S35" i="17" a="1"/>
  <c r="S35" i="17" s="1"/>
  <c r="S85" i="17" a="1"/>
  <c r="S85" i="17" s="1"/>
  <c r="S135" i="17" a="1"/>
  <c r="S135" i="17" s="1"/>
  <c r="S185" i="17" a="1"/>
  <c r="S185" i="17" s="1"/>
  <c r="S235" i="17" a="1"/>
  <c r="S235" i="17" s="1"/>
  <c r="S285" i="17" a="1"/>
  <c r="S285" i="17" s="1"/>
  <c r="S335" i="17" a="1"/>
  <c r="S335" i="17" s="1"/>
  <c r="S385" i="17" a="1"/>
  <c r="S385" i="17" s="1"/>
  <c r="S600" i="17" a="1"/>
  <c r="S600" i="17" s="1"/>
  <c r="S601" i="17" a="1"/>
  <c r="S601" i="17"/>
  <c r="S602" i="17" a="1"/>
  <c r="S602" i="17" s="1"/>
  <c r="S603" i="17" a="1"/>
  <c r="S603" i="17" s="1"/>
  <c r="S604" i="17" a="1"/>
  <c r="S604" i="17" s="1"/>
  <c r="S605" i="17" a="1"/>
  <c r="S605" i="17" s="1"/>
  <c r="S36" i="17" a="1"/>
  <c r="S36" i="17" s="1"/>
  <c r="S86" i="17" a="1"/>
  <c r="S86" i="17" s="1"/>
  <c r="S136" i="17" a="1"/>
  <c r="S136" i="17" s="1"/>
  <c r="S186" i="17" a="1"/>
  <c r="S186" i="17" s="1"/>
  <c r="S236" i="17" a="1"/>
  <c r="S236" i="17" s="1"/>
  <c r="S286" i="17" a="1"/>
  <c r="S286" i="17" s="1"/>
  <c r="S336" i="17" a="1"/>
  <c r="S336" i="17" s="1"/>
  <c r="S386" i="17" a="1"/>
  <c r="S386" i="17" s="1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37" i="17" a="1"/>
  <c r="S37" i="17" s="1"/>
  <c r="S87" i="17" a="1"/>
  <c r="S87" i="17" s="1"/>
  <c r="S137" i="17" a="1"/>
  <c r="S137" i="17" s="1"/>
  <c r="S187" i="17" a="1"/>
  <c r="S187" i="17" s="1"/>
  <c r="S237" i="17" a="1"/>
  <c r="S237" i="17" s="1"/>
  <c r="S287" i="17" a="1"/>
  <c r="S287" i="17" s="1"/>
  <c r="S337" i="17" a="1"/>
  <c r="S337" i="17" s="1"/>
  <c r="S387" i="17" a="1"/>
  <c r="S387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38" i="17" a="1"/>
  <c r="S38" i="17" s="1"/>
  <c r="S88" i="17" a="1"/>
  <c r="S88" i="17" s="1"/>
  <c r="S138" i="17" a="1"/>
  <c r="S138" i="17" s="1"/>
  <c r="S188" i="17" a="1"/>
  <c r="S188" i="17" s="1"/>
  <c r="S238" i="17" a="1"/>
  <c r="S238" i="17" s="1"/>
  <c r="S288" i="17" a="1"/>
  <c r="S288" i="17" s="1"/>
  <c r="S338" i="17" a="1"/>
  <c r="S338" i="17" s="1"/>
  <c r="S388" i="17" a="1"/>
  <c r="S388" i="17" s="1"/>
  <c r="S618" i="17" a="1"/>
  <c r="S618" i="17" s="1"/>
  <c r="S619" i="17" a="1"/>
  <c r="S619" i="17" s="1"/>
  <c r="S620" i="17" a="1"/>
  <c r="S620" i="17" s="1"/>
  <c r="S621" i="17" a="1"/>
  <c r="S621" i="17" s="1"/>
  <c r="S622" i="17" a="1"/>
  <c r="S622" i="17" s="1"/>
  <c r="S623" i="17" a="1"/>
  <c r="S623" i="17" s="1"/>
  <c r="S39" i="17" a="1"/>
  <c r="S39" i="17" s="1"/>
  <c r="S89" i="17" a="1"/>
  <c r="S89" i="17" s="1"/>
  <c r="S139" i="17" a="1"/>
  <c r="S139" i="17" s="1"/>
  <c r="S189" i="17" a="1"/>
  <c r="S189" i="17" s="1"/>
  <c r="S239" i="17" a="1"/>
  <c r="S239" i="17" s="1"/>
  <c r="S289" i="17" a="1"/>
  <c r="S289" i="17" s="1"/>
  <c r="S339" i="17" a="1"/>
  <c r="S339" i="17" s="1"/>
  <c r="S389" i="17" a="1"/>
  <c r="S389" i="17" s="1"/>
  <c r="S624" i="17" a="1"/>
  <c r="S624" i="17" s="1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40" i="17" a="1"/>
  <c r="S40" i="17" s="1"/>
  <c r="S90" i="17" a="1"/>
  <c r="S90" i="17" s="1"/>
  <c r="S140" i="17" a="1"/>
  <c r="S140" i="17" s="1"/>
  <c r="S190" i="17" a="1"/>
  <c r="S190" i="17" s="1"/>
  <c r="S240" i="17" a="1"/>
  <c r="S240" i="17" s="1"/>
  <c r="S290" i="17" a="1"/>
  <c r="S290" i="17" s="1"/>
  <c r="S340" i="17" a="1"/>
  <c r="S340" i="17" s="1"/>
  <c r="S390" i="17" a="1"/>
  <c r="S390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41" i="17" a="1"/>
  <c r="S41" i="17" s="1"/>
  <c r="S91" i="17" a="1"/>
  <c r="S91" i="17" s="1"/>
  <c r="S141" i="17" a="1"/>
  <c r="S141" i="17" s="1"/>
  <c r="S191" i="17" a="1"/>
  <c r="S191" i="17" s="1"/>
  <c r="S241" i="17" a="1"/>
  <c r="S241" i="17" s="1"/>
  <c r="S291" i="17" a="1"/>
  <c r="S291" i="17" s="1"/>
  <c r="S341" i="17" a="1"/>
  <c r="S341" i="17" s="1"/>
  <c r="S391" i="17" a="1"/>
  <c r="S391" i="17" s="1"/>
  <c r="S636" i="17" a="1"/>
  <c r="S636" i="17" s="1"/>
  <c r="S637" i="17" a="1"/>
  <c r="S637" i="17" s="1"/>
  <c r="S638" i="17" a="1"/>
  <c r="S638" i="17" s="1"/>
  <c r="S639" i="17" a="1"/>
  <c r="S639" i="17" s="1"/>
  <c r="S640" i="17" a="1"/>
  <c r="S640" i="17" s="1"/>
  <c r="S641" i="17" a="1"/>
  <c r="S641" i="17" s="1"/>
  <c r="S42" i="17" a="1"/>
  <c r="S42" i="17" s="1"/>
  <c r="S92" i="17" a="1"/>
  <c r="S92" i="17" s="1"/>
  <c r="S142" i="17" a="1"/>
  <c r="S142" i="17" s="1"/>
  <c r="S192" i="17" a="1"/>
  <c r="S192" i="17" s="1"/>
  <c r="S242" i="17" a="1"/>
  <c r="S242" i="17" s="1"/>
  <c r="S292" i="17" a="1"/>
  <c r="S292" i="17" s="1"/>
  <c r="S342" i="17" a="1"/>
  <c r="S342" i="17" s="1"/>
  <c r="S392" i="17" a="1"/>
  <c r="S392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 s="1"/>
  <c r="S647" i="17" a="1"/>
  <c r="S647" i="17" s="1"/>
  <c r="S43" i="17" a="1"/>
  <c r="S43" i="17" s="1"/>
  <c r="S93" i="17" a="1"/>
  <c r="S93" i="17" s="1"/>
  <c r="S143" i="17" a="1"/>
  <c r="S143" i="17" s="1"/>
  <c r="S193" i="17" a="1"/>
  <c r="S193" i="17" s="1"/>
  <c r="S243" i="17" a="1"/>
  <c r="S243" i="17" s="1"/>
  <c r="S293" i="17" a="1"/>
  <c r="S293" i="17" s="1"/>
  <c r="S343" i="17" a="1"/>
  <c r="S343" i="17" s="1"/>
  <c r="S393" i="17" a="1"/>
  <c r="S393" i="17" s="1"/>
  <c r="S648" i="17" a="1"/>
  <c r="S648" i="17" s="1"/>
  <c r="S649" i="17" a="1"/>
  <c r="S649" i="17" s="1"/>
  <c r="S650" i="17" a="1"/>
  <c r="S650" i="17" s="1"/>
  <c r="S651" i="17" a="1"/>
  <c r="S651" i="17" s="1"/>
  <c r="S652" i="17" a="1"/>
  <c r="S652" i="17" s="1"/>
  <c r="S653" i="17" a="1"/>
  <c r="S653" i="17" s="1"/>
  <c r="S44" i="17" a="1"/>
  <c r="S44" i="17" s="1"/>
  <c r="S94" i="17" a="1"/>
  <c r="S94" i="17" s="1"/>
  <c r="S144" i="17" a="1"/>
  <c r="S144" i="17" s="1"/>
  <c r="S194" i="17" a="1"/>
  <c r="S194" i="17" s="1"/>
  <c r="S244" i="17" a="1"/>
  <c r="S244" i="17" s="1"/>
  <c r="S294" i="17" a="1"/>
  <c r="S294" i="17" s="1"/>
  <c r="S344" i="17" a="1"/>
  <c r="S344" i="17" s="1"/>
  <c r="S394" i="17" a="1"/>
  <c r="S394" i="17" s="1"/>
  <c r="S654" i="17" a="1"/>
  <c r="S654" i="17" s="1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45" i="17" a="1"/>
  <c r="S45" i="17" s="1"/>
  <c r="S95" i="17" a="1"/>
  <c r="S95" i="17" s="1"/>
  <c r="S145" i="17" a="1"/>
  <c r="S145" i="17" s="1"/>
  <c r="S195" i="17" a="1"/>
  <c r="S195" i="17" s="1"/>
  <c r="S245" i="17" a="1"/>
  <c r="S245" i="17" s="1"/>
  <c r="S295" i="17" a="1"/>
  <c r="S295" i="17" s="1"/>
  <c r="S345" i="17" a="1"/>
  <c r="S345" i="17" s="1"/>
  <c r="S395" i="17" a="1"/>
  <c r="S395" i="17" s="1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 s="1"/>
  <c r="S665" i="17" a="1"/>
  <c r="S665" i="17" s="1"/>
  <c r="S46" i="17" a="1"/>
  <c r="S46" i="17" s="1"/>
  <c r="S96" i="17" a="1"/>
  <c r="S96" i="17" s="1"/>
  <c r="S146" i="17" a="1"/>
  <c r="S146" i="17" s="1"/>
  <c r="S196" i="17" a="1"/>
  <c r="S196" i="17" s="1"/>
  <c r="S246" i="17" a="1"/>
  <c r="S246" i="17" s="1"/>
  <c r="S296" i="17" a="1"/>
  <c r="S296" i="17" s="1"/>
  <c r="S346" i="17" a="1"/>
  <c r="S346" i="17" s="1"/>
  <c r="S396" i="17" a="1"/>
  <c r="S396" i="17" s="1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 s="1"/>
  <c r="S671" i="17" a="1"/>
  <c r="S671" i="17" s="1"/>
  <c r="S47" i="17" a="1"/>
  <c r="S47" i="17" s="1"/>
  <c r="S97" i="17" a="1"/>
  <c r="S97" i="17" s="1"/>
  <c r="S147" i="17" a="1"/>
  <c r="S147" i="17" s="1"/>
  <c r="S197" i="17" a="1"/>
  <c r="S197" i="17" s="1"/>
  <c r="S247" i="17" a="1"/>
  <c r="S247" i="17" s="1"/>
  <c r="S297" i="17" a="1"/>
  <c r="S297" i="17" s="1"/>
  <c r="S347" i="17" a="1"/>
  <c r="S347" i="17" s="1"/>
  <c r="S397" i="17" a="1"/>
  <c r="S397" i="17" s="1"/>
  <c r="S672" i="17" a="1"/>
  <c r="S672" i="17" s="1"/>
  <c r="S673" i="17" a="1"/>
  <c r="S673" i="17" s="1"/>
  <c r="S674" i="17" a="1"/>
  <c r="S674" i="17" s="1"/>
  <c r="S675" i="17" a="1"/>
  <c r="S675" i="17" s="1"/>
  <c r="S676" i="17" a="1"/>
  <c r="S676" i="17" s="1"/>
  <c r="S677" i="17" a="1"/>
  <c r="S677" i="17" s="1"/>
  <c r="S48" i="17" a="1"/>
  <c r="S48" i="17" s="1"/>
  <c r="S98" i="17" a="1"/>
  <c r="S98" i="17" s="1"/>
  <c r="S148" i="17" a="1"/>
  <c r="S148" i="17" s="1"/>
  <c r="S198" i="17" a="1"/>
  <c r="S198" i="17" s="1"/>
  <c r="S248" i="17" a="1"/>
  <c r="S248" i="17" s="1"/>
  <c r="S298" i="17" a="1"/>
  <c r="S298" i="17" s="1"/>
  <c r="S348" i="17" a="1"/>
  <c r="S348" i="17" s="1"/>
  <c r="S398" i="17" a="1"/>
  <c r="S398" i="17" s="1"/>
  <c r="S678" i="17" a="1"/>
  <c r="S678" i="17" s="1"/>
  <c r="S679" i="17" a="1"/>
  <c r="S679" i="17" s="1"/>
  <c r="S680" i="17" a="1"/>
  <c r="S680" i="17" s="1"/>
  <c r="S681" i="17" a="1"/>
  <c r="S681" i="17" s="1"/>
  <c r="S682" i="17" a="1"/>
  <c r="S682" i="17" s="1"/>
  <c r="S683" i="17" a="1"/>
  <c r="S683" i="17" s="1"/>
  <c r="S49" i="17" a="1"/>
  <c r="S49" i="17" s="1"/>
  <c r="S99" i="17" a="1"/>
  <c r="S99" i="17" s="1"/>
  <c r="S149" i="17" a="1"/>
  <c r="S149" i="17" s="1"/>
  <c r="S199" i="17" a="1"/>
  <c r="S199" i="17" s="1"/>
  <c r="S249" i="17" a="1"/>
  <c r="S249" i="17" s="1"/>
  <c r="S299" i="17" a="1"/>
  <c r="S299" i="17" s="1"/>
  <c r="S349" i="17" a="1"/>
  <c r="S349" i="17" s="1"/>
  <c r="S399" i="17" a="1"/>
  <c r="S399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50" i="17" a="1"/>
  <c r="S50" i="17" s="1"/>
  <c r="S100" i="17" a="1"/>
  <c r="S100" i="17" s="1"/>
  <c r="S150" i="17" a="1"/>
  <c r="S150" i="17" s="1"/>
  <c r="S200" i="17" a="1"/>
  <c r="S200" i="17" s="1"/>
  <c r="S250" i="17" a="1"/>
  <c r="S250" i="17" s="1"/>
  <c r="S300" i="17" a="1"/>
  <c r="S300" i="17" s="1"/>
  <c r="S350" i="17" a="1"/>
  <c r="S350" i="17" s="1"/>
  <c r="S400" i="17" a="1"/>
  <c r="S400" i="17" s="1"/>
  <c r="S690" i="17" a="1"/>
  <c r="S690" i="17" s="1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51" i="17" a="1"/>
  <c r="S51" i="17" s="1"/>
  <c r="S101" i="17" a="1"/>
  <c r="S101" i="17" s="1"/>
  <c r="S151" i="17" a="1"/>
  <c r="S151" i="17" s="1"/>
  <c r="S201" i="17" a="1"/>
  <c r="S201" i="17" s="1"/>
  <c r="S251" i="17" a="1"/>
  <c r="S251" i="17" s="1"/>
  <c r="S301" i="17" a="1"/>
  <c r="S301" i="17" s="1"/>
  <c r="S351" i="17" a="1"/>
  <c r="S351" i="17" s="1"/>
  <c r="S401" i="17" a="1"/>
  <c r="S401" i="17" s="1"/>
  <c r="S696" i="17" a="1"/>
  <c r="S696" i="17" s="1"/>
  <c r="S697" i="17" a="1"/>
  <c r="S697" i="17" s="1"/>
  <c r="S698" i="17" a="1"/>
  <c r="S698" i="17" s="1"/>
  <c r="S699" i="17" a="1"/>
  <c r="S699" i="17"/>
  <c r="S700" i="17" a="1"/>
  <c r="S700" i="17" s="1"/>
  <c r="S701" i="17" a="1"/>
  <c r="S701" i="17" s="1"/>
  <c r="T2" i="17" a="1"/>
  <c r="T2" i="17"/>
  <c r="T52" i="17" a="1"/>
  <c r="T52" i="17" s="1"/>
  <c r="T102" i="17" a="1"/>
  <c r="T102" i="17" s="1"/>
  <c r="T152" i="17" a="1"/>
  <c r="T152" i="17" s="1"/>
  <c r="T202" i="17" a="1"/>
  <c r="T202" i="17" s="1"/>
  <c r="T252" i="17" a="1"/>
  <c r="T252" i="17" s="1"/>
  <c r="T302" i="17" a="1"/>
  <c r="T302" i="17" s="1"/>
  <c r="T352" i="17" a="1"/>
  <c r="T352" i="17" s="1"/>
  <c r="T402" i="17" a="1"/>
  <c r="T402" i="17" s="1"/>
  <c r="T403" i="17" a="1"/>
  <c r="T403" i="17" s="1"/>
  <c r="T404" i="17" a="1"/>
  <c r="T404" i="17" s="1"/>
  <c r="T405" i="17" a="1"/>
  <c r="T405" i="17"/>
  <c r="T406" i="17" a="1"/>
  <c r="T406" i="17" s="1"/>
  <c r="T407" i="17" a="1"/>
  <c r="T407" i="17" s="1"/>
  <c r="T3" i="17" a="1"/>
  <c r="T3" i="17" s="1"/>
  <c r="T53" i="17" a="1"/>
  <c r="T53" i="17" s="1"/>
  <c r="T103" i="17" a="1"/>
  <c r="T103" i="17" s="1"/>
  <c r="T153" i="17" a="1"/>
  <c r="T153" i="17" s="1"/>
  <c r="T203" i="17" a="1"/>
  <c r="T203" i="17" s="1"/>
  <c r="T253" i="17" a="1"/>
  <c r="T253" i="17" s="1"/>
  <c r="T303" i="17" a="1"/>
  <c r="T303" i="17" s="1"/>
  <c r="T353" i="17" a="1"/>
  <c r="T353" i="17" s="1"/>
  <c r="T408" i="17" a="1"/>
  <c r="T408" i="17" s="1"/>
  <c r="T409" i="17" a="1"/>
  <c r="T409" i="17" s="1"/>
  <c r="T410" i="17" a="1"/>
  <c r="T410" i="17" s="1"/>
  <c r="T411" i="17" a="1"/>
  <c r="T411" i="17" s="1"/>
  <c r="T412" i="17" a="1"/>
  <c r="T412" i="17" s="1"/>
  <c r="T413" i="17" a="1"/>
  <c r="T413" i="17" s="1"/>
  <c r="T4" i="17" a="1"/>
  <c r="T4" i="17" s="1"/>
  <c r="T54" i="17" a="1"/>
  <c r="T54" i="17" s="1"/>
  <c r="T104" i="17" a="1"/>
  <c r="T104" i="17" s="1"/>
  <c r="T154" i="17" a="1"/>
  <c r="T154" i="17" s="1"/>
  <c r="T204" i="17" a="1"/>
  <c r="T204" i="17" s="1"/>
  <c r="T254" i="17" a="1"/>
  <c r="T254" i="17" s="1"/>
  <c r="T304" i="17" a="1"/>
  <c r="T304" i="17" s="1"/>
  <c r="T354" i="17" a="1"/>
  <c r="T354" i="17" s="1"/>
  <c r="T414" i="17" a="1"/>
  <c r="T414" i="17" s="1"/>
  <c r="T415" i="17" a="1"/>
  <c r="T415" i="17" s="1"/>
  <c r="T416" i="17" a="1"/>
  <c r="T416" i="17" s="1"/>
  <c r="T417" i="17" a="1"/>
  <c r="T417" i="17" s="1"/>
  <c r="T418" i="17" a="1"/>
  <c r="T418" i="17" s="1"/>
  <c r="T419" i="17" a="1"/>
  <c r="T419" i="17"/>
  <c r="T5" i="17" a="1"/>
  <c r="T5" i="17" s="1"/>
  <c r="T55" i="17" a="1"/>
  <c r="T55" i="17"/>
  <c r="T105" i="17" a="1"/>
  <c r="T105" i="17" s="1"/>
  <c r="T155" i="17" a="1"/>
  <c r="T155" i="17" s="1"/>
  <c r="T205" i="17" a="1"/>
  <c r="T205" i="17" s="1"/>
  <c r="T255" i="17" a="1"/>
  <c r="T255" i="17" s="1"/>
  <c r="T305" i="17" a="1"/>
  <c r="T305" i="17" s="1"/>
  <c r="T355" i="17" a="1"/>
  <c r="T355" i="17" s="1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6" i="17" a="1"/>
  <c r="T6" i="17" s="1"/>
  <c r="T56" i="17" a="1"/>
  <c r="T56" i="17" s="1"/>
  <c r="T106" i="17" a="1"/>
  <c r="T106" i="17"/>
  <c r="T156" i="17" a="1"/>
  <c r="T156" i="17"/>
  <c r="T206" i="17" a="1"/>
  <c r="T206" i="17" s="1"/>
  <c r="T256" i="17" a="1"/>
  <c r="T256" i="17" s="1"/>
  <c r="T306" i="17" a="1"/>
  <c r="T306" i="17"/>
  <c r="T356" i="17" a="1"/>
  <c r="T356" i="17" s="1"/>
  <c r="T426" i="17" a="1"/>
  <c r="T426" i="17" s="1"/>
  <c r="T427" i="17" a="1"/>
  <c r="T427" i="17" s="1"/>
  <c r="T428" i="17" a="1"/>
  <c r="T428" i="17" s="1"/>
  <c r="T429" i="17" a="1"/>
  <c r="T429" i="17" s="1"/>
  <c r="T430" i="17" a="1"/>
  <c r="T430" i="17" s="1"/>
  <c r="T431" i="17" a="1"/>
  <c r="T431" i="17" s="1"/>
  <c r="T7" i="17" a="1"/>
  <c r="T7" i="17" s="1"/>
  <c r="T57" i="17" a="1"/>
  <c r="T57" i="17" s="1"/>
  <c r="T107" i="17" a="1"/>
  <c r="T107" i="17" s="1"/>
  <c r="T157" i="17" a="1"/>
  <c r="T157" i="17"/>
  <c r="T207" i="17" a="1"/>
  <c r="T207" i="17" s="1"/>
  <c r="T257" i="17" a="1"/>
  <c r="T257" i="17" s="1"/>
  <c r="T307" i="17" a="1"/>
  <c r="T307" i="17" s="1"/>
  <c r="T357" i="17" a="1"/>
  <c r="T357" i="17" s="1"/>
  <c r="T432" i="17" a="1"/>
  <c r="T432" i="17" s="1"/>
  <c r="T433" i="17" a="1"/>
  <c r="T433" i="17" s="1"/>
  <c r="T434" i="17" a="1"/>
  <c r="T434" i="17" s="1"/>
  <c r="T435" i="17" a="1"/>
  <c r="T435" i="17" s="1"/>
  <c r="T436" i="17" a="1"/>
  <c r="T436" i="17" s="1"/>
  <c r="T437" i="17" a="1"/>
  <c r="T437" i="17" s="1"/>
  <c r="T8" i="17" a="1"/>
  <c r="T8" i="17" s="1"/>
  <c r="T58" i="17" a="1"/>
  <c r="T58" i="17" s="1"/>
  <c r="T108" i="17" a="1"/>
  <c r="T108" i="17" s="1"/>
  <c r="T158" i="17" a="1"/>
  <c r="T158" i="17" s="1"/>
  <c r="T208" i="17" a="1"/>
  <c r="T208" i="17"/>
  <c r="T258" i="17" a="1"/>
  <c r="T258" i="17"/>
  <c r="T308" i="17" a="1"/>
  <c r="T308" i="17" s="1"/>
  <c r="T358" i="17" a="1"/>
  <c r="T358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 s="1"/>
  <c r="T9" i="17" a="1"/>
  <c r="T9" i="17" s="1"/>
  <c r="T59" i="17" a="1"/>
  <c r="T59" i="17" s="1"/>
  <c r="T109" i="17" a="1"/>
  <c r="T109" i="17" s="1"/>
  <c r="T159" i="17" a="1"/>
  <c r="T159" i="17" s="1"/>
  <c r="T209" i="17" a="1"/>
  <c r="T209" i="17" s="1"/>
  <c r="T259" i="17" a="1"/>
  <c r="T259" i="17" s="1"/>
  <c r="T309" i="17" a="1"/>
  <c r="T309" i="17" s="1"/>
  <c r="T359" i="17" a="1"/>
  <c r="T359" i="17" s="1"/>
  <c r="T444" i="17" a="1"/>
  <c r="T444" i="17" s="1"/>
  <c r="T445" i="17" a="1"/>
  <c r="T445" i="17" s="1"/>
  <c r="T446" i="17" a="1"/>
  <c r="T446" i="17" s="1"/>
  <c r="T447" i="17" a="1"/>
  <c r="T447" i="17"/>
  <c r="T448" i="17" a="1"/>
  <c r="T448" i="17"/>
  <c r="T449" i="17" a="1"/>
  <c r="T449" i="17" s="1"/>
  <c r="T10" i="17" a="1"/>
  <c r="T10" i="17" s="1"/>
  <c r="T60" i="17" a="1"/>
  <c r="T60" i="17" s="1"/>
  <c r="T110" i="17" a="1"/>
  <c r="T110" i="17" s="1"/>
  <c r="T160" i="17" a="1"/>
  <c r="T160" i="17" s="1"/>
  <c r="T210" i="17" a="1"/>
  <c r="T210" i="17" s="1"/>
  <c r="T260" i="17" a="1"/>
  <c r="T260" i="17" s="1"/>
  <c r="T310" i="17" a="1"/>
  <c r="T310" i="17" s="1"/>
  <c r="T360" i="17" a="1"/>
  <c r="T360" i="17" s="1"/>
  <c r="T450" i="17" a="1"/>
  <c r="T450" i="17" s="1"/>
  <c r="T451" i="17" a="1"/>
  <c r="T451" i="17" s="1"/>
  <c r="T452" i="17" a="1"/>
  <c r="T452" i="17" s="1"/>
  <c r="T453" i="17" a="1"/>
  <c r="T453" i="17" s="1"/>
  <c r="T454" i="17" a="1"/>
  <c r="T454" i="17" s="1"/>
  <c r="T455" i="17" a="1"/>
  <c r="T455" i="17" s="1"/>
  <c r="T11" i="17" a="1"/>
  <c r="T11" i="17"/>
  <c r="T61" i="17" a="1"/>
  <c r="T61" i="17" s="1"/>
  <c r="T111" i="17" a="1"/>
  <c r="T111" i="17" s="1"/>
  <c r="T161" i="17" a="1"/>
  <c r="T161" i="17" s="1"/>
  <c r="T211" i="17" a="1"/>
  <c r="T211" i="17" s="1"/>
  <c r="T261" i="17" a="1"/>
  <c r="T261" i="17" s="1"/>
  <c r="T311" i="17" a="1"/>
  <c r="T311" i="17" s="1"/>
  <c r="T361" i="17" a="1"/>
  <c r="T361" i="17" s="1"/>
  <c r="T456" i="17" a="1"/>
  <c r="T456" i="17" s="1"/>
  <c r="T457" i="17" a="1"/>
  <c r="T457" i="17" s="1"/>
  <c r="T458" i="17" a="1"/>
  <c r="T458" i="17" s="1"/>
  <c r="T459" i="17" a="1"/>
  <c r="T459" i="17"/>
  <c r="T460" i="17" a="1"/>
  <c r="T460" i="17" s="1"/>
  <c r="T461" i="17" a="1"/>
  <c r="T461" i="17" s="1"/>
  <c r="T12" i="17" a="1"/>
  <c r="T12" i="17" s="1"/>
  <c r="T62" i="17" a="1"/>
  <c r="T62" i="17" s="1"/>
  <c r="T112" i="17" a="1"/>
  <c r="T112" i="17" s="1"/>
  <c r="T162" i="17" a="1"/>
  <c r="T162" i="17" s="1"/>
  <c r="T212" i="17" a="1"/>
  <c r="T212" i="17" s="1"/>
  <c r="T262" i="17" a="1"/>
  <c r="T262" i="17" s="1"/>
  <c r="T312" i="17" a="1"/>
  <c r="T312" i="17" s="1"/>
  <c r="T362" i="17" a="1"/>
  <c r="T362" i="17" s="1"/>
  <c r="T462" i="17" a="1"/>
  <c r="T462" i="17" s="1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13" i="17" a="1"/>
  <c r="T13" i="17"/>
  <c r="T63" i="17" a="1"/>
  <c r="T63" i="17" s="1"/>
  <c r="T113" i="17" a="1"/>
  <c r="T113" i="17" s="1"/>
  <c r="T163" i="17" a="1"/>
  <c r="T163" i="17" s="1"/>
  <c r="T213" i="17" a="1"/>
  <c r="T213" i="17" s="1"/>
  <c r="T263" i="17" a="1"/>
  <c r="T263" i="17" s="1"/>
  <c r="T313" i="17" a="1"/>
  <c r="T313" i="17" s="1"/>
  <c r="T363" i="17" a="1"/>
  <c r="T363" i="17" s="1"/>
  <c r="T468" i="17" a="1"/>
  <c r="T468" i="17" s="1"/>
  <c r="T469" i="17" a="1"/>
  <c r="T469" i="17" s="1"/>
  <c r="T470" i="17" a="1"/>
  <c r="T470" i="17" s="1"/>
  <c r="T471" i="17" a="1"/>
  <c r="T471" i="17" s="1"/>
  <c r="T472" i="17" a="1"/>
  <c r="T472" i="17"/>
  <c r="T473" i="17" a="1"/>
  <c r="T473" i="17" s="1"/>
  <c r="T14" i="17" a="1"/>
  <c r="T14" i="17" s="1"/>
  <c r="T64" i="17" a="1"/>
  <c r="T64" i="17" s="1"/>
  <c r="T114" i="17" a="1"/>
  <c r="T114" i="17" s="1"/>
  <c r="T164" i="17" a="1"/>
  <c r="T164" i="17" s="1"/>
  <c r="T214" i="17" a="1"/>
  <c r="T214" i="17" s="1"/>
  <c r="T264" i="17" a="1"/>
  <c r="T264" i="17" s="1"/>
  <c r="T314" i="17" a="1"/>
  <c r="T314" i="17" s="1"/>
  <c r="T364" i="17" a="1"/>
  <c r="T364" i="17" s="1"/>
  <c r="T474" i="17" a="1"/>
  <c r="T474" i="17" s="1"/>
  <c r="T475" i="17" a="1"/>
  <c r="T475" i="17" s="1"/>
  <c r="T476" i="17" a="1"/>
  <c r="T476" i="17"/>
  <c r="T477" i="17" a="1"/>
  <c r="T477" i="17" s="1"/>
  <c r="T478" i="17" a="1"/>
  <c r="T478" i="17" s="1"/>
  <c r="T479" i="17" a="1"/>
  <c r="T479" i="17" s="1"/>
  <c r="T15" i="17" a="1"/>
  <c r="T15" i="17" s="1"/>
  <c r="T65" i="17" a="1"/>
  <c r="T65" i="17" s="1"/>
  <c r="T115" i="17" a="1"/>
  <c r="T115" i="17" s="1"/>
  <c r="T165" i="17" a="1"/>
  <c r="T165" i="17" s="1"/>
  <c r="T215" i="17" a="1"/>
  <c r="T215" i="17" s="1"/>
  <c r="T265" i="17" a="1"/>
  <c r="T265" i="17" s="1"/>
  <c r="T315" i="17" a="1"/>
  <c r="T315" i="17" s="1"/>
  <c r="T365" i="17" a="1"/>
  <c r="T365" i="17" s="1"/>
  <c r="T480" i="17" a="1"/>
  <c r="T480" i="17" s="1"/>
  <c r="T481" i="17" a="1"/>
  <c r="T481" i="17" s="1"/>
  <c r="T482" i="17" a="1"/>
  <c r="T482" i="17" s="1"/>
  <c r="T483" i="17" a="1"/>
  <c r="T483" i="17" s="1"/>
  <c r="T484" i="17" a="1"/>
  <c r="T484" i="17"/>
  <c r="T485" i="17" a="1"/>
  <c r="T485" i="17" s="1"/>
  <c r="T16" i="17" a="1"/>
  <c r="T16" i="17" s="1"/>
  <c r="T66" i="17" a="1"/>
  <c r="T66" i="17" s="1"/>
  <c r="T116" i="17" a="1"/>
  <c r="T116" i="17" s="1"/>
  <c r="T166" i="17" a="1"/>
  <c r="T166" i="17" s="1"/>
  <c r="T216" i="17" a="1"/>
  <c r="T216" i="17" s="1"/>
  <c r="T266" i="17" a="1"/>
  <c r="T266" i="17" s="1"/>
  <c r="T316" i="17" a="1"/>
  <c r="T316" i="17" s="1"/>
  <c r="T366" i="17" a="1"/>
  <c r="T366" i="17"/>
  <c r="T486" i="17" a="1"/>
  <c r="T486" i="17" s="1"/>
  <c r="T487" i="17" a="1"/>
  <c r="T487" i="17" s="1"/>
  <c r="T488" i="17" a="1"/>
  <c r="T488" i="17"/>
  <c r="T489" i="17" a="1"/>
  <c r="T489" i="17"/>
  <c r="T490" i="17" a="1"/>
  <c r="T490" i="17" s="1"/>
  <c r="T491" i="17" a="1"/>
  <c r="T491" i="17" s="1"/>
  <c r="T17" i="17" a="1"/>
  <c r="T17" i="17" s="1"/>
  <c r="T67" i="17" a="1"/>
  <c r="T67" i="17" s="1"/>
  <c r="T117" i="17" a="1"/>
  <c r="T117" i="17" s="1"/>
  <c r="T167" i="17" a="1"/>
  <c r="T167" i="17" s="1"/>
  <c r="T217" i="17" a="1"/>
  <c r="T217" i="17" s="1"/>
  <c r="T267" i="17" a="1"/>
  <c r="T267" i="17" s="1"/>
  <c r="T317" i="17" a="1"/>
  <c r="T317" i="17"/>
  <c r="T367" i="17" a="1"/>
  <c r="T367" i="17"/>
  <c r="T492" i="17" a="1"/>
  <c r="T492" i="17" s="1"/>
  <c r="T493" i="17" a="1"/>
  <c r="T493" i="17" s="1"/>
  <c r="T494" i="17" a="1"/>
  <c r="T494" i="17" s="1"/>
  <c r="T495" i="17" a="1"/>
  <c r="T495" i="17" s="1"/>
  <c r="T496" i="17" a="1"/>
  <c r="T496" i="17" s="1"/>
  <c r="T497" i="17" a="1"/>
  <c r="T497" i="17"/>
  <c r="T18" i="17" a="1"/>
  <c r="T18" i="17"/>
  <c r="T68" i="17" a="1"/>
  <c r="T68" i="17" s="1"/>
  <c r="T118" i="17" a="1"/>
  <c r="T118" i="17" s="1"/>
  <c r="T168" i="17" a="1"/>
  <c r="T168" i="17" s="1"/>
  <c r="T218" i="17" a="1"/>
  <c r="T218" i="17" s="1"/>
  <c r="T268" i="17" a="1"/>
  <c r="T268" i="17" s="1"/>
  <c r="T318" i="17" a="1"/>
  <c r="T318" i="17" s="1"/>
  <c r="T368" i="17" a="1"/>
  <c r="T368" i="17" s="1"/>
  <c r="T498" i="17" a="1"/>
  <c r="T498" i="17" s="1"/>
  <c r="T499" i="17" a="1"/>
  <c r="T499" i="17" s="1"/>
  <c r="T500" i="17" a="1"/>
  <c r="T500" i="17" s="1"/>
  <c r="T501" i="17" a="1"/>
  <c r="T501" i="17"/>
  <c r="T502" i="17" a="1"/>
  <c r="T502" i="17" s="1"/>
  <c r="T503" i="17" a="1"/>
  <c r="T503" i="17" s="1"/>
  <c r="T19" i="17" a="1"/>
  <c r="T19" i="17" s="1"/>
  <c r="T69" i="17" a="1"/>
  <c r="T69" i="17" s="1"/>
  <c r="T119" i="17" a="1"/>
  <c r="T119" i="17" s="1"/>
  <c r="T169" i="17" a="1"/>
  <c r="T169" i="17" s="1"/>
  <c r="T219" i="17" a="1"/>
  <c r="T219" i="17" s="1"/>
  <c r="T269" i="17" a="1"/>
  <c r="T269" i="17" s="1"/>
  <c r="T319" i="17" a="1"/>
  <c r="T319" i="17" s="1"/>
  <c r="T369" i="17" a="1"/>
  <c r="T369" i="17" s="1"/>
  <c r="T504" i="17" a="1"/>
  <c r="T504" i="17" s="1"/>
  <c r="T505" i="17" a="1"/>
  <c r="T505" i="17" s="1"/>
  <c r="T506" i="17" a="1"/>
  <c r="T506" i="17" s="1"/>
  <c r="T507" i="17" a="1"/>
  <c r="T507" i="17" s="1"/>
  <c r="T508" i="17" a="1"/>
  <c r="T508" i="17" s="1"/>
  <c r="T509" i="17" a="1"/>
  <c r="T509" i="17" s="1"/>
  <c r="T20" i="17" a="1"/>
  <c r="T20" i="17" s="1"/>
  <c r="T70" i="17" a="1"/>
  <c r="T70" i="17" s="1"/>
  <c r="T120" i="17" a="1"/>
  <c r="T120" i="17" s="1"/>
  <c r="T170" i="17" a="1"/>
  <c r="T170" i="17" s="1"/>
  <c r="T220" i="17" a="1"/>
  <c r="T220" i="17" s="1"/>
  <c r="T270" i="17" a="1"/>
  <c r="T270" i="17"/>
  <c r="T320" i="17" a="1"/>
  <c r="T320" i="17" s="1"/>
  <c r="T370" i="17" a="1"/>
  <c r="T370" i="17" s="1"/>
  <c r="T510" i="17" a="1"/>
  <c r="T510" i="17" s="1"/>
  <c r="T511" i="17" a="1"/>
  <c r="T511" i="17"/>
  <c r="T512" i="17" a="1"/>
  <c r="T512" i="17" s="1"/>
  <c r="T513" i="17" a="1"/>
  <c r="T513" i="17" s="1"/>
  <c r="T514" i="17" a="1"/>
  <c r="T514" i="17" s="1"/>
  <c r="T515" i="17" a="1"/>
  <c r="T515" i="17"/>
  <c r="T21" i="17" a="1"/>
  <c r="T21" i="17" s="1"/>
  <c r="T71" i="17" a="1"/>
  <c r="T71" i="17" s="1"/>
  <c r="T121" i="17" a="1"/>
  <c r="T121" i="17" s="1"/>
  <c r="T171" i="17" a="1"/>
  <c r="T171" i="17" s="1"/>
  <c r="T221" i="17" a="1"/>
  <c r="T221" i="17" s="1"/>
  <c r="T271" i="17" a="1"/>
  <c r="T271" i="17" s="1"/>
  <c r="T321" i="17" a="1"/>
  <c r="T321" i="17" s="1"/>
  <c r="T371" i="17" a="1"/>
  <c r="T371" i="17" s="1"/>
  <c r="T516" i="17" a="1"/>
  <c r="T516" i="17"/>
  <c r="T517" i="17" a="1"/>
  <c r="T517" i="17" s="1"/>
  <c r="T518" i="17" a="1"/>
  <c r="T518" i="17" s="1"/>
  <c r="T519" i="17" a="1"/>
  <c r="T519" i="17" s="1"/>
  <c r="T520" i="17" a="1"/>
  <c r="T520" i="17" s="1"/>
  <c r="T521" i="17" a="1"/>
  <c r="T521" i="17" s="1"/>
  <c r="T22" i="17" a="1"/>
  <c r="T22" i="17"/>
  <c r="T72" i="17" a="1"/>
  <c r="T72" i="17" s="1"/>
  <c r="T122" i="17" a="1"/>
  <c r="T122" i="17" s="1"/>
  <c r="T172" i="17" a="1"/>
  <c r="T172" i="17" s="1"/>
  <c r="T222" i="17" a="1"/>
  <c r="T222" i="17" s="1"/>
  <c r="T272" i="17" a="1"/>
  <c r="T272" i="17" s="1"/>
  <c r="T322" i="17" a="1"/>
  <c r="T322" i="17" s="1"/>
  <c r="T372" i="17" a="1"/>
  <c r="T372" i="17" s="1"/>
  <c r="T522" i="17" a="1"/>
  <c r="T522" i="17" s="1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23" i="17" a="1"/>
  <c r="T23" i="17" s="1"/>
  <c r="T73" i="17" a="1"/>
  <c r="T73" i="17"/>
  <c r="T123" i="17" a="1"/>
  <c r="T123" i="17" s="1"/>
  <c r="T173" i="17" a="1"/>
  <c r="T173" i="17" s="1"/>
  <c r="T223" i="17" a="1"/>
  <c r="T223" i="17" s="1"/>
  <c r="T273" i="17" a="1"/>
  <c r="T273" i="17" s="1"/>
  <c r="T323" i="17" a="1"/>
  <c r="T323" i="17" s="1"/>
  <c r="T373" i="17" a="1"/>
  <c r="T373" i="17" s="1"/>
  <c r="T528" i="17" a="1"/>
  <c r="T528" i="17" s="1"/>
  <c r="T529" i="17" a="1"/>
  <c r="T529" i="17" s="1"/>
  <c r="T530" i="17" a="1"/>
  <c r="T530" i="17" s="1"/>
  <c r="T531" i="17" a="1"/>
  <c r="T531" i="17"/>
  <c r="T532" i="17" a="1"/>
  <c r="T532" i="17"/>
  <c r="T533" i="17" a="1"/>
  <c r="T533" i="17" s="1"/>
  <c r="T24" i="17" a="1"/>
  <c r="T24" i="17" s="1"/>
  <c r="T74" i="17" a="1"/>
  <c r="T74" i="17" s="1"/>
  <c r="T124" i="17" a="1"/>
  <c r="T124" i="17" s="1"/>
  <c r="T174" i="17" a="1"/>
  <c r="T174" i="17" s="1"/>
  <c r="T224" i="17" a="1"/>
  <c r="T224" i="17" s="1"/>
  <c r="T274" i="17" a="1"/>
  <c r="T274" i="17" s="1"/>
  <c r="T324" i="17" a="1"/>
  <c r="T324" i="17" s="1"/>
  <c r="T374" i="17" a="1"/>
  <c r="T374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25" i="17" a="1"/>
  <c r="T25" i="17" s="1"/>
  <c r="T75" i="17" a="1"/>
  <c r="T75" i="17" s="1"/>
  <c r="T125" i="17" a="1"/>
  <c r="T125" i="17" s="1"/>
  <c r="T175" i="17" a="1"/>
  <c r="T175" i="17" s="1"/>
  <c r="T225" i="17" a="1"/>
  <c r="T225" i="17" s="1"/>
  <c r="T275" i="17" a="1"/>
  <c r="T275" i="17" s="1"/>
  <c r="T325" i="17" a="1"/>
  <c r="T325" i="17" s="1"/>
  <c r="T375" i="17" a="1"/>
  <c r="T375" i="17" s="1"/>
  <c r="T540" i="17" a="1"/>
  <c r="T540" i="17" s="1"/>
  <c r="T541" i="17" a="1"/>
  <c r="T541" i="17" s="1"/>
  <c r="T542" i="17" a="1"/>
  <c r="T542" i="17" s="1"/>
  <c r="T543" i="17" a="1"/>
  <c r="T543" i="17" s="1"/>
  <c r="T544" i="17" a="1"/>
  <c r="T544" i="17" s="1"/>
  <c r="T545" i="17" a="1"/>
  <c r="T545" i="17" s="1"/>
  <c r="T26" i="17" a="1"/>
  <c r="T26" i="17" s="1"/>
  <c r="T76" i="17" a="1"/>
  <c r="T76" i="17" s="1"/>
  <c r="T126" i="17" a="1"/>
  <c r="T126" i="17" s="1"/>
  <c r="T176" i="17" a="1"/>
  <c r="T176" i="17" s="1"/>
  <c r="T226" i="17" a="1"/>
  <c r="T226" i="17" s="1"/>
  <c r="T276" i="17" a="1"/>
  <c r="T276" i="17" s="1"/>
  <c r="T326" i="17" a="1"/>
  <c r="T326" i="17" s="1"/>
  <c r="T376" i="17" a="1"/>
  <c r="T376" i="17" s="1"/>
  <c r="T546" i="17" a="1"/>
  <c r="T546" i="17" s="1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/>
  <c r="T27" i="17" a="1"/>
  <c r="T27" i="17" s="1"/>
  <c r="T77" i="17" a="1"/>
  <c r="T77" i="17" s="1"/>
  <c r="T127" i="17" a="1"/>
  <c r="T127" i="17" s="1"/>
  <c r="T177" i="17" a="1"/>
  <c r="T177" i="17" s="1"/>
  <c r="T227" i="17" a="1"/>
  <c r="T227" i="17" s="1"/>
  <c r="T277" i="17" a="1"/>
  <c r="T277" i="17" s="1"/>
  <c r="T327" i="17" a="1"/>
  <c r="T327" i="17" s="1"/>
  <c r="T377" i="17" a="1"/>
  <c r="T377" i="17" s="1"/>
  <c r="T552" i="17" a="1"/>
  <c r="T552" i="17" s="1"/>
  <c r="T553" i="17" a="1"/>
  <c r="T553" i="17" s="1"/>
  <c r="T554" i="17" a="1"/>
  <c r="T554" i="17" s="1"/>
  <c r="T555" i="17" a="1"/>
  <c r="T555" i="17" s="1"/>
  <c r="T556" i="17" a="1"/>
  <c r="T556" i="17" s="1"/>
  <c r="T557" i="17" a="1"/>
  <c r="T557" i="17" s="1"/>
  <c r="T28" i="17" a="1"/>
  <c r="T28" i="17" s="1"/>
  <c r="T78" i="17" a="1"/>
  <c r="T78" i="17" s="1"/>
  <c r="T128" i="17" a="1"/>
  <c r="T128" i="17" s="1"/>
  <c r="T178" i="17" a="1"/>
  <c r="T178" i="17" s="1"/>
  <c r="T228" i="17" a="1"/>
  <c r="T228" i="17" s="1"/>
  <c r="T278" i="17" a="1"/>
  <c r="T278" i="17" s="1"/>
  <c r="T328" i="17" a="1"/>
  <c r="T328" i="17" s="1"/>
  <c r="T378" i="17" a="1"/>
  <c r="T378" i="17" s="1"/>
  <c r="T558" i="17" a="1"/>
  <c r="T558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29" i="17" a="1"/>
  <c r="T29" i="17" s="1"/>
  <c r="T79" i="17" a="1"/>
  <c r="T79" i="17" s="1"/>
  <c r="T129" i="17" a="1"/>
  <c r="T129" i="17" s="1"/>
  <c r="T179" i="17" a="1"/>
  <c r="T179" i="17" s="1"/>
  <c r="T229" i="17" a="1"/>
  <c r="T229" i="17" s="1"/>
  <c r="T279" i="17" a="1"/>
  <c r="T279" i="17" s="1"/>
  <c r="T329" i="17" a="1"/>
  <c r="T329" i="17" s="1"/>
  <c r="T379" i="17" a="1"/>
  <c r="T379" i="17" s="1"/>
  <c r="T564" i="17" a="1"/>
  <c r="T564" i="17"/>
  <c r="T565" i="17" a="1"/>
  <c r="T565" i="17" s="1"/>
  <c r="T566" i="17" a="1"/>
  <c r="T566" i="17" s="1"/>
  <c r="T567" i="17" a="1"/>
  <c r="T567" i="17" s="1"/>
  <c r="T568" i="17" a="1"/>
  <c r="T568" i="17" s="1"/>
  <c r="T569" i="17" a="1"/>
  <c r="T569" i="17" s="1"/>
  <c r="T30" i="17" a="1"/>
  <c r="T30" i="17" s="1"/>
  <c r="T80" i="17" a="1"/>
  <c r="T80" i="17" s="1"/>
  <c r="T130" i="17" a="1"/>
  <c r="T130" i="17" s="1"/>
  <c r="T180" i="17" a="1"/>
  <c r="T180" i="17" s="1"/>
  <c r="T230" i="17" a="1"/>
  <c r="T230" i="17" s="1"/>
  <c r="T280" i="17" a="1"/>
  <c r="T280" i="17" s="1"/>
  <c r="T330" i="17" a="1"/>
  <c r="T330" i="17" s="1"/>
  <c r="T380" i="17" a="1"/>
  <c r="T380" i="17" s="1"/>
  <c r="T570" i="17" a="1"/>
  <c r="T570" i="17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31" i="17" a="1"/>
  <c r="T31" i="17" s="1"/>
  <c r="T81" i="17" a="1"/>
  <c r="T81" i="17" s="1"/>
  <c r="T131" i="17" a="1"/>
  <c r="T131" i="17" s="1"/>
  <c r="T181" i="17" a="1"/>
  <c r="T181" i="17" s="1"/>
  <c r="T231" i="17" a="1"/>
  <c r="T231" i="17" s="1"/>
  <c r="T281" i="17" a="1"/>
  <c r="T281" i="17" s="1"/>
  <c r="T331" i="17" a="1"/>
  <c r="T331" i="17" s="1"/>
  <c r="T381" i="17" a="1"/>
  <c r="T381" i="17" s="1"/>
  <c r="T576" i="17" a="1"/>
  <c r="T576" i="17" s="1"/>
  <c r="T577" i="17" a="1"/>
  <c r="T577" i="17" s="1"/>
  <c r="T578" i="17" a="1"/>
  <c r="T578" i="17"/>
  <c r="T579" i="17" a="1"/>
  <c r="T579" i="17" s="1"/>
  <c r="T580" i="17" a="1"/>
  <c r="T580" i="17" s="1"/>
  <c r="T581" i="17" a="1"/>
  <c r="T581" i="17" s="1"/>
  <c r="T32" i="17" a="1"/>
  <c r="T32" i="17" s="1"/>
  <c r="T82" i="17" a="1"/>
  <c r="T82" i="17"/>
  <c r="T132" i="17" a="1"/>
  <c r="T132" i="17"/>
  <c r="T182" i="17" a="1"/>
  <c r="T182" i="17" s="1"/>
  <c r="T232" i="17" a="1"/>
  <c r="T232" i="17" s="1"/>
  <c r="T282" i="17" a="1"/>
  <c r="T282" i="17" s="1"/>
  <c r="T332" i="17" a="1"/>
  <c r="T332" i="17" s="1"/>
  <c r="T382" i="17" a="1"/>
  <c r="T382" i="17" s="1"/>
  <c r="T582" i="17" a="1"/>
  <c r="T582" i="17" s="1"/>
  <c r="T583" i="17" a="1"/>
  <c r="T583" i="17" s="1"/>
  <c r="T584" i="17" a="1"/>
  <c r="T584" i="17" s="1"/>
  <c r="T585" i="17" a="1"/>
  <c r="T585" i="17" s="1"/>
  <c r="T586" i="17" a="1"/>
  <c r="T586" i="17" s="1"/>
  <c r="T587" i="17" a="1"/>
  <c r="T587" i="17" s="1"/>
  <c r="T33" i="17" a="1"/>
  <c r="T33" i="17" s="1"/>
  <c r="T83" i="17" a="1"/>
  <c r="T83" i="17" s="1"/>
  <c r="T133" i="17" a="1"/>
  <c r="T133" i="17" s="1"/>
  <c r="T183" i="17" a="1"/>
  <c r="T183" i="17" s="1"/>
  <c r="T233" i="17" a="1"/>
  <c r="T233" i="17"/>
  <c r="T283" i="17" a="1"/>
  <c r="T283" i="17" s="1"/>
  <c r="T333" i="17" a="1"/>
  <c r="T333" i="17" s="1"/>
  <c r="T383" i="17" a="1"/>
  <c r="T383" i="17" s="1"/>
  <c r="T588" i="17" a="1"/>
  <c r="T588" i="17" s="1"/>
  <c r="T589" i="17" a="1"/>
  <c r="T589" i="17" s="1"/>
  <c r="T590" i="17" a="1"/>
  <c r="T590" i="17" s="1"/>
  <c r="T591" i="17" a="1"/>
  <c r="T591" i="17"/>
  <c r="T592" i="17" a="1"/>
  <c r="T592" i="17"/>
  <c r="T593" i="17" a="1"/>
  <c r="T593" i="17" s="1"/>
  <c r="T34" i="17" a="1"/>
  <c r="T34" i="17" s="1"/>
  <c r="T84" i="17" a="1"/>
  <c r="T84" i="17" s="1"/>
  <c r="T134" i="17" a="1"/>
  <c r="T134" i="17" s="1"/>
  <c r="T184" i="17" a="1"/>
  <c r="T184" i="17" s="1"/>
  <c r="T234" i="17" a="1"/>
  <c r="T234" i="17" s="1"/>
  <c r="T284" i="17" a="1"/>
  <c r="T284" i="17" s="1"/>
  <c r="T334" i="17" a="1"/>
  <c r="T334" i="17" s="1"/>
  <c r="T384" i="17" a="1"/>
  <c r="T384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35" i="17" a="1"/>
  <c r="T35" i="17"/>
  <c r="T85" i="17" a="1"/>
  <c r="T85" i="17"/>
  <c r="T135" i="17" a="1"/>
  <c r="T135" i="17" s="1"/>
  <c r="T185" i="17" a="1"/>
  <c r="T185" i="17" s="1"/>
  <c r="T235" i="17" a="1"/>
  <c r="T235" i="17" s="1"/>
  <c r="T285" i="17" a="1"/>
  <c r="T285" i="17" s="1"/>
  <c r="T335" i="17" a="1"/>
  <c r="T335" i="17" s="1"/>
  <c r="T385" i="17" a="1"/>
  <c r="T385" i="17" s="1"/>
  <c r="T600" i="17" a="1"/>
  <c r="T600" i="17" s="1"/>
  <c r="T601" i="17" a="1"/>
  <c r="T601" i="17" s="1"/>
  <c r="T602" i="17" a="1"/>
  <c r="T602" i="17"/>
  <c r="T603" i="17" a="1"/>
  <c r="T603" i="17"/>
  <c r="T604" i="17" a="1"/>
  <c r="T604" i="17" s="1"/>
  <c r="T605" i="17" a="1"/>
  <c r="T605" i="17" s="1"/>
  <c r="T36" i="17" a="1"/>
  <c r="T36" i="17" s="1"/>
  <c r="T86" i="17" a="1"/>
  <c r="T86" i="17" s="1"/>
  <c r="T136" i="17" a="1"/>
  <c r="T136" i="17" s="1"/>
  <c r="T186" i="17" a="1"/>
  <c r="T186" i="17" s="1"/>
  <c r="T236" i="17" a="1"/>
  <c r="T236" i="17"/>
  <c r="T286" i="17" a="1"/>
  <c r="T286" i="17" s="1"/>
  <c r="T336" i="17" a="1"/>
  <c r="T336" i="17" s="1"/>
  <c r="T386" i="17" a="1"/>
  <c r="T386" i="17" s="1"/>
  <c r="T606" i="17" a="1"/>
  <c r="T606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37" i="17" a="1"/>
  <c r="T37" i="17" s="1"/>
  <c r="T87" i="17" a="1"/>
  <c r="T87" i="17" s="1"/>
  <c r="T137" i="17" a="1"/>
  <c r="T137" i="17" s="1"/>
  <c r="T187" i="17" a="1"/>
  <c r="T187" i="17" s="1"/>
  <c r="T237" i="17" a="1"/>
  <c r="T237" i="17" s="1"/>
  <c r="T287" i="17" a="1"/>
  <c r="T287" i="17" s="1"/>
  <c r="T337" i="17" a="1"/>
  <c r="T337" i="17" s="1"/>
  <c r="T387" i="17" a="1"/>
  <c r="T387" i="17"/>
  <c r="T612" i="17" a="1"/>
  <c r="T612" i="17" s="1"/>
  <c r="T613" i="17" a="1"/>
  <c r="T613" i="17" s="1"/>
  <c r="T614" i="17" a="1"/>
  <c r="T614" i="17" s="1"/>
  <c r="T615" i="17" a="1"/>
  <c r="T615" i="17" s="1"/>
  <c r="T616" i="17" a="1"/>
  <c r="T616" i="17" s="1"/>
  <c r="T617" i="17" a="1"/>
  <c r="T617" i="17" s="1"/>
  <c r="T38" i="17" a="1"/>
  <c r="T38" i="17" s="1"/>
  <c r="T88" i="17" a="1"/>
  <c r="T88" i="17" s="1"/>
  <c r="T138" i="17" a="1"/>
  <c r="T138" i="17"/>
  <c r="T188" i="17" a="1"/>
  <c r="T188" i="17" s="1"/>
  <c r="T238" i="17" a="1"/>
  <c r="T238" i="17" s="1"/>
  <c r="T288" i="17" a="1"/>
  <c r="T288" i="17" s="1"/>
  <c r="T338" i="17" a="1"/>
  <c r="T338" i="17" s="1"/>
  <c r="T388" i="17" a="1"/>
  <c r="T388" i="17" s="1"/>
  <c r="T618" i="17" a="1"/>
  <c r="T618" i="17" s="1"/>
  <c r="T619" i="17" a="1"/>
  <c r="T619" i="17" s="1"/>
  <c r="T620" i="17" a="1"/>
  <c r="T620" i="17" s="1"/>
  <c r="T621" i="17" a="1"/>
  <c r="T621" i="17" s="1"/>
  <c r="T622" i="17" a="1"/>
  <c r="T622" i="17" s="1"/>
  <c r="T623" i="17" a="1"/>
  <c r="T623" i="17" s="1"/>
  <c r="T39" i="17" a="1"/>
  <c r="T39" i="17" s="1"/>
  <c r="T89" i="17" a="1"/>
  <c r="T89" i="17" s="1"/>
  <c r="T139" i="17" a="1"/>
  <c r="T139" i="17" s="1"/>
  <c r="T189" i="17" a="1"/>
  <c r="T189" i="17" s="1"/>
  <c r="T239" i="17" a="1"/>
  <c r="T239" i="17" s="1"/>
  <c r="T289" i="17" a="1"/>
  <c r="T289" i="17" s="1"/>
  <c r="T339" i="17" a="1"/>
  <c r="T339" i="17" s="1"/>
  <c r="T389" i="17" a="1"/>
  <c r="T389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 s="1"/>
  <c r="T40" i="17" a="1"/>
  <c r="T40" i="17" s="1"/>
  <c r="T90" i="17" a="1"/>
  <c r="T90" i="17" s="1"/>
  <c r="T140" i="17" a="1"/>
  <c r="T140" i="17" s="1"/>
  <c r="T190" i="17" a="1"/>
  <c r="T190" i="17" s="1"/>
  <c r="T240" i="17" a="1"/>
  <c r="T240" i="17" s="1"/>
  <c r="T290" i="17" a="1"/>
  <c r="T290" i="17" s="1"/>
  <c r="T340" i="17" a="1"/>
  <c r="T340" i="17" s="1"/>
  <c r="T390" i="17" a="1"/>
  <c r="T390" i="17" s="1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41" i="17" a="1"/>
  <c r="T41" i="17" s="1"/>
  <c r="T91" i="17" a="1"/>
  <c r="T91" i="17" s="1"/>
  <c r="T141" i="17" a="1"/>
  <c r="T141" i="17" s="1"/>
  <c r="T191" i="17" a="1"/>
  <c r="T191" i="17" s="1"/>
  <c r="T241" i="17" a="1"/>
  <c r="T241" i="17" s="1"/>
  <c r="T291" i="17" a="1"/>
  <c r="T291" i="17" s="1"/>
  <c r="T341" i="17" a="1"/>
  <c r="T341" i="17" s="1"/>
  <c r="T391" i="17" a="1"/>
  <c r="T391" i="17" s="1"/>
  <c r="T636" i="17" a="1"/>
  <c r="T636" i="17" s="1"/>
  <c r="T637" i="17" a="1"/>
  <c r="T637" i="17" s="1"/>
  <c r="T638" i="17" a="1"/>
  <c r="T638" i="17" s="1"/>
  <c r="T639" i="17" a="1"/>
  <c r="T639" i="17" s="1"/>
  <c r="T640" i="17" a="1"/>
  <c r="T640" i="17" s="1"/>
  <c r="T641" i="17" a="1"/>
  <c r="T641" i="17" s="1"/>
  <c r="T42" i="17" a="1"/>
  <c r="T42" i="17" s="1"/>
  <c r="T92" i="17" a="1"/>
  <c r="T92" i="17" s="1"/>
  <c r="T142" i="17" a="1"/>
  <c r="T142" i="17" s="1"/>
  <c r="T192" i="17" a="1"/>
  <c r="T192" i="17" s="1"/>
  <c r="T242" i="17" a="1"/>
  <c r="T242" i="17" s="1"/>
  <c r="T292" i="17" a="1"/>
  <c r="T292" i="17" s="1"/>
  <c r="T342" i="17" a="1"/>
  <c r="T342" i="17" s="1"/>
  <c r="T392" i="17" a="1"/>
  <c r="T392" i="17" s="1"/>
  <c r="T642" i="17" a="1"/>
  <c r="T642" i="17" s="1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/>
  <c r="T43" i="17" a="1"/>
  <c r="T43" i="17"/>
  <c r="T93" i="17" a="1"/>
  <c r="T93" i="17" s="1"/>
  <c r="T143" i="17" a="1"/>
  <c r="T143" i="17" s="1"/>
  <c r="T193" i="17" a="1"/>
  <c r="T193" i="17" s="1"/>
  <c r="T243" i="17" a="1"/>
  <c r="T243" i="17" s="1"/>
  <c r="T293" i="17" a="1"/>
  <c r="T293" i="17" s="1"/>
  <c r="T343" i="17" a="1"/>
  <c r="T343" i="17" s="1"/>
  <c r="T393" i="17" a="1"/>
  <c r="T393" i="17" s="1"/>
  <c r="T648" i="17" a="1"/>
  <c r="T648" i="17" s="1"/>
  <c r="T649" i="17" a="1"/>
  <c r="T649" i="17" s="1"/>
  <c r="T650" i="17" a="1"/>
  <c r="T650" i="17" s="1"/>
  <c r="T651" i="17" a="1"/>
  <c r="T651" i="17" s="1"/>
  <c r="T652" i="17" a="1"/>
  <c r="T652" i="17" s="1"/>
  <c r="T653" i="17" a="1"/>
  <c r="T653" i="17" s="1"/>
  <c r="T44" i="17" a="1"/>
  <c r="T44" i="17" s="1"/>
  <c r="T94" i="17" a="1"/>
  <c r="T94" i="17" s="1"/>
  <c r="T144" i="17" a="1"/>
  <c r="T144" i="17" s="1"/>
  <c r="T194" i="17" a="1"/>
  <c r="T194" i="17" s="1"/>
  <c r="T244" i="17" a="1"/>
  <c r="T244" i="17" s="1"/>
  <c r="T294" i="17" a="1"/>
  <c r="T294" i="17" s="1"/>
  <c r="T344" i="17" a="1"/>
  <c r="T344" i="17" s="1"/>
  <c r="T394" i="17" a="1"/>
  <c r="T394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 s="1"/>
  <c r="T659" i="17" a="1"/>
  <c r="T659" i="17" s="1"/>
  <c r="T45" i="17" a="1"/>
  <c r="T45" i="17" s="1"/>
  <c r="T95" i="17" a="1"/>
  <c r="T95" i="17" s="1"/>
  <c r="T145" i="17" a="1"/>
  <c r="T145" i="17" s="1"/>
  <c r="T195" i="17" a="1"/>
  <c r="T195" i="17" s="1"/>
  <c r="T245" i="17" a="1"/>
  <c r="T245" i="17" s="1"/>
  <c r="T295" i="17" a="1"/>
  <c r="T295" i="17"/>
  <c r="T345" i="17" a="1"/>
  <c r="T345" i="17"/>
  <c r="T395" i="17" a="1"/>
  <c r="T395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46" i="17" a="1"/>
  <c r="T46" i="17" s="1"/>
  <c r="T96" i="17" a="1"/>
  <c r="T96" i="17" s="1"/>
  <c r="T146" i="17" a="1"/>
  <c r="T146" i="17" s="1"/>
  <c r="T196" i="17" a="1"/>
  <c r="T196" i="17" s="1"/>
  <c r="T246" i="17" a="1"/>
  <c r="T246" i="17" s="1"/>
  <c r="T296" i="17" a="1"/>
  <c r="T296" i="17" s="1"/>
  <c r="T346" i="17" a="1"/>
  <c r="T346" i="17"/>
  <c r="T396" i="17" a="1"/>
  <c r="T396" i="17" s="1"/>
  <c r="T666" i="17" a="1"/>
  <c r="T666" i="17" s="1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47" i="17" a="1"/>
  <c r="T47" i="17" s="1"/>
  <c r="T97" i="17" a="1"/>
  <c r="T97" i="17" s="1"/>
  <c r="T147" i="17" a="1"/>
  <c r="T147" i="17" s="1"/>
  <c r="T197" i="17" a="1"/>
  <c r="T197" i="17" s="1"/>
  <c r="T247" i="17" a="1"/>
  <c r="T247" i="17" s="1"/>
  <c r="T297" i="17" a="1"/>
  <c r="T297" i="17" s="1"/>
  <c r="T347" i="17" a="1"/>
  <c r="T347" i="17" s="1"/>
  <c r="T397" i="17" a="1"/>
  <c r="T397" i="17" s="1"/>
  <c r="T672" i="17" a="1"/>
  <c r="T672" i="17" s="1"/>
  <c r="T673" i="17" a="1"/>
  <c r="T673" i="17" s="1"/>
  <c r="T674" i="17" a="1"/>
  <c r="T674" i="17" s="1"/>
  <c r="T675" i="17" a="1"/>
  <c r="T675" i="17"/>
  <c r="T676" i="17" a="1"/>
  <c r="T676" i="17"/>
  <c r="T677" i="17" a="1"/>
  <c r="T677" i="17" s="1"/>
  <c r="T48" i="17" a="1"/>
  <c r="T48" i="17" s="1"/>
  <c r="T98" i="17" a="1"/>
  <c r="T98" i="17" s="1"/>
  <c r="T148" i="17" a="1"/>
  <c r="T148" i="17" s="1"/>
  <c r="T198" i="17" a="1"/>
  <c r="T198" i="17" s="1"/>
  <c r="T248" i="17" a="1"/>
  <c r="T248" i="17" s="1"/>
  <c r="T298" i="17" a="1"/>
  <c r="T298" i="17" s="1"/>
  <c r="T348" i="17" a="1"/>
  <c r="T348" i="17" s="1"/>
  <c r="T398" i="17" a="1"/>
  <c r="T398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/>
  <c r="T683" i="17" a="1"/>
  <c r="T683" i="17"/>
  <c r="T49" i="17" a="1"/>
  <c r="T49" i="17" s="1"/>
  <c r="T99" i="17" a="1"/>
  <c r="T99" i="17" s="1"/>
  <c r="T149" i="17" a="1"/>
  <c r="T149" i="17" s="1"/>
  <c r="T199" i="17" a="1"/>
  <c r="T199" i="17" s="1"/>
  <c r="T249" i="17" a="1"/>
  <c r="T249" i="17" s="1"/>
  <c r="T299" i="17" a="1"/>
  <c r="T299" i="17" s="1"/>
  <c r="T349" i="17" a="1"/>
  <c r="T349" i="17" s="1"/>
  <c r="T399" i="17" a="1"/>
  <c r="T399" i="17" s="1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50" i="17" a="1"/>
  <c r="T50" i="17" s="1"/>
  <c r="T100" i="17" a="1"/>
  <c r="T100" i="17" s="1"/>
  <c r="T150" i="17" a="1"/>
  <c r="T150" i="17" s="1"/>
  <c r="T200" i="17" a="1"/>
  <c r="T200" i="17" s="1"/>
  <c r="T250" i="17" a="1"/>
  <c r="T250" i="17" s="1"/>
  <c r="T300" i="17" a="1"/>
  <c r="T300" i="17" s="1"/>
  <c r="T350" i="17" a="1"/>
  <c r="T350" i="17" s="1"/>
  <c r="T400" i="17" a="1"/>
  <c r="T400" i="17" s="1"/>
  <c r="T690" i="17" a="1"/>
  <c r="T690" i="17" s="1"/>
  <c r="T691" i="17" a="1"/>
  <c r="T691" i="17" s="1"/>
  <c r="T692" i="17" a="1"/>
  <c r="T692" i="17" s="1"/>
  <c r="T693" i="17" a="1"/>
  <c r="T693" i="17" s="1"/>
  <c r="T694" i="17" a="1"/>
  <c r="T694" i="17" s="1"/>
  <c r="T695" i="17" a="1"/>
  <c r="T695" i="17" s="1"/>
  <c r="T51" i="17" a="1"/>
  <c r="T51" i="17" s="1"/>
  <c r="T101" i="17" a="1"/>
  <c r="T101" i="17" s="1"/>
  <c r="T151" i="17" a="1"/>
  <c r="T151" i="17" s="1"/>
  <c r="T201" i="17" a="1"/>
  <c r="T201" i="17" s="1"/>
  <c r="T251" i="17" a="1"/>
  <c r="T251" i="17" s="1"/>
  <c r="T301" i="17" a="1"/>
  <c r="T301" i="17" s="1"/>
  <c r="T351" i="17" a="1"/>
  <c r="T351" i="17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U2" i="17" a="1"/>
  <c r="U2" i="17" s="1"/>
  <c r="U52" i="17" a="1"/>
  <c r="U52" i="17" s="1"/>
  <c r="U102" i="17" a="1"/>
  <c r="U102" i="17" s="1"/>
  <c r="U152" i="17" a="1"/>
  <c r="U152" i="17" s="1"/>
  <c r="U202" i="17" a="1"/>
  <c r="U202" i="17" s="1"/>
  <c r="U252" i="17" a="1"/>
  <c r="U252" i="17" s="1"/>
  <c r="U302" i="17" a="1"/>
  <c r="U302" i="17" s="1"/>
  <c r="U352" i="17" a="1"/>
  <c r="U352" i="17" s="1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3" i="17" a="1"/>
  <c r="U3" i="17" s="1"/>
  <c r="U53" i="17" a="1"/>
  <c r="U53" i="17" s="1"/>
  <c r="U103" i="17" a="1"/>
  <c r="U103" i="17" s="1"/>
  <c r="U153" i="17" a="1"/>
  <c r="U153" i="17" s="1"/>
  <c r="U203" i="17" a="1"/>
  <c r="U203" i="17" s="1"/>
  <c r="U253" i="17" a="1"/>
  <c r="U253" i="17" s="1"/>
  <c r="U303" i="17" a="1"/>
  <c r="U303" i="17"/>
  <c r="U353" i="17" a="1"/>
  <c r="U353" i="17" s="1"/>
  <c r="U408" i="17" a="1"/>
  <c r="U408" i="17" s="1"/>
  <c r="U409" i="17" a="1"/>
  <c r="U409" i="17" s="1"/>
  <c r="U410" i="17" a="1"/>
  <c r="U410" i="17" s="1"/>
  <c r="U411" i="17" a="1"/>
  <c r="U411" i="17" s="1"/>
  <c r="U412" i="17" a="1"/>
  <c r="U412" i="17" s="1"/>
  <c r="U413" i="17" a="1"/>
  <c r="U413" i="17" s="1"/>
  <c r="U4" i="17" a="1"/>
  <c r="U4" i="17" s="1"/>
  <c r="U54" i="17" a="1"/>
  <c r="U54" i="17" s="1"/>
  <c r="U104" i="17" a="1"/>
  <c r="U104" i="17" s="1"/>
  <c r="U154" i="17" a="1"/>
  <c r="U154" i="17" s="1"/>
  <c r="U204" i="17" a="1"/>
  <c r="U204" i="17" s="1"/>
  <c r="U254" i="17" a="1"/>
  <c r="U254" i="17" s="1"/>
  <c r="U304" i="17" a="1"/>
  <c r="U304" i="17" s="1"/>
  <c r="U354" i="17" a="1"/>
  <c r="U354" i="17" s="1"/>
  <c r="U414" i="17" a="1"/>
  <c r="U414" i="17" s="1"/>
  <c r="U415" i="17" a="1"/>
  <c r="U415" i="17" s="1"/>
  <c r="U416" i="17" a="1"/>
  <c r="U416" i="17" s="1"/>
  <c r="U417" i="17" a="1"/>
  <c r="U417" i="17" s="1"/>
  <c r="U418" i="17" a="1"/>
  <c r="U418" i="17" s="1"/>
  <c r="U419" i="17" a="1"/>
  <c r="U419" i="17" s="1"/>
  <c r="U5" i="17" a="1"/>
  <c r="U5" i="17" s="1"/>
  <c r="U55" i="17" a="1"/>
  <c r="U55" i="17" s="1"/>
  <c r="U105" i="17" a="1"/>
  <c r="U105" i="17" s="1"/>
  <c r="U155" i="17" a="1"/>
  <c r="U155" i="17" s="1"/>
  <c r="U205" i="17" a="1"/>
  <c r="U205" i="17" s="1"/>
  <c r="U255" i="17" a="1"/>
  <c r="U255" i="17" s="1"/>
  <c r="U305" i="17" a="1"/>
  <c r="U305" i="17" s="1"/>
  <c r="U355" i="17" a="1"/>
  <c r="U355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6" i="17" a="1"/>
  <c r="U6" i="17" s="1"/>
  <c r="U56" i="17" a="1"/>
  <c r="U56" i="17" s="1"/>
  <c r="U106" i="17" a="1"/>
  <c r="U106" i="17" s="1"/>
  <c r="U156" i="17" a="1"/>
  <c r="U156" i="17" s="1"/>
  <c r="U206" i="17" a="1"/>
  <c r="U206" i="17" s="1"/>
  <c r="U256" i="17" a="1"/>
  <c r="U256" i="17" s="1"/>
  <c r="U306" i="17" a="1"/>
  <c r="U306" i="17" s="1"/>
  <c r="U356" i="17" a="1"/>
  <c r="U356" i="17" s="1"/>
  <c r="U426" i="17" a="1"/>
  <c r="U426" i="17" s="1"/>
  <c r="U427" i="17" a="1"/>
  <c r="U427" i="17"/>
  <c r="U428" i="17" a="1"/>
  <c r="U428" i="17" s="1"/>
  <c r="U429" i="17" a="1"/>
  <c r="U429" i="17" s="1"/>
  <c r="U430" i="17" a="1"/>
  <c r="U430" i="17" s="1"/>
  <c r="U431" i="17" a="1"/>
  <c r="U431" i="17" s="1"/>
  <c r="U7" i="17" a="1"/>
  <c r="U7" i="17" s="1"/>
  <c r="U57" i="17" a="1"/>
  <c r="U57" i="17" s="1"/>
  <c r="U107" i="17" a="1"/>
  <c r="U107" i="17" s="1"/>
  <c r="U157" i="17" a="1"/>
  <c r="U157" i="17" s="1"/>
  <c r="U207" i="17" a="1"/>
  <c r="U207" i="17" s="1"/>
  <c r="U257" i="17" a="1"/>
  <c r="U257" i="17" s="1"/>
  <c r="U307" i="17" a="1"/>
  <c r="U307" i="17" s="1"/>
  <c r="U357" i="17" a="1"/>
  <c r="U357" i="17" s="1"/>
  <c r="U432" i="17" a="1"/>
  <c r="U432" i="17" s="1"/>
  <c r="U433" i="17" a="1"/>
  <c r="U433" i="17" s="1"/>
  <c r="U434" i="17" a="1"/>
  <c r="U434" i="17" s="1"/>
  <c r="U435" i="17" a="1"/>
  <c r="U435" i="17" s="1"/>
  <c r="U436" i="17" a="1"/>
  <c r="U436" i="17" s="1"/>
  <c r="U437" i="17" a="1"/>
  <c r="U437" i="17" s="1"/>
  <c r="U8" i="17" a="1"/>
  <c r="U8" i="17" s="1"/>
  <c r="U58" i="17" a="1"/>
  <c r="U58" i="17" s="1"/>
  <c r="U108" i="17" a="1"/>
  <c r="U108" i="17" s="1"/>
  <c r="U158" i="17" a="1"/>
  <c r="U158" i="17" s="1"/>
  <c r="U208" i="17" a="1"/>
  <c r="U208" i="17" s="1"/>
  <c r="U258" i="17" a="1"/>
  <c r="U258" i="17" s="1"/>
  <c r="U308" i="17" a="1"/>
  <c r="U308" i="17" s="1"/>
  <c r="U358" i="17" a="1"/>
  <c r="U358" i="17" s="1"/>
  <c r="U438" i="17" a="1"/>
  <c r="U438" i="17" s="1"/>
  <c r="U439" i="17" a="1"/>
  <c r="U439" i="17"/>
  <c r="U440" i="17" a="1"/>
  <c r="U440" i="17" s="1"/>
  <c r="U441" i="17" a="1"/>
  <c r="U441" i="17" s="1"/>
  <c r="U442" i="17" a="1"/>
  <c r="U442" i="17" s="1"/>
  <c r="U443" i="17" a="1"/>
  <c r="U443" i="17" s="1"/>
  <c r="U9" i="17" a="1"/>
  <c r="U9" i="17" s="1"/>
  <c r="U59" i="17" a="1"/>
  <c r="U59" i="17" s="1"/>
  <c r="U109" i="17" a="1"/>
  <c r="U109" i="17" s="1"/>
  <c r="U159" i="17" a="1"/>
  <c r="U159" i="17" s="1"/>
  <c r="U209" i="17" a="1"/>
  <c r="U209" i="17" s="1"/>
  <c r="U259" i="17" a="1"/>
  <c r="U259" i="17" s="1"/>
  <c r="U309" i="17" a="1"/>
  <c r="U309" i="17" s="1"/>
  <c r="U359" i="17" a="1"/>
  <c r="U359" i="17" s="1"/>
  <c r="U444" i="17" a="1"/>
  <c r="U444" i="17" s="1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 s="1"/>
  <c r="U10" i="17" a="1"/>
  <c r="U10" i="17" s="1"/>
  <c r="U60" i="17" a="1"/>
  <c r="U60" i="17" s="1"/>
  <c r="U110" i="17" a="1"/>
  <c r="U110" i="17" s="1"/>
  <c r="U160" i="17" a="1"/>
  <c r="U160" i="17" s="1"/>
  <c r="U210" i="17" a="1"/>
  <c r="U210" i="17" s="1"/>
  <c r="U260" i="17" a="1"/>
  <c r="U260" i="17" s="1"/>
  <c r="U310" i="17" a="1"/>
  <c r="U310" i="17" s="1"/>
  <c r="U360" i="17" a="1"/>
  <c r="U360" i="17" s="1"/>
  <c r="U450" i="17" a="1"/>
  <c r="U450" i="17" s="1"/>
  <c r="U451" i="17" a="1"/>
  <c r="U451" i="17" s="1"/>
  <c r="U452" i="17" a="1"/>
  <c r="U452" i="17" s="1"/>
  <c r="U453" i="17" a="1"/>
  <c r="U453" i="17"/>
  <c r="U454" i="17" a="1"/>
  <c r="U454" i="17"/>
  <c r="U455" i="17" a="1"/>
  <c r="U455" i="17" s="1"/>
  <c r="U11" i="17" a="1"/>
  <c r="U11" i="17" s="1"/>
  <c r="U61" i="17" a="1"/>
  <c r="U61" i="17" s="1"/>
  <c r="U111" i="17" a="1"/>
  <c r="U111" i="17" s="1"/>
  <c r="U161" i="17" a="1"/>
  <c r="U161" i="17" s="1"/>
  <c r="U211" i="17" a="1"/>
  <c r="U211" i="17" s="1"/>
  <c r="U261" i="17" a="1"/>
  <c r="U261" i="17" s="1"/>
  <c r="U311" i="17" a="1"/>
  <c r="U311" i="17" s="1"/>
  <c r="U361" i="17" a="1"/>
  <c r="U361" i="17" s="1"/>
  <c r="U456" i="17" a="1"/>
  <c r="U456" i="17" s="1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12" i="17" a="1"/>
  <c r="U12" i="17" s="1"/>
  <c r="U62" i="17" a="1"/>
  <c r="U62" i="17" s="1"/>
  <c r="U112" i="17" a="1"/>
  <c r="U112" i="17" s="1"/>
  <c r="U162" i="17" a="1"/>
  <c r="U162" i="17" s="1"/>
  <c r="U212" i="17" a="1"/>
  <c r="U212" i="17"/>
  <c r="U262" i="17" a="1"/>
  <c r="U262" i="17" s="1"/>
  <c r="U312" i="17" a="1"/>
  <c r="U312" i="17" s="1"/>
  <c r="U362" i="17" a="1"/>
  <c r="U362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 s="1"/>
  <c r="U13" i="17" a="1"/>
  <c r="U13" i="17" s="1"/>
  <c r="U63" i="17" a="1"/>
  <c r="U63" i="17" s="1"/>
  <c r="U113" i="17" a="1"/>
  <c r="U113" i="17" s="1"/>
  <c r="U163" i="17" a="1"/>
  <c r="U163" i="17"/>
  <c r="U213" i="17" a="1"/>
  <c r="U213" i="17" s="1"/>
  <c r="U263" i="17" a="1"/>
  <c r="U263" i="17" s="1"/>
  <c r="U313" i="17" a="1"/>
  <c r="U313" i="17" s="1"/>
  <c r="U363" i="17" a="1"/>
  <c r="U363" i="17" s="1"/>
  <c r="U468" i="17" a="1"/>
  <c r="U468" i="17" s="1"/>
  <c r="U469" i="17" a="1"/>
  <c r="U469" i="17" s="1"/>
  <c r="U470" i="17" a="1"/>
  <c r="U470" i="17" s="1"/>
  <c r="U471" i="17" a="1"/>
  <c r="U471" i="17" s="1"/>
  <c r="U472" i="17" a="1"/>
  <c r="U472" i="17" s="1"/>
  <c r="U473" i="17" a="1"/>
  <c r="U473" i="17" s="1"/>
  <c r="U14" i="17" a="1"/>
  <c r="U14" i="17" s="1"/>
  <c r="U64" i="17" a="1"/>
  <c r="U64" i="17" s="1"/>
  <c r="U114" i="17" a="1"/>
  <c r="U114" i="17" s="1"/>
  <c r="U164" i="17" a="1"/>
  <c r="U164" i="17" s="1"/>
  <c r="U214" i="17" a="1"/>
  <c r="U214" i="17" s="1"/>
  <c r="U264" i="17" a="1"/>
  <c r="U264" i="17"/>
  <c r="U314" i="17" a="1"/>
  <c r="U314" i="17"/>
  <c r="U364" i="17" a="1"/>
  <c r="U364" i="17"/>
  <c r="U474" i="17" a="1"/>
  <c r="U474" i="17"/>
  <c r="U475" i="17" a="1"/>
  <c r="U475" i="17"/>
  <c r="U476" i="17" a="1"/>
  <c r="U476" i="17" s="1"/>
  <c r="U477" i="17" a="1"/>
  <c r="U477" i="17" s="1"/>
  <c r="U478" i="17" a="1"/>
  <c r="U478" i="17" s="1"/>
  <c r="U479" i="17" a="1"/>
  <c r="U479" i="17" s="1"/>
  <c r="U15" i="17" a="1"/>
  <c r="U15" i="17" s="1"/>
  <c r="U65" i="17" a="1"/>
  <c r="U65" i="17" s="1"/>
  <c r="U115" i="17" a="1"/>
  <c r="U115" i="17" s="1"/>
  <c r="U165" i="17" a="1"/>
  <c r="U165" i="17" s="1"/>
  <c r="U215" i="17" a="1"/>
  <c r="U215" i="17" s="1"/>
  <c r="U265" i="17" a="1"/>
  <c r="U265" i="17" s="1"/>
  <c r="U315" i="17" a="1"/>
  <c r="U315" i="17" s="1"/>
  <c r="U365" i="17" a="1"/>
  <c r="U365" i="17" s="1"/>
  <c r="U480" i="17" a="1"/>
  <c r="U480" i="17"/>
  <c r="U481" i="17" a="1"/>
  <c r="U481" i="17"/>
  <c r="U482" i="17" a="1"/>
  <c r="U482" i="17"/>
  <c r="U483" i="17" a="1"/>
  <c r="U483" i="17"/>
  <c r="U484" i="17" a="1"/>
  <c r="U484" i="17" s="1"/>
  <c r="U485" i="17" a="1"/>
  <c r="U485" i="17" s="1"/>
  <c r="U16" i="17" a="1"/>
  <c r="U16" i="17" s="1"/>
  <c r="U66" i="17" a="1"/>
  <c r="U66" i="17" s="1"/>
  <c r="U116" i="17" a="1"/>
  <c r="U116" i="17" s="1"/>
  <c r="U166" i="17" a="1"/>
  <c r="U166" i="17" s="1"/>
  <c r="U216" i="17" a="1"/>
  <c r="U216" i="17" s="1"/>
  <c r="U266" i="17" a="1"/>
  <c r="U266" i="17" s="1"/>
  <c r="U316" i="17" a="1"/>
  <c r="U316" i="17" s="1"/>
  <c r="U366" i="17" a="1"/>
  <c r="U366" i="17" s="1"/>
  <c r="U486" i="17" a="1"/>
  <c r="U486" i="17" s="1"/>
  <c r="U487" i="17" a="1"/>
  <c r="U487" i="17" s="1"/>
  <c r="U488" i="17" a="1"/>
  <c r="U488" i="17" s="1"/>
  <c r="U489" i="17" a="1"/>
  <c r="U489" i="17" s="1"/>
  <c r="U490" i="17" a="1"/>
  <c r="U490" i="17" s="1"/>
  <c r="U491" i="17" a="1"/>
  <c r="U491" i="17" s="1"/>
  <c r="U17" i="17" a="1"/>
  <c r="U17" i="17" s="1"/>
  <c r="U67" i="17" a="1"/>
  <c r="U67" i="17" s="1"/>
  <c r="U117" i="17" a="1"/>
  <c r="U117" i="17" s="1"/>
  <c r="U167" i="17" a="1"/>
  <c r="U167" i="17" s="1"/>
  <c r="U217" i="17" a="1"/>
  <c r="U217" i="17" s="1"/>
  <c r="U267" i="17" a="1"/>
  <c r="U267" i="17" s="1"/>
  <c r="U317" i="17" a="1"/>
  <c r="U317" i="17" s="1"/>
  <c r="U367" i="17" a="1"/>
  <c r="U367" i="17" s="1"/>
  <c r="U492" i="17" a="1"/>
  <c r="U492" i="17" s="1"/>
  <c r="U493" i="17" a="1"/>
  <c r="U493" i="17" s="1"/>
  <c r="U494" i="17" a="1"/>
  <c r="U494" i="17" s="1"/>
  <c r="U495" i="17" a="1"/>
  <c r="U495" i="17"/>
  <c r="U496" i="17" a="1"/>
  <c r="U496" i="17" s="1"/>
  <c r="U497" i="17" a="1"/>
  <c r="U497" i="17" s="1"/>
  <c r="U18" i="17" a="1"/>
  <c r="U18" i="17" s="1"/>
  <c r="U68" i="17" a="1"/>
  <c r="U68" i="17" s="1"/>
  <c r="U118" i="17" a="1"/>
  <c r="U118" i="17" s="1"/>
  <c r="U168" i="17" a="1"/>
  <c r="U168" i="17" s="1"/>
  <c r="U218" i="17" a="1"/>
  <c r="U218" i="17" s="1"/>
  <c r="U268" i="17" a="1"/>
  <c r="U268" i="17" s="1"/>
  <c r="U318" i="17" a="1"/>
  <c r="U318" i="17" s="1"/>
  <c r="U368" i="17" a="1"/>
  <c r="U368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19" i="17" a="1"/>
  <c r="U19" i="17" s="1"/>
  <c r="U69" i="17" a="1"/>
  <c r="U69" i="17" s="1"/>
  <c r="U119" i="17" a="1"/>
  <c r="U119" i="17" s="1"/>
  <c r="U169" i="17" a="1"/>
  <c r="U169" i="17"/>
  <c r="U219" i="17" a="1"/>
  <c r="U219" i="17" s="1"/>
  <c r="U269" i="17" a="1"/>
  <c r="U269" i="17" s="1"/>
  <c r="U319" i="17" a="1"/>
  <c r="U319" i="17" s="1"/>
  <c r="U369" i="17" a="1"/>
  <c r="U369" i="17" s="1"/>
  <c r="U504" i="17" a="1"/>
  <c r="U504" i="17" s="1"/>
  <c r="U505" i="17" a="1"/>
  <c r="U505" i="17" s="1"/>
  <c r="U506" i="17" a="1"/>
  <c r="U506" i="17"/>
  <c r="U507" i="17" a="1"/>
  <c r="U507" i="17" s="1"/>
  <c r="U508" i="17" a="1"/>
  <c r="U508" i="17" s="1"/>
  <c r="U509" i="17" a="1"/>
  <c r="U509" i="17" s="1"/>
  <c r="U20" i="17" a="1"/>
  <c r="U20" i="17"/>
  <c r="U70" i="17" a="1"/>
  <c r="U70" i="17"/>
  <c r="U120" i="17" a="1"/>
  <c r="U120" i="17"/>
  <c r="U170" i="17" a="1"/>
  <c r="U170" i="17"/>
  <c r="U220" i="17" a="1"/>
  <c r="U220" i="17"/>
  <c r="U270" i="17" a="1"/>
  <c r="U270" i="17"/>
  <c r="U320" i="17" a="1"/>
  <c r="U320" i="17" s="1"/>
  <c r="U370" i="17" a="1"/>
  <c r="U370" i="17" s="1"/>
  <c r="U510" i="17" a="1"/>
  <c r="U510" i="17" s="1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21" i="17" a="1"/>
  <c r="U21" i="17" s="1"/>
  <c r="U71" i="17" a="1"/>
  <c r="U71" i="17" s="1"/>
  <c r="U121" i="17" a="1"/>
  <c r="U121" i="17" s="1"/>
  <c r="U171" i="17" a="1"/>
  <c r="U171" i="17" s="1"/>
  <c r="U221" i="17" a="1"/>
  <c r="U221" i="17"/>
  <c r="U271" i="17" a="1"/>
  <c r="U271" i="17" s="1"/>
  <c r="U321" i="17" a="1"/>
  <c r="U321" i="17" s="1"/>
  <c r="U371" i="17" a="1"/>
  <c r="U371" i="17" s="1"/>
  <c r="U516" i="17" a="1"/>
  <c r="U516" i="17" s="1"/>
  <c r="U517" i="17" a="1"/>
  <c r="U517" i="17" s="1"/>
  <c r="U518" i="17" a="1"/>
  <c r="U518" i="17" s="1"/>
  <c r="U519" i="17" a="1"/>
  <c r="U519" i="17" s="1"/>
  <c r="U520" i="17" a="1"/>
  <c r="U520" i="17" s="1"/>
  <c r="U521" i="17" a="1"/>
  <c r="U521" i="17" s="1"/>
  <c r="U22" i="17" a="1"/>
  <c r="U22" i="17" s="1"/>
  <c r="U72" i="17" a="1"/>
  <c r="U72" i="17" s="1"/>
  <c r="U122" i="17" a="1"/>
  <c r="U122" i="17" s="1"/>
  <c r="U172" i="17" a="1"/>
  <c r="U172" i="17" s="1"/>
  <c r="U222" i="17" a="1"/>
  <c r="U222" i="17" s="1"/>
  <c r="U272" i="17" a="1"/>
  <c r="U272" i="17" s="1"/>
  <c r="U322" i="17" a="1"/>
  <c r="U322" i="17" s="1"/>
  <c r="U372" i="17" a="1"/>
  <c r="U372" i="17" s="1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23" i="17" a="1"/>
  <c r="U23" i="17" s="1"/>
  <c r="U73" i="17" a="1"/>
  <c r="U73" i="17" s="1"/>
  <c r="U123" i="17" a="1"/>
  <c r="U123" i="17" s="1"/>
  <c r="U173" i="17" a="1"/>
  <c r="U173" i="17" s="1"/>
  <c r="U223" i="17" a="1"/>
  <c r="U223" i="17" s="1"/>
  <c r="U273" i="17" a="1"/>
  <c r="U273" i="17"/>
  <c r="U323" i="17" a="1"/>
  <c r="U323" i="17"/>
  <c r="U373" i="17" a="1"/>
  <c r="U373" i="17"/>
  <c r="U528" i="17" a="1"/>
  <c r="U528" i="17"/>
  <c r="U529" i="17" a="1"/>
  <c r="U529" i="17"/>
  <c r="U530" i="17" a="1"/>
  <c r="U530" i="17"/>
  <c r="U531" i="17" a="1"/>
  <c r="U531" i="17" s="1"/>
  <c r="U532" i="17" a="1"/>
  <c r="U532" i="17" s="1"/>
  <c r="U533" i="17" a="1"/>
  <c r="U533" i="17" s="1"/>
  <c r="U24" i="17" a="1"/>
  <c r="U24" i="17" s="1"/>
  <c r="U74" i="17" a="1"/>
  <c r="U74" i="17" s="1"/>
  <c r="U124" i="17" a="1"/>
  <c r="U124" i="17" s="1"/>
  <c r="U174" i="17" a="1"/>
  <c r="U174" i="17" s="1"/>
  <c r="U224" i="17" a="1"/>
  <c r="U224" i="17" s="1"/>
  <c r="U274" i="17" a="1"/>
  <c r="U274" i="17" s="1"/>
  <c r="U324" i="17" a="1"/>
  <c r="U324" i="17" s="1"/>
  <c r="U374" i="17" a="1"/>
  <c r="U374" i="17" s="1"/>
  <c r="U534" i="17" a="1"/>
  <c r="U534" i="17" s="1"/>
  <c r="U535" i="17" a="1"/>
  <c r="U535" i="17" s="1"/>
  <c r="U536" i="17" a="1"/>
  <c r="U536" i="17"/>
  <c r="U537" i="17" a="1"/>
  <c r="U537" i="17" s="1"/>
  <c r="U538" i="17" a="1"/>
  <c r="U538" i="17"/>
  <c r="U539" i="17" a="1"/>
  <c r="U539" i="17"/>
  <c r="U25" i="17" a="1"/>
  <c r="U25" i="17" s="1"/>
  <c r="U75" i="17" a="1"/>
  <c r="U75" i="17" s="1"/>
  <c r="U125" i="17" a="1"/>
  <c r="U125" i="17" s="1"/>
  <c r="U175" i="17" a="1"/>
  <c r="U175" i="17" s="1"/>
  <c r="U225" i="17" a="1"/>
  <c r="U225" i="17" s="1"/>
  <c r="U275" i="17" a="1"/>
  <c r="U275" i="17" s="1"/>
  <c r="U325" i="17" a="1"/>
  <c r="U325" i="17" s="1"/>
  <c r="U375" i="17" a="1"/>
  <c r="U375" i="17" s="1"/>
  <c r="U540" i="17" a="1"/>
  <c r="U540" i="17" s="1"/>
  <c r="U541" i="17" a="1"/>
  <c r="U541" i="17" s="1"/>
  <c r="U542" i="17" a="1"/>
  <c r="U542" i="17" s="1"/>
  <c r="U543" i="17" a="1"/>
  <c r="U543" i="17" s="1"/>
  <c r="U544" i="17" a="1"/>
  <c r="U544" i="17" s="1"/>
  <c r="U545" i="17" a="1"/>
  <c r="U545" i="17" s="1"/>
  <c r="U26" i="17" a="1"/>
  <c r="U26" i="17" s="1"/>
  <c r="U76" i="17" a="1"/>
  <c r="U76" i="17" s="1"/>
  <c r="U126" i="17" a="1"/>
  <c r="U126" i="17" s="1"/>
  <c r="U176" i="17" a="1"/>
  <c r="U176" i="17" s="1"/>
  <c r="U226" i="17" a="1"/>
  <c r="U226" i="17" s="1"/>
  <c r="U276" i="17" a="1"/>
  <c r="U276" i="17" s="1"/>
  <c r="U326" i="17" a="1"/>
  <c r="U326" i="17" s="1"/>
  <c r="U376" i="17" a="1"/>
  <c r="U376" i="17" s="1"/>
  <c r="U546" i="17" a="1"/>
  <c r="U546" i="17" s="1"/>
  <c r="U547" i="17" a="1"/>
  <c r="U547" i="17" s="1"/>
  <c r="U548" i="17" a="1"/>
  <c r="U548" i="17" s="1"/>
  <c r="U549" i="17" a="1"/>
  <c r="U549" i="17" s="1"/>
  <c r="U550" i="17" a="1"/>
  <c r="U550" i="17" s="1"/>
  <c r="U551" i="17" a="1"/>
  <c r="U551" i="17" s="1"/>
  <c r="U27" i="17" a="1"/>
  <c r="U27" i="17" s="1"/>
  <c r="U77" i="17" a="1"/>
  <c r="U77" i="17" s="1"/>
  <c r="U127" i="17" a="1"/>
  <c r="U127" i="17" s="1"/>
  <c r="U177" i="17" a="1"/>
  <c r="U177" i="17"/>
  <c r="U227" i="17" a="1"/>
  <c r="U227" i="17" s="1"/>
  <c r="U277" i="17" a="1"/>
  <c r="U277" i="17" s="1"/>
  <c r="U327" i="17" a="1"/>
  <c r="U327" i="17" s="1"/>
  <c r="U377" i="17" a="1"/>
  <c r="U377" i="17" s="1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28" i="17" a="1"/>
  <c r="U28" i="17" s="1"/>
  <c r="U78" i="17" a="1"/>
  <c r="U78" i="17" s="1"/>
  <c r="U128" i="17" a="1"/>
  <c r="U128" i="17" s="1"/>
  <c r="U178" i="17" a="1"/>
  <c r="U178" i="17"/>
  <c r="U228" i="17" a="1"/>
  <c r="U228" i="17" s="1"/>
  <c r="U278" i="17" a="1"/>
  <c r="U278" i="17" s="1"/>
  <c r="U328" i="17" a="1"/>
  <c r="U328" i="17" s="1"/>
  <c r="U378" i="17" a="1"/>
  <c r="U378" i="17" s="1"/>
  <c r="U558" i="17" a="1"/>
  <c r="U558" i="17"/>
  <c r="U559" i="17" a="1"/>
  <c r="U559" i="17" s="1"/>
  <c r="U560" i="17" a="1"/>
  <c r="U560" i="17" s="1"/>
  <c r="U561" i="17" a="1"/>
  <c r="U561" i="17"/>
  <c r="U562" i="17" a="1"/>
  <c r="U562" i="17"/>
  <c r="U563" i="17" a="1"/>
  <c r="U563" i="17" s="1"/>
  <c r="U29" i="17" a="1"/>
  <c r="U29" i="17" s="1"/>
  <c r="U79" i="17" a="1"/>
  <c r="U79" i="17" s="1"/>
  <c r="U129" i="17" a="1"/>
  <c r="U129" i="17" s="1"/>
  <c r="U179" i="17" a="1"/>
  <c r="U179" i="17" s="1"/>
  <c r="U229" i="17" a="1"/>
  <c r="U229" i="17" s="1"/>
  <c r="U279" i="17" a="1"/>
  <c r="U279" i="17" s="1"/>
  <c r="U329" i="17" a="1"/>
  <c r="U329" i="17" s="1"/>
  <c r="U379" i="17" a="1"/>
  <c r="U379" i="17" s="1"/>
  <c r="U564" i="17" a="1"/>
  <c r="U564" i="17"/>
  <c r="U565" i="17" a="1"/>
  <c r="U565" i="17"/>
  <c r="U566" i="17" a="1"/>
  <c r="U566" i="17" s="1"/>
  <c r="U567" i="17" a="1"/>
  <c r="U567" i="17" s="1"/>
  <c r="U568" i="17" a="1"/>
  <c r="U568" i="17" s="1"/>
  <c r="U569" i="17" a="1"/>
  <c r="U569" i="17" s="1"/>
  <c r="U30" i="17" a="1"/>
  <c r="U30" i="17"/>
  <c r="U80" i="17" a="1"/>
  <c r="U80" i="17" s="1"/>
  <c r="U130" i="17" a="1"/>
  <c r="U130" i="17" s="1"/>
  <c r="U180" i="17" a="1"/>
  <c r="U180" i="17" s="1"/>
  <c r="U230" i="17" a="1"/>
  <c r="U230" i="17" s="1"/>
  <c r="U280" i="17" a="1"/>
  <c r="U280" i="17" s="1"/>
  <c r="U330" i="17" a="1"/>
  <c r="U330" i="17" s="1"/>
  <c r="U380" i="17" a="1"/>
  <c r="U380" i="17" s="1"/>
  <c r="U570" i="17" a="1"/>
  <c r="U570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 s="1"/>
  <c r="U31" i="17" a="1"/>
  <c r="U31" i="17" s="1"/>
  <c r="U81" i="17" a="1"/>
  <c r="U81" i="17"/>
  <c r="U131" i="17" a="1"/>
  <c r="U131" i="17"/>
  <c r="U181" i="17" a="1"/>
  <c r="U181" i="17" s="1"/>
  <c r="U231" i="17" a="1"/>
  <c r="U231" i="17" s="1"/>
  <c r="U281" i="17" a="1"/>
  <c r="U281" i="17" s="1"/>
  <c r="U331" i="17" a="1"/>
  <c r="U331" i="17" s="1"/>
  <c r="U381" i="17" a="1"/>
  <c r="U381" i="17" s="1"/>
  <c r="U576" i="17" a="1"/>
  <c r="U576" i="17" s="1"/>
  <c r="U577" i="17" a="1"/>
  <c r="U577" i="17"/>
  <c r="U578" i="17" a="1"/>
  <c r="U578" i="17"/>
  <c r="U579" i="17" a="1"/>
  <c r="U579" i="17" s="1"/>
  <c r="U580" i="17" a="1"/>
  <c r="U580" i="17" s="1"/>
  <c r="U581" i="17" a="1"/>
  <c r="U581" i="17" s="1"/>
  <c r="U32" i="17" a="1"/>
  <c r="U32" i="17" s="1"/>
  <c r="U82" i="17" a="1"/>
  <c r="U82" i="17" s="1"/>
  <c r="U132" i="17" a="1"/>
  <c r="U132" i="17" s="1"/>
  <c r="U182" i="17" a="1"/>
  <c r="U182" i="17" s="1"/>
  <c r="U232" i="17" a="1"/>
  <c r="U232" i="17" s="1"/>
  <c r="U282" i="17" a="1"/>
  <c r="U282" i="17" s="1"/>
  <c r="U332" i="17" a="1"/>
  <c r="U332" i="17" s="1"/>
  <c r="U382" i="17" a="1"/>
  <c r="U382" i="17" s="1"/>
  <c r="U582" i="17" a="1"/>
  <c r="U582" i="17" s="1"/>
  <c r="U583" i="17" a="1"/>
  <c r="U583" i="17" s="1"/>
  <c r="U584" i="17" a="1"/>
  <c r="U584" i="17" s="1"/>
  <c r="U585" i="17" a="1"/>
  <c r="U585" i="17"/>
  <c r="U586" i="17" a="1"/>
  <c r="U586" i="17" s="1"/>
  <c r="U587" i="17" a="1"/>
  <c r="U587" i="17" s="1"/>
  <c r="U33" i="17" a="1"/>
  <c r="U33" i="17" s="1"/>
  <c r="U83" i="17" a="1"/>
  <c r="U83" i="17" s="1"/>
  <c r="U133" i="17" a="1"/>
  <c r="U133" i="17" s="1"/>
  <c r="U183" i="17" a="1"/>
  <c r="U183" i="17" s="1"/>
  <c r="U233" i="17" a="1"/>
  <c r="U233" i="17" s="1"/>
  <c r="U283" i="17" a="1"/>
  <c r="U283" i="17"/>
  <c r="U333" i="17" a="1"/>
  <c r="U333" i="17"/>
  <c r="U383" i="17" a="1"/>
  <c r="U383" i="17" s="1"/>
  <c r="U588" i="17" a="1"/>
  <c r="U588" i="17" s="1"/>
  <c r="U589" i="17" a="1"/>
  <c r="U589" i="17" s="1"/>
  <c r="U590" i="17" a="1"/>
  <c r="U590" i="17" s="1"/>
  <c r="U591" i="17" a="1"/>
  <c r="U591" i="17" s="1"/>
  <c r="U592" i="17" a="1"/>
  <c r="U592" i="17" s="1"/>
  <c r="U593" i="17" a="1"/>
  <c r="U593" i="17"/>
  <c r="U34" i="17" a="1"/>
  <c r="U34" i="17" s="1"/>
  <c r="U84" i="17" a="1"/>
  <c r="U84" i="17" s="1"/>
  <c r="U134" i="17" a="1"/>
  <c r="U134" i="17" s="1"/>
  <c r="U184" i="17" a="1"/>
  <c r="U184" i="17" s="1"/>
  <c r="U234" i="17" a="1"/>
  <c r="U234" i="17" s="1"/>
  <c r="U284" i="17" a="1"/>
  <c r="U284" i="17" s="1"/>
  <c r="U334" i="17" a="1"/>
  <c r="U334" i="17" s="1"/>
  <c r="U384" i="17" a="1"/>
  <c r="U384" i="17" s="1"/>
  <c r="U594" i="17" a="1"/>
  <c r="U594" i="17" s="1"/>
  <c r="U595" i="17" a="1"/>
  <c r="U595" i="17" s="1"/>
  <c r="U596" i="17" a="1"/>
  <c r="U596" i="17" s="1"/>
  <c r="U597" i="17" a="1"/>
  <c r="U597" i="17" s="1"/>
  <c r="U598" i="17" a="1"/>
  <c r="U598" i="17" s="1"/>
  <c r="U599" i="17" a="1"/>
  <c r="U599" i="17" s="1"/>
  <c r="U35" i="17" a="1"/>
  <c r="U35" i="17" s="1"/>
  <c r="U85" i="17" a="1"/>
  <c r="U85" i="17" s="1"/>
  <c r="U135" i="17" a="1"/>
  <c r="U135" i="17" s="1"/>
  <c r="U185" i="17" a="1"/>
  <c r="U185" i="17" s="1"/>
  <c r="U235" i="17" a="1"/>
  <c r="U235" i="17" s="1"/>
  <c r="U285" i="17" a="1"/>
  <c r="U285" i="17" s="1"/>
  <c r="U335" i="17" a="1"/>
  <c r="U335" i="17" s="1"/>
  <c r="U385" i="17" a="1"/>
  <c r="U385" i="17" s="1"/>
  <c r="U600" i="17" a="1"/>
  <c r="U600" i="17" s="1"/>
  <c r="U601" i="17" a="1"/>
  <c r="U601" i="17"/>
  <c r="U602" i="17" a="1"/>
  <c r="U602" i="17"/>
  <c r="U603" i="17" a="1"/>
  <c r="U603" i="17" s="1"/>
  <c r="U604" i="17" a="1"/>
  <c r="U604" i="17" s="1"/>
  <c r="U605" i="17" a="1"/>
  <c r="U605" i="17" s="1"/>
  <c r="U36" i="17" a="1"/>
  <c r="U36" i="17" s="1"/>
  <c r="U86" i="17" a="1"/>
  <c r="U86" i="17" s="1"/>
  <c r="U136" i="17" a="1"/>
  <c r="U136" i="17" s="1"/>
  <c r="U186" i="17" a="1"/>
  <c r="U186" i="17" s="1"/>
  <c r="U236" i="17" a="1"/>
  <c r="U236" i="17"/>
  <c r="U286" i="17" a="1"/>
  <c r="U286" i="17" s="1"/>
  <c r="U336" i="17" a="1"/>
  <c r="U336" i="17" s="1"/>
  <c r="U386" i="17" a="1"/>
  <c r="U386" i="17" s="1"/>
  <c r="U606" i="17" a="1"/>
  <c r="U606" i="17" s="1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37" i="17" a="1"/>
  <c r="U37" i="17" s="1"/>
  <c r="U87" i="17" a="1"/>
  <c r="U87" i="17" s="1"/>
  <c r="U137" i="17" a="1"/>
  <c r="U137" i="17" s="1"/>
  <c r="U187" i="17" a="1"/>
  <c r="U187" i="17" s="1"/>
  <c r="U237" i="17" a="1"/>
  <c r="U237" i="17" s="1"/>
  <c r="U287" i="17" a="1"/>
  <c r="U287" i="17"/>
  <c r="U337" i="17" a="1"/>
  <c r="U337" i="17"/>
  <c r="U387" i="17" a="1"/>
  <c r="U387" i="17" s="1"/>
  <c r="U612" i="17" a="1"/>
  <c r="U612" i="17" s="1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38" i="17" a="1"/>
  <c r="U38" i="17" s="1"/>
  <c r="U88" i="17" a="1"/>
  <c r="U88" i="17" s="1"/>
  <c r="U138" i="17" a="1"/>
  <c r="U138" i="17" s="1"/>
  <c r="U188" i="17" a="1"/>
  <c r="U188" i="17" s="1"/>
  <c r="U238" i="17" a="1"/>
  <c r="U238" i="17" s="1"/>
  <c r="U288" i="17" a="1"/>
  <c r="U288" i="17" s="1"/>
  <c r="U338" i="17" a="1"/>
  <c r="U338" i="17" s="1"/>
  <c r="U388" i="17" a="1"/>
  <c r="U388" i="17" s="1"/>
  <c r="U618" i="17" a="1"/>
  <c r="U618" i="17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39" i="17" a="1"/>
  <c r="U39" i="17" s="1"/>
  <c r="U89" i="17" a="1"/>
  <c r="U89" i="17" s="1"/>
  <c r="U139" i="17" a="1"/>
  <c r="U139" i="17" s="1"/>
  <c r="U189" i="17" a="1"/>
  <c r="U189" i="17" s="1"/>
  <c r="U239" i="17" a="1"/>
  <c r="U239" i="17" s="1"/>
  <c r="U289" i="17" a="1"/>
  <c r="U289" i="17" s="1"/>
  <c r="U339" i="17" a="1"/>
  <c r="U339" i="17" s="1"/>
  <c r="U389" i="17" a="1"/>
  <c r="U389" i="17" s="1"/>
  <c r="U624" i="17" a="1"/>
  <c r="U62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 s="1"/>
  <c r="U40" i="17" a="1"/>
  <c r="U40" i="17" s="1"/>
  <c r="U90" i="17" a="1"/>
  <c r="U90" i="17" s="1"/>
  <c r="U140" i="17" a="1"/>
  <c r="U140" i="17" s="1"/>
  <c r="U190" i="17" a="1"/>
  <c r="U190" i="17" s="1"/>
  <c r="U240" i="17" a="1"/>
  <c r="U240" i="17" s="1"/>
  <c r="U290" i="17" a="1"/>
  <c r="U290" i="17" s="1"/>
  <c r="U340" i="17" a="1"/>
  <c r="U340" i="17" s="1"/>
  <c r="U390" i="17" a="1"/>
  <c r="U390" i="17" s="1"/>
  <c r="U630" i="17" a="1"/>
  <c r="U630" i="17" s="1"/>
  <c r="U631" i="17" a="1"/>
  <c r="U631" i="17" s="1"/>
  <c r="U632" i="17" a="1"/>
  <c r="U632" i="17" s="1"/>
  <c r="U633" i="17" a="1"/>
  <c r="U633" i="17"/>
  <c r="U634" i="17" a="1"/>
  <c r="U634" i="17"/>
  <c r="U635" i="17" a="1"/>
  <c r="U635" i="17" s="1"/>
  <c r="U41" i="17" a="1"/>
  <c r="U41" i="17" s="1"/>
  <c r="U91" i="17" a="1"/>
  <c r="U91" i="17" s="1"/>
  <c r="U141" i="17" a="1"/>
  <c r="U141" i="17" s="1"/>
  <c r="U191" i="17" a="1"/>
  <c r="U191" i="17" s="1"/>
  <c r="U241" i="17" a="1"/>
  <c r="U241" i="17" s="1"/>
  <c r="U291" i="17" a="1"/>
  <c r="U291" i="17" s="1"/>
  <c r="U341" i="17" a="1"/>
  <c r="U341" i="17" s="1"/>
  <c r="U391" i="17" a="1"/>
  <c r="U391" i="17" s="1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 s="1"/>
  <c r="U641" i="17" a="1"/>
  <c r="U641" i="17"/>
  <c r="U42" i="17" a="1"/>
  <c r="U42" i="17"/>
  <c r="U92" i="17" a="1"/>
  <c r="U92" i="17" s="1"/>
  <c r="U142" i="17" a="1"/>
  <c r="U142" i="17" s="1"/>
  <c r="U192" i="17" a="1"/>
  <c r="U192" i="17" s="1"/>
  <c r="U242" i="17" a="1"/>
  <c r="U242" i="17" s="1"/>
  <c r="U292" i="17" a="1"/>
  <c r="U292" i="17" s="1"/>
  <c r="U342" i="17" a="1"/>
  <c r="U342" i="17" s="1"/>
  <c r="U392" i="17" a="1"/>
  <c r="U392" i="17" s="1"/>
  <c r="U642" i="17" a="1"/>
  <c r="U642" i="17" s="1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 s="1"/>
  <c r="U43" i="17" a="1"/>
  <c r="U43" i="17" s="1"/>
  <c r="U93" i="17" a="1"/>
  <c r="U93" i="17"/>
  <c r="U143" i="17" a="1"/>
  <c r="U143" i="17" s="1"/>
  <c r="U193" i="17" a="1"/>
  <c r="U193" i="17" s="1"/>
  <c r="U243" i="17" a="1"/>
  <c r="U243" i="17" s="1"/>
  <c r="U293" i="17" a="1"/>
  <c r="U293" i="17" s="1"/>
  <c r="U343" i="17" a="1"/>
  <c r="U343" i="17" s="1"/>
  <c r="U393" i="17" a="1"/>
  <c r="U393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 s="1"/>
  <c r="U44" i="17" a="1"/>
  <c r="U44" i="17" s="1"/>
  <c r="U94" i="17" a="1"/>
  <c r="U94" i="17" s="1"/>
  <c r="U144" i="17" a="1"/>
  <c r="U144" i="17" s="1"/>
  <c r="U194" i="17" a="1"/>
  <c r="U194" i="17" s="1"/>
  <c r="U244" i="17" a="1"/>
  <c r="U244" i="17" s="1"/>
  <c r="U294" i="17" a="1"/>
  <c r="U294" i="17" s="1"/>
  <c r="U344" i="17" a="1"/>
  <c r="U344" i="17" s="1"/>
  <c r="U394" i="17" a="1"/>
  <c r="U394" i="17" s="1"/>
  <c r="U654" i="17" a="1"/>
  <c r="U654" i="17" s="1"/>
  <c r="U655" i="17" a="1"/>
  <c r="U655" i="17" s="1"/>
  <c r="U656" i="17" a="1"/>
  <c r="U656" i="17" s="1"/>
  <c r="U657" i="17" a="1"/>
  <c r="U657" i="17"/>
  <c r="U658" i="17" a="1"/>
  <c r="U658" i="17"/>
  <c r="U659" i="17" a="1"/>
  <c r="U659" i="17" s="1"/>
  <c r="U45" i="17" a="1"/>
  <c r="U45" i="17" s="1"/>
  <c r="U95" i="17" a="1"/>
  <c r="U95" i="17" s="1"/>
  <c r="U145" i="17" a="1"/>
  <c r="U145" i="17" s="1"/>
  <c r="U195" i="17" a="1"/>
  <c r="U195" i="17" s="1"/>
  <c r="U245" i="17" a="1"/>
  <c r="U245" i="17" s="1"/>
  <c r="U295" i="17" a="1"/>
  <c r="U295" i="17" s="1"/>
  <c r="U345" i="17" a="1"/>
  <c r="U345" i="17"/>
  <c r="U395" i="17" a="1"/>
  <c r="U395" i="17" s="1"/>
  <c r="U660" i="17" a="1"/>
  <c r="U6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 s="1"/>
  <c r="U46" i="17" a="1"/>
  <c r="U46" i="17" s="1"/>
  <c r="U96" i="17" a="1"/>
  <c r="U96" i="17" s="1"/>
  <c r="U146" i="17" a="1"/>
  <c r="U146" i="17" s="1"/>
  <c r="U196" i="17" a="1"/>
  <c r="U196" i="17" s="1"/>
  <c r="U246" i="17" a="1"/>
  <c r="U246" i="17" s="1"/>
  <c r="U296" i="17" a="1"/>
  <c r="U296" i="17" s="1"/>
  <c r="U346" i="17" a="1"/>
  <c r="U346" i="17" s="1"/>
  <c r="U396" i="17" a="1"/>
  <c r="U396" i="17"/>
  <c r="U666" i="17" a="1"/>
  <c r="U666" i="17" s="1"/>
  <c r="U667" i="17" a="1"/>
  <c r="U667" i="17" s="1"/>
  <c r="U668" i="17" a="1"/>
  <c r="U668" i="17" s="1"/>
  <c r="U669" i="17" a="1"/>
  <c r="U669" i="17" s="1"/>
  <c r="U670" i="17" a="1"/>
  <c r="U670" i="17" s="1"/>
  <c r="U671" i="17" a="1"/>
  <c r="U671" i="17" s="1"/>
  <c r="U47" i="17" a="1"/>
  <c r="U47" i="17" s="1"/>
  <c r="U97" i="17" a="1"/>
  <c r="U97" i="17" s="1"/>
  <c r="U147" i="17" a="1"/>
  <c r="U147" i="17" s="1"/>
  <c r="U197" i="17" a="1"/>
  <c r="U197" i="17" s="1"/>
  <c r="U247" i="17" a="1"/>
  <c r="U247" i="17" s="1"/>
  <c r="U297" i="17" a="1"/>
  <c r="U297" i="17" s="1"/>
  <c r="U347" i="17" a="1"/>
  <c r="U347" i="17" s="1"/>
  <c r="U397" i="17" a="1"/>
  <c r="U397" i="17" s="1"/>
  <c r="U672" i="17" a="1"/>
  <c r="U672" i="17" s="1"/>
  <c r="U673" i="17" a="1"/>
  <c r="U673" i="17" s="1"/>
  <c r="U674" i="17" a="1"/>
  <c r="U674" i="17"/>
  <c r="U675" i="17" a="1"/>
  <c r="U675" i="17" s="1"/>
  <c r="U676" i="17" a="1"/>
  <c r="U676" i="17" s="1"/>
  <c r="U677" i="17" a="1"/>
  <c r="U677" i="17" s="1"/>
  <c r="U48" i="17" a="1"/>
  <c r="U48" i="17" s="1"/>
  <c r="U98" i="17" a="1"/>
  <c r="U98" i="17" s="1"/>
  <c r="U148" i="17" a="1"/>
  <c r="U148" i="17" s="1"/>
  <c r="U198" i="17" a="1"/>
  <c r="U198" i="17" s="1"/>
  <c r="U248" i="17" a="1"/>
  <c r="U248" i="17" s="1"/>
  <c r="U298" i="17" a="1"/>
  <c r="U298" i="17" s="1"/>
  <c r="U348" i="17" a="1"/>
  <c r="U348" i="17" s="1"/>
  <c r="U398" i="17" a="1"/>
  <c r="U398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 s="1"/>
  <c r="U683" i="17" a="1"/>
  <c r="U683" i="17" s="1"/>
  <c r="U49" i="17" a="1"/>
  <c r="U49" i="17" s="1"/>
  <c r="U99" i="17" a="1"/>
  <c r="U99" i="17" s="1"/>
  <c r="U149" i="17" a="1"/>
  <c r="U149" i="17" s="1"/>
  <c r="U199" i="17" a="1"/>
  <c r="U199" i="17" s="1"/>
  <c r="U249" i="17" a="1"/>
  <c r="U249" i="17" s="1"/>
  <c r="U299" i="17" a="1"/>
  <c r="U299" i="17" s="1"/>
  <c r="U349" i="17" a="1"/>
  <c r="U349" i="17" s="1"/>
  <c r="U399" i="17" a="1"/>
  <c r="U399" i="17" s="1"/>
  <c r="U684" i="17" a="1"/>
  <c r="U684" i="17" s="1"/>
  <c r="U685" i="17" a="1"/>
  <c r="U685" i="17" s="1"/>
  <c r="U686" i="17" a="1"/>
  <c r="U686" i="17" s="1"/>
  <c r="U687" i="17" a="1"/>
  <c r="U687" i="17" s="1"/>
  <c r="U688" i="17" a="1"/>
  <c r="U688" i="17" s="1"/>
  <c r="U689" i="17" a="1"/>
  <c r="U689" i="17" s="1"/>
  <c r="U50" i="17" a="1"/>
  <c r="U50" i="17"/>
  <c r="U100" i="17" a="1"/>
  <c r="U100" i="17" s="1"/>
  <c r="U150" i="17" a="1"/>
  <c r="U150" i="17" s="1"/>
  <c r="U200" i="17" a="1"/>
  <c r="U200" i="17" s="1"/>
  <c r="U250" i="17" a="1"/>
  <c r="U250" i="17" s="1"/>
  <c r="U300" i="17" a="1"/>
  <c r="U300" i="17" s="1"/>
  <c r="U350" i="17" a="1"/>
  <c r="U350" i="17" s="1"/>
  <c r="U400" i="17" a="1"/>
  <c r="U400" i="17" s="1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 s="1"/>
  <c r="U51" i="17" a="1"/>
  <c r="U51" i="17" s="1"/>
  <c r="U101" i="17" a="1"/>
  <c r="U101" i="17"/>
  <c r="U151" i="17" a="1"/>
  <c r="U151" i="17"/>
  <c r="U201" i="17" a="1"/>
  <c r="U201" i="17" s="1"/>
  <c r="U251" i="17" a="1"/>
  <c r="U251" i="17" s="1"/>
  <c r="U301" i="17" a="1"/>
  <c r="U301" i="17" s="1"/>
  <c r="U351" i="17" a="1"/>
  <c r="U351" i="17" s="1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V2" i="17" a="1"/>
  <c r="V2" i="17" s="1"/>
  <c r="V52" i="17" a="1"/>
  <c r="V52" i="17"/>
  <c r="V102" i="17" a="1"/>
  <c r="V102" i="17" s="1"/>
  <c r="V152" i="17" a="1"/>
  <c r="V152" i="17"/>
  <c r="V202" i="17" a="1"/>
  <c r="V202" i="17"/>
  <c r="V252" i="17" a="1"/>
  <c r="V252" i="17" s="1"/>
  <c r="V302" i="17" a="1"/>
  <c r="V302" i="17" s="1"/>
  <c r="V352" i="17" a="1"/>
  <c r="V352" i="17" s="1"/>
  <c r="V402" i="17" a="1"/>
  <c r="V402" i="17" s="1"/>
  <c r="V403" i="17" a="1"/>
  <c r="V403" i="17" s="1"/>
  <c r="V404" i="17" a="1"/>
  <c r="V404" i="17" s="1"/>
  <c r="V405" i="17" a="1"/>
  <c r="V405" i="17" s="1"/>
  <c r="V406" i="17" a="1"/>
  <c r="V406" i="17" s="1"/>
  <c r="V407" i="17" a="1"/>
  <c r="V407" i="17" s="1"/>
  <c r="V3" i="17" a="1"/>
  <c r="V3" i="17" s="1"/>
  <c r="V53" i="17" a="1"/>
  <c r="V53" i="17" s="1"/>
  <c r="V103" i="17" a="1"/>
  <c r="V103" i="17" s="1"/>
  <c r="V153" i="17" a="1"/>
  <c r="V153" i="17" s="1"/>
  <c r="V203" i="17" a="1"/>
  <c r="V203" i="17" s="1"/>
  <c r="V253" i="17" a="1"/>
  <c r="V253" i="17" s="1"/>
  <c r="V303" i="17" a="1"/>
  <c r="V303" i="17" s="1"/>
  <c r="V353" i="17" a="1"/>
  <c r="V353" i="17" s="1"/>
  <c r="V408" i="17" a="1"/>
  <c r="V408" i="17" s="1"/>
  <c r="V409" i="17" a="1"/>
  <c r="V409" i="17" s="1"/>
  <c r="V410" i="17" a="1"/>
  <c r="V410" i="17" s="1"/>
  <c r="V411" i="17" a="1"/>
  <c r="V411" i="17" s="1"/>
  <c r="V412" i="17" a="1"/>
  <c r="V412" i="17" s="1"/>
  <c r="V413" i="17" a="1"/>
  <c r="V413" i="17" s="1"/>
  <c r="V4" i="17" a="1"/>
  <c r="V4" i="17" s="1"/>
  <c r="V54" i="17" a="1"/>
  <c r="V54" i="17" s="1"/>
  <c r="V104" i="17" a="1"/>
  <c r="V104" i="17" s="1"/>
  <c r="V154" i="17" a="1"/>
  <c r="V154" i="17" s="1"/>
  <c r="V204" i="17" a="1"/>
  <c r="V204" i="17" s="1"/>
  <c r="V254" i="17" a="1"/>
  <c r="V254" i="17" s="1"/>
  <c r="V304" i="17" a="1"/>
  <c r="V304" i="17" s="1"/>
  <c r="V354" i="17" a="1"/>
  <c r="V354" i="17" s="1"/>
  <c r="V414" i="17" a="1"/>
  <c r="V414" i="17" s="1"/>
  <c r="V415" i="17" a="1"/>
  <c r="V415" i="17" s="1"/>
  <c r="V416" i="17" a="1"/>
  <c r="V416" i="17" s="1"/>
  <c r="V417" i="17" a="1"/>
  <c r="V417" i="17" s="1"/>
  <c r="V418" i="17" a="1"/>
  <c r="V418" i="17" s="1"/>
  <c r="V419" i="17" a="1"/>
  <c r="V419" i="17" s="1"/>
  <c r="V5" i="17" a="1"/>
  <c r="V5" i="17" s="1"/>
  <c r="V55" i="17" a="1"/>
  <c r="V55" i="17" s="1"/>
  <c r="V105" i="17" a="1"/>
  <c r="V105" i="17" s="1"/>
  <c r="V155" i="17" a="1"/>
  <c r="V155" i="17" s="1"/>
  <c r="V205" i="17" a="1"/>
  <c r="V205" i="17" s="1"/>
  <c r="V255" i="17" a="1"/>
  <c r="V255" i="17" s="1"/>
  <c r="V305" i="17" a="1"/>
  <c r="V305" i="17" s="1"/>
  <c r="V355" i="17" a="1"/>
  <c r="V355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6" i="17" a="1"/>
  <c r="V6" i="17" s="1"/>
  <c r="V56" i="17" a="1"/>
  <c r="V56" i="17" s="1"/>
  <c r="V106" i="17" a="1"/>
  <c r="V106" i="17" s="1"/>
  <c r="V156" i="17" a="1"/>
  <c r="V156" i="17" s="1"/>
  <c r="V206" i="17" a="1"/>
  <c r="V206" i="17" s="1"/>
  <c r="V256" i="17" a="1"/>
  <c r="V256" i="17" s="1"/>
  <c r="V306" i="17" a="1"/>
  <c r="V306" i="17" s="1"/>
  <c r="V356" i="17" a="1"/>
  <c r="V356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/>
  <c r="V431" i="17" a="1"/>
  <c r="V431" i="17" s="1"/>
  <c r="V7" i="17" a="1"/>
  <c r="V7" i="17" s="1"/>
  <c r="V57" i="17" a="1"/>
  <c r="V57" i="17" s="1"/>
  <c r="V107" i="17" a="1"/>
  <c r="V107" i="17" s="1"/>
  <c r="V157" i="17" a="1"/>
  <c r="V157" i="17" s="1"/>
  <c r="V207" i="17" a="1"/>
  <c r="V207" i="17" s="1"/>
  <c r="V257" i="17" a="1"/>
  <c r="V257" i="17" s="1"/>
  <c r="V307" i="17" a="1"/>
  <c r="V307" i="17" s="1"/>
  <c r="V357" i="17" a="1"/>
  <c r="V357" i="17" s="1"/>
  <c r="V432" i="17" a="1"/>
  <c r="V432" i="17" s="1"/>
  <c r="V433" i="17" a="1"/>
  <c r="V433" i="17" s="1"/>
  <c r="V434" i="17" a="1"/>
  <c r="V434" i="17" s="1"/>
  <c r="V435" i="17" a="1"/>
  <c r="V435" i="17" s="1"/>
  <c r="V436" i="17" a="1"/>
  <c r="V436" i="17" s="1"/>
  <c r="V437" i="17" a="1"/>
  <c r="V437" i="17" s="1"/>
  <c r="V8" i="17" a="1"/>
  <c r="V8" i="17" s="1"/>
  <c r="V58" i="17" a="1"/>
  <c r="V58" i="17" s="1"/>
  <c r="V108" i="17" a="1"/>
  <c r="V108" i="17" s="1"/>
  <c r="V158" i="17" a="1"/>
  <c r="V158" i="17" s="1"/>
  <c r="V208" i="17" a="1"/>
  <c r="V208" i="17" s="1"/>
  <c r="V258" i="17" a="1"/>
  <c r="V258" i="17" s="1"/>
  <c r="V308" i="17" a="1"/>
  <c r="V308" i="17" s="1"/>
  <c r="V358" i="17" a="1"/>
  <c r="V358" i="17" s="1"/>
  <c r="V438" i="17" a="1"/>
  <c r="V438" i="17" s="1"/>
  <c r="V439" i="17" a="1"/>
  <c r="V439" i="17" s="1"/>
  <c r="V440" i="17" a="1"/>
  <c r="V440" i="17" s="1"/>
  <c r="V441" i="17" a="1"/>
  <c r="V441" i="17" s="1"/>
  <c r="V442" i="17" a="1"/>
  <c r="V442" i="17" s="1"/>
  <c r="V443" i="17" a="1"/>
  <c r="V443" i="17" s="1"/>
  <c r="V9" i="17" a="1"/>
  <c r="V9" i="17" s="1"/>
  <c r="V59" i="17" a="1"/>
  <c r="V59" i="17"/>
  <c r="V109" i="17" a="1"/>
  <c r="V109" i="17" s="1"/>
  <c r="V159" i="17" a="1"/>
  <c r="V159" i="17" s="1"/>
  <c r="V209" i="17" a="1"/>
  <c r="V209" i="17" s="1"/>
  <c r="V259" i="17" a="1"/>
  <c r="V259" i="17" s="1"/>
  <c r="V309" i="17" a="1"/>
  <c r="V309" i="17" s="1"/>
  <c r="V359" i="17" a="1"/>
  <c r="V359" i="17" s="1"/>
  <c r="V444" i="17" a="1"/>
  <c r="V444" i="17" s="1"/>
  <c r="V445" i="17" a="1"/>
  <c r="V445" i="17" s="1"/>
  <c r="V446" i="17" a="1"/>
  <c r="V446" i="17" s="1"/>
  <c r="V447" i="17" a="1"/>
  <c r="V447" i="17" s="1"/>
  <c r="V448" i="17" a="1"/>
  <c r="V448" i="17" s="1"/>
  <c r="V449" i="17" a="1"/>
  <c r="V449" i="17" s="1"/>
  <c r="V10" i="17" a="1"/>
  <c r="V10" i="17" s="1"/>
  <c r="V60" i="17" a="1"/>
  <c r="V60" i="17" s="1"/>
  <c r="V110" i="17" a="1"/>
  <c r="V110" i="17" s="1"/>
  <c r="V160" i="17" a="1"/>
  <c r="V160" i="17" s="1"/>
  <c r="V210" i="17" a="1"/>
  <c r="V210" i="17" s="1"/>
  <c r="V260" i="17" a="1"/>
  <c r="V260" i="17" s="1"/>
  <c r="V310" i="17" a="1"/>
  <c r="V310" i="17" s="1"/>
  <c r="V360" i="17" a="1"/>
  <c r="V360" i="17" s="1"/>
  <c r="V450" i="17" a="1"/>
  <c r="V450" i="17" s="1"/>
  <c r="V451" i="17" a="1"/>
  <c r="V451" i="17"/>
  <c r="V452" i="17" a="1"/>
  <c r="V452" i="17" s="1"/>
  <c r="V453" i="17" a="1"/>
  <c r="V453" i="17" s="1"/>
  <c r="V454" i="17" a="1"/>
  <c r="V454" i="17"/>
  <c r="V455" i="17" a="1"/>
  <c r="V455" i="17" s="1"/>
  <c r="V11" i="17" a="1"/>
  <c r="V11" i="17" s="1"/>
  <c r="V61" i="17" a="1"/>
  <c r="V61" i="17" s="1"/>
  <c r="V111" i="17" a="1"/>
  <c r="V111" i="17" s="1"/>
  <c r="V161" i="17" a="1"/>
  <c r="V161" i="17" s="1"/>
  <c r="V211" i="17" a="1"/>
  <c r="V211" i="17" s="1"/>
  <c r="V261" i="17" a="1"/>
  <c r="V261" i="17" s="1"/>
  <c r="V311" i="17" a="1"/>
  <c r="V311" i="17" s="1"/>
  <c r="V361" i="17" a="1"/>
  <c r="V361" i="17" s="1"/>
  <c r="V456" i="17" a="1"/>
  <c r="V456" i="17" s="1"/>
  <c r="V457" i="17" a="1"/>
  <c r="V457" i="17"/>
  <c r="V458" i="17" a="1"/>
  <c r="V458" i="17" s="1"/>
  <c r="V459" i="17" a="1"/>
  <c r="V459" i="17" s="1"/>
  <c r="V460" i="17" a="1"/>
  <c r="V460" i="17"/>
  <c r="V461" i="17" a="1"/>
  <c r="V461" i="17" s="1"/>
  <c r="V12" i="17" a="1"/>
  <c r="V12" i="17" s="1"/>
  <c r="V62" i="17" a="1"/>
  <c r="V62" i="17" s="1"/>
  <c r="V112" i="17" a="1"/>
  <c r="V112" i="17" s="1"/>
  <c r="V162" i="17" a="1"/>
  <c r="V162" i="17" s="1"/>
  <c r="V212" i="17" a="1"/>
  <c r="V212" i="17" s="1"/>
  <c r="V262" i="17" a="1"/>
  <c r="V262" i="17" s="1"/>
  <c r="V312" i="17" a="1"/>
  <c r="V312" i="17" s="1"/>
  <c r="V362" i="17" a="1"/>
  <c r="V362" i="17" s="1"/>
  <c r="V462" i="17" a="1"/>
  <c r="V462" i="17" s="1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 s="1"/>
  <c r="V13" i="17" a="1"/>
  <c r="V13" i="17" s="1"/>
  <c r="V63" i="17" a="1"/>
  <c r="V63" i="17" s="1"/>
  <c r="V113" i="17" a="1"/>
  <c r="V113" i="17" s="1"/>
  <c r="V163" i="17" a="1"/>
  <c r="V163" i="17" s="1"/>
  <c r="V213" i="17" a="1"/>
  <c r="V213" i="17" s="1"/>
  <c r="V263" i="17" a="1"/>
  <c r="V263" i="17" s="1"/>
  <c r="V313" i="17" a="1"/>
  <c r="V313" i="17" s="1"/>
  <c r="V363" i="17" a="1"/>
  <c r="V363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/>
  <c r="V473" i="17" a="1"/>
  <c r="V473" i="17" s="1"/>
  <c r="V14" i="17" a="1"/>
  <c r="V14" i="17"/>
  <c r="V64" i="17" a="1"/>
  <c r="V64" i="17"/>
  <c r="V114" i="17" a="1"/>
  <c r="V114" i="17" s="1"/>
  <c r="V164" i="17" a="1"/>
  <c r="V164" i="17" s="1"/>
  <c r="V214" i="17" a="1"/>
  <c r="V214" i="17" s="1"/>
  <c r="V264" i="17" a="1"/>
  <c r="V264" i="17" s="1"/>
  <c r="V314" i="17" a="1"/>
  <c r="V314" i="17" s="1"/>
  <c r="V364" i="17" a="1"/>
  <c r="V364" i="17" s="1"/>
  <c r="V474" i="17" a="1"/>
  <c r="V474" i="17" s="1"/>
  <c r="V475" i="17" a="1"/>
  <c r="V475" i="17" s="1"/>
  <c r="V476" i="17" a="1"/>
  <c r="V476" i="17" s="1"/>
  <c r="V477" i="17" a="1"/>
  <c r="V477" i="17" s="1"/>
  <c r="V478" i="17" a="1"/>
  <c r="V478" i="17" s="1"/>
  <c r="V479" i="17" a="1"/>
  <c r="V479" i="17" s="1"/>
  <c r="V15" i="17" a="1"/>
  <c r="V15" i="17" s="1"/>
  <c r="V65" i="17" a="1"/>
  <c r="V65" i="17" s="1"/>
  <c r="V115" i="17" a="1"/>
  <c r="V115" i="17" s="1"/>
  <c r="V165" i="17" a="1"/>
  <c r="V165" i="17" s="1"/>
  <c r="V215" i="17" a="1"/>
  <c r="V215" i="17" s="1"/>
  <c r="V265" i="17" a="1"/>
  <c r="V265" i="17"/>
  <c r="V315" i="17" a="1"/>
  <c r="V315" i="17" s="1"/>
  <c r="V365" i="17" a="1"/>
  <c r="V365" i="17" s="1"/>
  <c r="V480" i="17" a="1"/>
  <c r="V480" i="17" s="1"/>
  <c r="V481" i="17" a="1"/>
  <c r="V481" i="17" s="1"/>
  <c r="V482" i="17" a="1"/>
  <c r="V482" i="17" s="1"/>
  <c r="V483" i="17" a="1"/>
  <c r="V483" i="17" s="1"/>
  <c r="V484" i="17" a="1"/>
  <c r="V484" i="17" s="1"/>
  <c r="V485" i="17" a="1"/>
  <c r="V485" i="17" s="1"/>
  <c r="V16" i="17" a="1"/>
  <c r="V16" i="17" s="1"/>
  <c r="V66" i="17" a="1"/>
  <c r="V66" i="17" s="1"/>
  <c r="V116" i="17" a="1"/>
  <c r="V116" i="17" s="1"/>
  <c r="V166" i="17" a="1"/>
  <c r="V166" i="17"/>
  <c r="V216" i="17" a="1"/>
  <c r="V216" i="17" s="1"/>
  <c r="V266" i="17" a="1"/>
  <c r="V266" i="17" s="1"/>
  <c r="V316" i="17" a="1"/>
  <c r="V316" i="17" s="1"/>
  <c r="V366" i="17" a="1"/>
  <c r="V366" i="17" s="1"/>
  <c r="V486" i="17" a="1"/>
  <c r="V486" i="17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17" i="17" a="1"/>
  <c r="V17" i="17" s="1"/>
  <c r="V67" i="17" a="1"/>
  <c r="V67" i="17" s="1"/>
  <c r="V117" i="17" a="1"/>
  <c r="V117" i="17" s="1"/>
  <c r="V167" i="17" a="1"/>
  <c r="V167" i="17" s="1"/>
  <c r="V217" i="17" a="1"/>
  <c r="V217" i="17" s="1"/>
  <c r="V267" i="17" a="1"/>
  <c r="V267" i="17" s="1"/>
  <c r="V317" i="17" a="1"/>
  <c r="V317" i="17" s="1"/>
  <c r="V367" i="17" a="1"/>
  <c r="V367" i="17"/>
  <c r="V492" i="17" a="1"/>
  <c r="V492" i="17"/>
  <c r="V493" i="17" a="1"/>
  <c r="V493" i="17" s="1"/>
  <c r="V494" i="17" a="1"/>
  <c r="V494" i="17"/>
  <c r="V495" i="17" a="1"/>
  <c r="V495" i="17" s="1"/>
  <c r="V496" i="17" a="1"/>
  <c r="V496" i="17" s="1"/>
  <c r="V497" i="17" a="1"/>
  <c r="V497" i="17" s="1"/>
  <c r="V18" i="17" a="1"/>
  <c r="V18" i="17" s="1"/>
  <c r="V68" i="17" a="1"/>
  <c r="V68" i="17" s="1"/>
  <c r="V118" i="17" a="1"/>
  <c r="V118" i="17" s="1"/>
  <c r="V168" i="17" a="1"/>
  <c r="V168" i="17" s="1"/>
  <c r="V218" i="17" a="1"/>
  <c r="V218" i="17" s="1"/>
  <c r="V268" i="17" a="1"/>
  <c r="V268" i="17" s="1"/>
  <c r="V318" i="17" a="1"/>
  <c r="V318" i="17"/>
  <c r="V368" i="17" a="1"/>
  <c r="V368" i="17" s="1"/>
  <c r="V498" i="17" a="1"/>
  <c r="V498" i="17" s="1"/>
  <c r="V499" i="17" a="1"/>
  <c r="V499" i="17"/>
  <c r="V500" i="17" a="1"/>
  <c r="V500" i="17" s="1"/>
  <c r="V501" i="17" a="1"/>
  <c r="V501" i="17" s="1"/>
  <c r="V502" i="17" a="1"/>
  <c r="V502" i="17" s="1"/>
  <c r="V503" i="17" a="1"/>
  <c r="V503" i="17" s="1"/>
  <c r="V19" i="17" a="1"/>
  <c r="V19" i="17" s="1"/>
  <c r="V69" i="17" a="1"/>
  <c r="V69" i="17" s="1"/>
  <c r="V119" i="17" a="1"/>
  <c r="V119" i="17" s="1"/>
  <c r="V169" i="17" a="1"/>
  <c r="V169" i="17" s="1"/>
  <c r="V219" i="17" a="1"/>
  <c r="V219" i="17" s="1"/>
  <c r="V269" i="17" a="1"/>
  <c r="V269" i="17" s="1"/>
  <c r="V319" i="17" a="1"/>
  <c r="V319" i="17" s="1"/>
  <c r="V369" i="17" a="1"/>
  <c r="V369" i="17" s="1"/>
  <c r="V504" i="17" a="1"/>
  <c r="V504" i="17" s="1"/>
  <c r="V505" i="17" a="1"/>
  <c r="V505" i="17" s="1"/>
  <c r="V506" i="17" a="1"/>
  <c r="V506" i="17" s="1"/>
  <c r="V507" i="17" a="1"/>
  <c r="V507" i="17" s="1"/>
  <c r="V508" i="17" a="1"/>
  <c r="V508" i="17" s="1"/>
  <c r="V509" i="17" a="1"/>
  <c r="V509" i="17" s="1"/>
  <c r="V20" i="17" a="1"/>
  <c r="V20" i="17" s="1"/>
  <c r="V70" i="17" a="1"/>
  <c r="V70" i="17" s="1"/>
  <c r="V120" i="17" a="1"/>
  <c r="V120" i="17" s="1"/>
  <c r="V170" i="17" a="1"/>
  <c r="V170" i="17" s="1"/>
  <c r="V220" i="17" a="1"/>
  <c r="V220" i="17" s="1"/>
  <c r="V270" i="17" a="1"/>
  <c r="V270" i="17" s="1"/>
  <c r="V320" i="17" a="1"/>
  <c r="V320" i="17" s="1"/>
  <c r="V370" i="17" a="1"/>
  <c r="V370" i="17" s="1"/>
  <c r="V510" i="17" a="1"/>
  <c r="V510" i="17" s="1"/>
  <c r="V511" i="17" a="1"/>
  <c r="V511" i="17" s="1"/>
  <c r="V512" i="17" a="1"/>
  <c r="V512" i="17" s="1"/>
  <c r="V513" i="17" a="1"/>
  <c r="V513" i="17" s="1"/>
  <c r="V514" i="17" a="1"/>
  <c r="V514" i="17" s="1"/>
  <c r="V515" i="17" a="1"/>
  <c r="V515" i="17" s="1"/>
  <c r="V21" i="17" a="1"/>
  <c r="V21" i="17" s="1"/>
  <c r="V71" i="17" a="1"/>
  <c r="V71" i="17" s="1"/>
  <c r="V121" i="17" a="1"/>
  <c r="V121" i="17" s="1"/>
  <c r="V171" i="17" a="1"/>
  <c r="V171" i="17" s="1"/>
  <c r="V221" i="17" a="1"/>
  <c r="V221" i="17" s="1"/>
  <c r="V271" i="17" a="1"/>
  <c r="V271" i="17" s="1"/>
  <c r="V321" i="17" a="1"/>
  <c r="V321" i="17" s="1"/>
  <c r="V371" i="17" a="1"/>
  <c r="V371" i="17" s="1"/>
  <c r="V516" i="17" a="1"/>
  <c r="V516" i="17" s="1"/>
  <c r="V517" i="17" a="1"/>
  <c r="V517" i="17" s="1"/>
  <c r="V518" i="17" a="1"/>
  <c r="V518" i="17" s="1"/>
  <c r="V519" i="17" a="1"/>
  <c r="V519" i="17" s="1"/>
  <c r="V520" i="17" a="1"/>
  <c r="V520" i="17" s="1"/>
  <c r="V521" i="17" a="1"/>
  <c r="V521" i="17"/>
  <c r="V22" i="17" a="1"/>
  <c r="V22" i="17" s="1"/>
  <c r="V72" i="17" a="1"/>
  <c r="V72" i="17" s="1"/>
  <c r="V122" i="17" a="1"/>
  <c r="V122" i="17" s="1"/>
  <c r="V172" i="17" a="1"/>
  <c r="V172" i="17" s="1"/>
  <c r="V222" i="17" a="1"/>
  <c r="V222" i="17"/>
  <c r="V272" i="17" a="1"/>
  <c r="V272" i="17" s="1"/>
  <c r="V322" i="17" a="1"/>
  <c r="V322" i="17" s="1"/>
  <c r="V372" i="17" a="1"/>
  <c r="V372" i="17" s="1"/>
  <c r="V522" i="17" a="1"/>
  <c r="V522" i="17" s="1"/>
  <c r="V523" i="17" a="1"/>
  <c r="V523" i="17" s="1"/>
  <c r="V524" i="17" a="1"/>
  <c r="V524" i="17" s="1"/>
  <c r="V525" i="17" a="1"/>
  <c r="V525" i="17" s="1"/>
  <c r="V526" i="17" a="1"/>
  <c r="V526" i="17" s="1"/>
  <c r="V527" i="17" a="1"/>
  <c r="V527" i="17" s="1"/>
  <c r="V23" i="17" a="1"/>
  <c r="V23" i="17" s="1"/>
  <c r="V73" i="17" a="1"/>
  <c r="V73" i="17" s="1"/>
  <c r="V123" i="17" a="1"/>
  <c r="V123" i="17" s="1"/>
  <c r="V173" i="17" a="1"/>
  <c r="V173" i="17" s="1"/>
  <c r="V223" i="17" a="1"/>
  <c r="V223" i="17" s="1"/>
  <c r="V273" i="17" a="1"/>
  <c r="V273" i="17" s="1"/>
  <c r="V323" i="17" a="1"/>
  <c r="V323" i="17" s="1"/>
  <c r="V373" i="17" a="1"/>
  <c r="V373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24" i="17" a="1"/>
  <c r="V24" i="17" s="1"/>
  <c r="V74" i="17" a="1"/>
  <c r="V74" i="17" s="1"/>
  <c r="V124" i="17" a="1"/>
  <c r="V124" i="17" s="1"/>
  <c r="V174" i="17" a="1"/>
  <c r="V174" i="17" s="1"/>
  <c r="V224" i="17" a="1"/>
  <c r="V224" i="17"/>
  <c r="V274" i="17" a="1"/>
  <c r="V274" i="17" s="1"/>
  <c r="V324" i="17" a="1"/>
  <c r="V324" i="17" s="1"/>
  <c r="V374" i="17" a="1"/>
  <c r="V374" i="17" s="1"/>
  <c r="V534" i="17" a="1"/>
  <c r="V534" i="17" s="1"/>
  <c r="V535" i="17" a="1"/>
  <c r="V535" i="17" s="1"/>
  <c r="V536" i="17" a="1"/>
  <c r="V536" i="17" s="1"/>
  <c r="V537" i="17" a="1"/>
  <c r="V537" i="17" s="1"/>
  <c r="V538" i="17" a="1"/>
  <c r="V538" i="17" s="1"/>
  <c r="V539" i="17" a="1"/>
  <c r="V539" i="17" s="1"/>
  <c r="V25" i="17" a="1"/>
  <c r="V25" i="17" s="1"/>
  <c r="V75" i="17" a="1"/>
  <c r="V75" i="17" s="1"/>
  <c r="V125" i="17" a="1"/>
  <c r="V125" i="17" s="1"/>
  <c r="V175" i="17" a="1"/>
  <c r="V175" i="17" s="1"/>
  <c r="V225" i="17" a="1"/>
  <c r="V225" i="17"/>
  <c r="V275" i="17" a="1"/>
  <c r="V275" i="17" s="1"/>
  <c r="V325" i="17" a="1"/>
  <c r="V325" i="17" s="1"/>
  <c r="V375" i="17" a="1"/>
  <c r="V375" i="17" s="1"/>
  <c r="V540" i="17" a="1"/>
  <c r="V540" i="17" s="1"/>
  <c r="V541" i="17" a="1"/>
  <c r="V541" i="17" s="1"/>
  <c r="V542" i="17" a="1"/>
  <c r="V542" i="17"/>
  <c r="V543" i="17" a="1"/>
  <c r="V543" i="17" s="1"/>
  <c r="V544" i="17" a="1"/>
  <c r="V544" i="17" s="1"/>
  <c r="V545" i="17" a="1"/>
  <c r="V545" i="17" s="1"/>
  <c r="V26" i="17" a="1"/>
  <c r="V26" i="17" s="1"/>
  <c r="V76" i="17" a="1"/>
  <c r="V76" i="17" s="1"/>
  <c r="V126" i="17" a="1"/>
  <c r="V126" i="17" s="1"/>
  <c r="V176" i="17" a="1"/>
  <c r="V176" i="17" s="1"/>
  <c r="V226" i="17" a="1"/>
  <c r="V226" i="17" s="1"/>
  <c r="V276" i="17" a="1"/>
  <c r="V276" i="17" s="1"/>
  <c r="V326" i="17" a="1"/>
  <c r="V326" i="17" s="1"/>
  <c r="V376" i="17" a="1"/>
  <c r="V376" i="17" s="1"/>
  <c r="V546" i="17" a="1"/>
  <c r="V546" i="17" s="1"/>
  <c r="V547" i="17" a="1"/>
  <c r="V547" i="17"/>
  <c r="V548" i="17" a="1"/>
  <c r="V548" i="17"/>
  <c r="V549" i="17" a="1"/>
  <c r="V549" i="17" s="1"/>
  <c r="V550" i="17" a="1"/>
  <c r="V550" i="17" s="1"/>
  <c r="V551" i="17" a="1"/>
  <c r="V551" i="17" s="1"/>
  <c r="V27" i="17" a="1"/>
  <c r="V27" i="17"/>
  <c r="V77" i="17" a="1"/>
  <c r="V77" i="17" s="1"/>
  <c r="V127" i="17" a="1"/>
  <c r="V127" i="17" s="1"/>
  <c r="V177" i="17" a="1"/>
  <c r="V177" i="17" s="1"/>
  <c r="V227" i="17" a="1"/>
  <c r="V227" i="17" s="1"/>
  <c r="V277" i="17" a="1"/>
  <c r="V277" i="17" s="1"/>
  <c r="V327" i="17" a="1"/>
  <c r="V327" i="17" s="1"/>
  <c r="V377" i="17" a="1"/>
  <c r="V377" i="17" s="1"/>
  <c r="V552" i="17" a="1"/>
  <c r="V552" i="17" s="1"/>
  <c r="V553" i="17" a="1"/>
  <c r="V553" i="17" s="1"/>
  <c r="V554" i="17" a="1"/>
  <c r="V554" i="17" s="1"/>
  <c r="V555" i="17" a="1"/>
  <c r="V555" i="17"/>
  <c r="V556" i="17" a="1"/>
  <c r="V556" i="17" s="1"/>
  <c r="V557" i="17" a="1"/>
  <c r="V557" i="17"/>
  <c r="V28" i="17" a="1"/>
  <c r="V28" i="17" s="1"/>
  <c r="V78" i="17" a="1"/>
  <c r="V78" i="17" s="1"/>
  <c r="V128" i="17" a="1"/>
  <c r="V128" i="17" s="1"/>
  <c r="V178" i="17" a="1"/>
  <c r="V178" i="17" s="1"/>
  <c r="V228" i="17" a="1"/>
  <c r="V228" i="17" s="1"/>
  <c r="V278" i="17" a="1"/>
  <c r="V278" i="17" s="1"/>
  <c r="V328" i="17" a="1"/>
  <c r="V328" i="17" s="1"/>
  <c r="V378" i="17" a="1"/>
  <c r="V378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 s="1"/>
  <c r="V563" i="17" a="1"/>
  <c r="V563" i="17" s="1"/>
  <c r="V29" i="17" a="1"/>
  <c r="V29" i="17"/>
  <c r="V79" i="17" a="1"/>
  <c r="V79" i="17" s="1"/>
  <c r="V129" i="17" a="1"/>
  <c r="V129" i="17"/>
  <c r="V179" i="17" a="1"/>
  <c r="V179" i="17" s="1"/>
  <c r="V229" i="17" a="1"/>
  <c r="V229" i="17" s="1"/>
  <c r="V279" i="17" a="1"/>
  <c r="V279" i="17" s="1"/>
  <c r="V329" i="17" a="1"/>
  <c r="V329" i="17" s="1"/>
  <c r="V379" i="17" a="1"/>
  <c r="V379" i="17" s="1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/>
  <c r="V30" i="17" a="1"/>
  <c r="V30" i="17" s="1"/>
  <c r="V80" i="17" a="1"/>
  <c r="V80" i="17" s="1"/>
  <c r="V130" i="17" a="1"/>
  <c r="V130" i="17"/>
  <c r="V180" i="17" a="1"/>
  <c r="V180" i="17" s="1"/>
  <c r="V230" i="17" a="1"/>
  <c r="V230" i="17" s="1"/>
  <c r="V280" i="17" a="1"/>
  <c r="V280" i="17" s="1"/>
  <c r="V330" i="17" a="1"/>
  <c r="V330" i="17" s="1"/>
  <c r="V380" i="17" a="1"/>
  <c r="V380" i="17" s="1"/>
  <c r="V570" i="17" a="1"/>
  <c r="V570" i="17" s="1"/>
  <c r="V571" i="17" a="1"/>
  <c r="V571" i="17"/>
  <c r="V572" i="17" a="1"/>
  <c r="V572" i="17" s="1"/>
  <c r="V573" i="17" a="1"/>
  <c r="V573" i="17" s="1"/>
  <c r="V574" i="17" a="1"/>
  <c r="V574" i="17" s="1"/>
  <c r="V575" i="17" a="1"/>
  <c r="V575" i="17" s="1"/>
  <c r="V31" i="17" a="1"/>
  <c r="V31" i="17" s="1"/>
  <c r="V81" i="17" a="1"/>
  <c r="V81" i="17" s="1"/>
  <c r="V131" i="17" a="1"/>
  <c r="V131" i="17" s="1"/>
  <c r="V181" i="17" a="1"/>
  <c r="V181" i="17" s="1"/>
  <c r="V231" i="17" a="1"/>
  <c r="V231" i="17" s="1"/>
  <c r="V281" i="17" a="1"/>
  <c r="V281" i="17" s="1"/>
  <c r="V331" i="17" a="1"/>
  <c r="V331" i="17" s="1"/>
  <c r="V381" i="17" a="1"/>
  <c r="V381" i="17" s="1"/>
  <c r="V576" i="17" a="1"/>
  <c r="V57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32" i="17" a="1"/>
  <c r="V32" i="17" s="1"/>
  <c r="V82" i="17" a="1"/>
  <c r="V82" i="17" s="1"/>
  <c r="V132" i="17" a="1"/>
  <c r="V132" i="17" s="1"/>
  <c r="V182" i="17" a="1"/>
  <c r="V182" i="17" s="1"/>
  <c r="V232" i="17" a="1"/>
  <c r="V232" i="17" s="1"/>
  <c r="V282" i="17" a="1"/>
  <c r="V282" i="17" s="1"/>
  <c r="V332" i="17" a="1"/>
  <c r="V332" i="17" s="1"/>
  <c r="V382" i="17" a="1"/>
  <c r="V382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33" i="17" a="1"/>
  <c r="V33" i="17" s="1"/>
  <c r="V83" i="17" a="1"/>
  <c r="V83" i="17" s="1"/>
  <c r="V133" i="17" a="1"/>
  <c r="V133" i="17" s="1"/>
  <c r="V183" i="17" a="1"/>
  <c r="V183" i="17" s="1"/>
  <c r="V233" i="17" a="1"/>
  <c r="V233" i="17" s="1"/>
  <c r="V283" i="17" a="1"/>
  <c r="V283" i="17" s="1"/>
  <c r="V333" i="17" a="1"/>
  <c r="V333" i="17" s="1"/>
  <c r="V383" i="17" a="1"/>
  <c r="V383" i="17" s="1"/>
  <c r="V588" i="17" a="1"/>
  <c r="V58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34" i="17" a="1"/>
  <c r="V34" i="17" s="1"/>
  <c r="V84" i="17" a="1"/>
  <c r="V84" i="17" s="1"/>
  <c r="V134" i="17" a="1"/>
  <c r="V134" i="17" s="1"/>
  <c r="V184" i="17" a="1"/>
  <c r="V184" i="17" s="1"/>
  <c r="V234" i="17" a="1"/>
  <c r="V234" i="17" s="1"/>
  <c r="V284" i="17" a="1"/>
  <c r="V284" i="17" s="1"/>
  <c r="V334" i="17" a="1"/>
  <c r="V334" i="17" s="1"/>
  <c r="V384" i="17" a="1"/>
  <c r="V384" i="17" s="1"/>
  <c r="V594" i="17" a="1"/>
  <c r="V594" i="17" s="1"/>
  <c r="V595" i="17" a="1"/>
  <c r="V595" i="17" s="1"/>
  <c r="V596" i="17" a="1"/>
  <c r="V596" i="17"/>
  <c r="V597" i="17" a="1"/>
  <c r="V597" i="17" s="1"/>
  <c r="V598" i="17" a="1"/>
  <c r="V598" i="17" s="1"/>
  <c r="V599" i="17" a="1"/>
  <c r="V599" i="17" s="1"/>
  <c r="V35" i="17" a="1"/>
  <c r="V35" i="17" s="1"/>
  <c r="V85" i="17" a="1"/>
  <c r="V85" i="17" s="1"/>
  <c r="V135" i="17" a="1"/>
  <c r="V135" i="17" s="1"/>
  <c r="V185" i="17" a="1"/>
  <c r="V185" i="17" s="1"/>
  <c r="V235" i="17" a="1"/>
  <c r="V235" i="17" s="1"/>
  <c r="V285" i="17" a="1"/>
  <c r="V285" i="17" s="1"/>
  <c r="V335" i="17" a="1"/>
  <c r="V335" i="17" s="1"/>
  <c r="V385" i="17" a="1"/>
  <c r="V385" i="17" s="1"/>
  <c r="V600" i="17" a="1"/>
  <c r="V600" i="17" s="1"/>
  <c r="V601" i="17" a="1"/>
  <c r="V601" i="17" s="1"/>
  <c r="V602" i="17" a="1"/>
  <c r="V602" i="17"/>
  <c r="V603" i="17" a="1"/>
  <c r="V603" i="17" s="1"/>
  <c r="V604" i="17" a="1"/>
  <c r="V604" i="17" s="1"/>
  <c r="V605" i="17" a="1"/>
  <c r="V605" i="17" s="1"/>
  <c r="V36" i="17" a="1"/>
  <c r="V36" i="17" s="1"/>
  <c r="V86" i="17" a="1"/>
  <c r="V86" i="17" s="1"/>
  <c r="V136" i="17" a="1"/>
  <c r="V136" i="17" s="1"/>
  <c r="V186" i="17" a="1"/>
  <c r="V186" i="17" s="1"/>
  <c r="V236" i="17" a="1"/>
  <c r="V236" i="17" s="1"/>
  <c r="V286" i="17" a="1"/>
  <c r="V286" i="17" s="1"/>
  <c r="V336" i="17" a="1"/>
  <c r="V336" i="17" s="1"/>
  <c r="V386" i="17" a="1"/>
  <c r="V386" i="17" s="1"/>
  <c r="V606" i="17" a="1"/>
  <c r="V606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/>
  <c r="V37" i="17" a="1"/>
  <c r="V37" i="17" s="1"/>
  <c r="V87" i="17" a="1"/>
  <c r="V87" i="17" s="1"/>
  <c r="V137" i="17" a="1"/>
  <c r="V137" i="17" s="1"/>
  <c r="V187" i="17" a="1"/>
  <c r="V187" i="17" s="1"/>
  <c r="V237" i="17" a="1"/>
  <c r="V237" i="17" s="1"/>
  <c r="V287" i="17" a="1"/>
  <c r="V287" i="17" s="1"/>
  <c r="V337" i="17" a="1"/>
  <c r="V337" i="17" s="1"/>
  <c r="V387" i="17" a="1"/>
  <c r="V387" i="17" s="1"/>
  <c r="V612" i="17" a="1"/>
  <c r="V612" i="17" s="1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38" i="17" a="1"/>
  <c r="V38" i="17" s="1"/>
  <c r="V88" i="17" a="1"/>
  <c r="V88" i="17" s="1"/>
  <c r="V138" i="17" a="1"/>
  <c r="V138" i="17" s="1"/>
  <c r="V188" i="17" a="1"/>
  <c r="V188" i="17" s="1"/>
  <c r="V238" i="17" a="1"/>
  <c r="V238" i="17" s="1"/>
  <c r="V288" i="17" a="1"/>
  <c r="V288" i="17" s="1"/>
  <c r="V338" i="17" a="1"/>
  <c r="V338" i="17" s="1"/>
  <c r="V388" i="17" a="1"/>
  <c r="V388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39" i="17" a="1"/>
  <c r="V39" i="17" s="1"/>
  <c r="V89" i="17" a="1"/>
  <c r="V89" i="17" s="1"/>
  <c r="V139" i="17" a="1"/>
  <c r="V139" i="17" s="1"/>
  <c r="V189" i="17" a="1"/>
  <c r="V189" i="17"/>
  <c r="V239" i="17" a="1"/>
  <c r="V239" i="17" s="1"/>
  <c r="V289" i="17" a="1"/>
  <c r="V289" i="17" s="1"/>
  <c r="V339" i="17" a="1"/>
  <c r="V339" i="17" s="1"/>
  <c r="V389" i="17" a="1"/>
  <c r="V389" i="17" s="1"/>
  <c r="V624" i="17" a="1"/>
  <c r="V624" i="17" s="1"/>
  <c r="V625" i="17" a="1"/>
  <c r="V625" i="17" s="1"/>
  <c r="V626" i="17" a="1"/>
  <c r="V626" i="17" s="1"/>
  <c r="V627" i="17" a="1"/>
  <c r="V627" i="17" s="1"/>
  <c r="V628" i="17" a="1"/>
  <c r="V628" i="17" s="1"/>
  <c r="V629" i="17" a="1"/>
  <c r="V629" i="17" s="1"/>
  <c r="V40" i="17" a="1"/>
  <c r="V40" i="17" s="1"/>
  <c r="V90" i="17" a="1"/>
  <c r="V90" i="17" s="1"/>
  <c r="V140" i="17" a="1"/>
  <c r="V140" i="17" s="1"/>
  <c r="V190" i="17" a="1"/>
  <c r="V190" i="17" s="1"/>
  <c r="V240" i="17" a="1"/>
  <c r="V240" i="17" s="1"/>
  <c r="V290" i="17" a="1"/>
  <c r="V290" i="17"/>
  <c r="V340" i="17" a="1"/>
  <c r="V340" i="17" s="1"/>
  <c r="V390" i="17" a="1"/>
  <c r="V390" i="17" s="1"/>
  <c r="V630" i="17" a="1"/>
  <c r="V630" i="17" s="1"/>
  <c r="V631" i="17" a="1"/>
  <c r="V631" i="17" s="1"/>
  <c r="V632" i="17" a="1"/>
  <c r="V632" i="17" s="1"/>
  <c r="V633" i="17" a="1"/>
  <c r="V633" i="17" s="1"/>
  <c r="V634" i="17" a="1"/>
  <c r="V634" i="17" s="1"/>
  <c r="V635" i="17" a="1"/>
  <c r="V635" i="17" s="1"/>
  <c r="V41" i="17" a="1"/>
  <c r="V41" i="17" s="1"/>
  <c r="V91" i="17" a="1"/>
  <c r="V91" i="17" s="1"/>
  <c r="V141" i="17" a="1"/>
  <c r="V141" i="17" s="1"/>
  <c r="V191" i="17" a="1"/>
  <c r="V191" i="17" s="1"/>
  <c r="V241" i="17" a="1"/>
  <c r="V241" i="17" s="1"/>
  <c r="V291" i="17" a="1"/>
  <c r="V291" i="17" s="1"/>
  <c r="V341" i="17" a="1"/>
  <c r="V341" i="17" s="1"/>
  <c r="V391" i="17" a="1"/>
  <c r="V391" i="17"/>
  <c r="V636" i="17" a="1"/>
  <c r="V636" i="17" s="1"/>
  <c r="V637" i="17" a="1"/>
  <c r="V637" i="17" s="1"/>
  <c r="V638" i="17" a="1"/>
  <c r="V638" i="17"/>
  <c r="V639" i="17" a="1"/>
  <c r="V639" i="17" s="1"/>
  <c r="V640" i="17" a="1"/>
  <c r="V640" i="17" s="1"/>
  <c r="V641" i="17" a="1"/>
  <c r="V641" i="17" s="1"/>
  <c r="V42" i="17" a="1"/>
  <c r="V42" i="17" s="1"/>
  <c r="V92" i="17" a="1"/>
  <c r="V92" i="17" s="1"/>
  <c r="V142" i="17" a="1"/>
  <c r="V142" i="17" s="1"/>
  <c r="V192" i="17" a="1"/>
  <c r="V192" i="17" s="1"/>
  <c r="V242" i="17" a="1"/>
  <c r="V242" i="17" s="1"/>
  <c r="V292" i="17" a="1"/>
  <c r="V292" i="17" s="1"/>
  <c r="V342" i="17" a="1"/>
  <c r="V342" i="17" s="1"/>
  <c r="V392" i="17" a="1"/>
  <c r="V392" i="17" s="1"/>
  <c r="V642" i="17" a="1"/>
  <c r="V642" i="17"/>
  <c r="V643" i="17" a="1"/>
  <c r="V643" i="17"/>
  <c r="V644" i="17" a="1"/>
  <c r="V644" i="17" s="1"/>
  <c r="V645" i="17" a="1"/>
  <c r="V645" i="17" s="1"/>
  <c r="V646" i="17" a="1"/>
  <c r="V646" i="17" s="1"/>
  <c r="V647" i="17" a="1"/>
  <c r="V647" i="17" s="1"/>
  <c r="V43" i="17" a="1"/>
  <c r="V43" i="17" s="1"/>
  <c r="V93" i="17" a="1"/>
  <c r="V93" i="17" s="1"/>
  <c r="V143" i="17" a="1"/>
  <c r="V143" i="17" s="1"/>
  <c r="V193" i="17" a="1"/>
  <c r="V193" i="17" s="1"/>
  <c r="V243" i="17" a="1"/>
  <c r="V243" i="17" s="1"/>
  <c r="V293" i="17" a="1"/>
  <c r="V293" i="17" s="1"/>
  <c r="V343" i="17" a="1"/>
  <c r="V343" i="17" s="1"/>
  <c r="V393" i="17" a="1"/>
  <c r="V393" i="17" s="1"/>
  <c r="V648" i="17" a="1"/>
  <c r="V648" i="17" s="1"/>
  <c r="V649" i="17" a="1"/>
  <c r="V649" i="17"/>
  <c r="V650" i="17" a="1"/>
  <c r="V650" i="17" s="1"/>
  <c r="V651" i="17" a="1"/>
  <c r="V651" i="17" s="1"/>
  <c r="V652" i="17" a="1"/>
  <c r="V652" i="17" s="1"/>
  <c r="V653" i="17" a="1"/>
  <c r="V653" i="17" s="1"/>
  <c r="V44" i="17" a="1"/>
  <c r="V44" i="17" s="1"/>
  <c r="V94" i="17" a="1"/>
  <c r="V94" i="17" s="1"/>
  <c r="V144" i="17" a="1"/>
  <c r="V144" i="17" s="1"/>
  <c r="V194" i="17" a="1"/>
  <c r="V194" i="17" s="1"/>
  <c r="V244" i="17" a="1"/>
  <c r="V244" i="17" s="1"/>
  <c r="V294" i="17" a="1"/>
  <c r="V294" i="17" s="1"/>
  <c r="V344" i="17" a="1"/>
  <c r="V344" i="17" s="1"/>
  <c r="V394" i="17" a="1"/>
  <c r="V394" i="17" s="1"/>
  <c r="V654" i="17" a="1"/>
  <c r="V654" i="17" s="1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45" i="17" a="1"/>
  <c r="V45" i="17"/>
  <c r="V95" i="17" a="1"/>
  <c r="V95" i="17" s="1"/>
  <c r="V145" i="17" a="1"/>
  <c r="V145" i="17" s="1"/>
  <c r="V195" i="17" a="1"/>
  <c r="V195" i="17" s="1"/>
  <c r="V245" i="17" a="1"/>
  <c r="V245" i="17" s="1"/>
  <c r="V295" i="17" a="1"/>
  <c r="V295" i="17" s="1"/>
  <c r="V345" i="17" a="1"/>
  <c r="V345" i="17" s="1"/>
  <c r="V395" i="17" a="1"/>
  <c r="V395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/>
  <c r="V665" i="17" a="1"/>
  <c r="V665" i="17" s="1"/>
  <c r="V46" i="17" a="1"/>
  <c r="V46" i="17" s="1"/>
  <c r="V96" i="17" a="1"/>
  <c r="V96" i="17" s="1"/>
  <c r="V146" i="17" a="1"/>
  <c r="V146" i="17" s="1"/>
  <c r="V196" i="17" a="1"/>
  <c r="V196" i="17" s="1"/>
  <c r="V246" i="17" a="1"/>
  <c r="V246" i="17" s="1"/>
  <c r="V296" i="17" a="1"/>
  <c r="V296" i="17" s="1"/>
  <c r="V346" i="17" a="1"/>
  <c r="V346" i="17" s="1"/>
  <c r="V396" i="17" a="1"/>
  <c r="V396" i="17" s="1"/>
  <c r="V666" i="17" a="1"/>
  <c r="V666" i="17" s="1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 s="1"/>
  <c r="V47" i="17" a="1"/>
  <c r="V47" i="17" s="1"/>
  <c r="V97" i="17" a="1"/>
  <c r="V97" i="17" s="1"/>
  <c r="V147" i="17" a="1"/>
  <c r="V147" i="17" s="1"/>
  <c r="V197" i="17" a="1"/>
  <c r="V197" i="17" s="1"/>
  <c r="V247" i="17" a="1"/>
  <c r="V247" i="17" s="1"/>
  <c r="V297" i="17" a="1"/>
  <c r="V297" i="17"/>
  <c r="V347" i="17" a="1"/>
  <c r="V347" i="17" s="1"/>
  <c r="V397" i="17" a="1"/>
  <c r="V397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48" i="17" a="1"/>
  <c r="V48" i="17" s="1"/>
  <c r="V98" i="17" a="1"/>
  <c r="V98" i="17" s="1"/>
  <c r="V148" i="17" a="1"/>
  <c r="V148" i="17" s="1"/>
  <c r="V198" i="17" a="1"/>
  <c r="V198" i="17" s="1"/>
  <c r="V248" i="17" a="1"/>
  <c r="V248" i="17" s="1"/>
  <c r="V298" i="17" a="1"/>
  <c r="V298" i="17" s="1"/>
  <c r="V348" i="17" a="1"/>
  <c r="V348" i="17"/>
  <c r="V398" i="17" a="1"/>
  <c r="V398" i="17" s="1"/>
  <c r="V678" i="17" a="1"/>
  <c r="V678" i="17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49" i="17" a="1"/>
  <c r="V49" i="17" s="1"/>
  <c r="V99" i="17" a="1"/>
  <c r="V99" i="17" s="1"/>
  <c r="V149" i="17" a="1"/>
  <c r="V149" i="17" s="1"/>
  <c r="V199" i="17" a="1"/>
  <c r="V199" i="17" s="1"/>
  <c r="V249" i="17" a="1"/>
  <c r="V249" i="17" s="1"/>
  <c r="V299" i="17" a="1"/>
  <c r="V299" i="17" s="1"/>
  <c r="V349" i="17" a="1"/>
  <c r="V349" i="17" s="1"/>
  <c r="V399" i="17" a="1"/>
  <c r="V399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50" i="17" a="1"/>
  <c r="V50" i="17" s="1"/>
  <c r="V100" i="17" a="1"/>
  <c r="V100" i="17" s="1"/>
  <c r="V150" i="17" a="1"/>
  <c r="V150" i="17" s="1"/>
  <c r="V200" i="17" a="1"/>
  <c r="V200" i="17" s="1"/>
  <c r="V250" i="17" a="1"/>
  <c r="V250" i="17" s="1"/>
  <c r="V300" i="17" a="1"/>
  <c r="V300" i="17" s="1"/>
  <c r="V350" i="17" a="1"/>
  <c r="V350" i="17" s="1"/>
  <c r="V400" i="17" a="1"/>
  <c r="V400" i="17" s="1"/>
  <c r="V690" i="17" a="1"/>
  <c r="V690" i="17" s="1"/>
  <c r="V691" i="17" a="1"/>
  <c r="V691" i="17"/>
  <c r="V692" i="17" a="1"/>
  <c r="V692" i="17" s="1"/>
  <c r="V693" i="17" a="1"/>
  <c r="V693" i="17" s="1"/>
  <c r="V694" i="17" a="1"/>
  <c r="V694" i="17" s="1"/>
  <c r="V695" i="17" a="1"/>
  <c r="V695" i="17" s="1"/>
  <c r="V51" i="17" a="1"/>
  <c r="V51" i="17" s="1"/>
  <c r="V101" i="17" a="1"/>
  <c r="V101" i="17" s="1"/>
  <c r="V151" i="17" a="1"/>
  <c r="V151" i="17" s="1"/>
  <c r="V201" i="17" a="1"/>
  <c r="V201" i="17" s="1"/>
  <c r="V251" i="17" a="1"/>
  <c r="V251" i="17" s="1"/>
  <c r="V301" i="17" a="1"/>
  <c r="V301" i="17" s="1"/>
  <c r="V351" i="17" a="1"/>
  <c r="V351" i="17" s="1"/>
  <c r="V401" i="17" a="1"/>
  <c r="V401" i="17" s="1"/>
  <c r="V696" i="17" a="1"/>
  <c r="V696" i="17" s="1"/>
  <c r="V697" i="17" a="1"/>
  <c r="V697" i="17" s="1"/>
  <c r="V698" i="17" a="1"/>
  <c r="V698" i="17" s="1"/>
  <c r="V699" i="17" a="1"/>
  <c r="V699" i="17" s="1"/>
  <c r="V700" i="17" a="1"/>
  <c r="V700" i="17" s="1"/>
  <c r="V701" i="17" a="1"/>
  <c r="V701" i="17" s="1"/>
  <c r="X2" i="17" a="1"/>
  <c r="X2" i="17" s="1"/>
  <c r="X52" i="17" a="1"/>
  <c r="X52" i="17" s="1"/>
  <c r="Y52" i="17" s="1"/>
  <c r="Q52" i="17" s="1"/>
  <c r="W52" i="17" s="1"/>
  <c r="X102" i="17" a="1"/>
  <c r="X102" i="17" s="1"/>
  <c r="Y102" i="17" s="1"/>
  <c r="Q102" i="17" s="1"/>
  <c r="W102" i="17" s="1"/>
  <c r="X152" i="17" a="1"/>
  <c r="X152" i="17" s="1"/>
  <c r="Y152" i="17" s="1"/>
  <c r="Q152" i="17" s="1"/>
  <c r="W152" i="17" s="1"/>
  <c r="X202" i="17" a="1"/>
  <c r="X202" i="17" s="1"/>
  <c r="X252" i="17" a="1"/>
  <c r="X252" i="17" s="1"/>
  <c r="X302" i="17" a="1"/>
  <c r="X302" i="17" s="1"/>
  <c r="X352" i="17" a="1"/>
  <c r="X352" i="17" s="1"/>
  <c r="X402" i="17" a="1"/>
  <c r="X402" i="17" s="1"/>
  <c r="X403" i="17" a="1"/>
  <c r="X403" i="17" s="1"/>
  <c r="Y403" i="17" s="1"/>
  <c r="Q403" i="17" s="1"/>
  <c r="W403" i="17" s="1"/>
  <c r="X404" i="17" a="1"/>
  <c r="X404" i="17" s="1"/>
  <c r="X405" i="17" a="1"/>
  <c r="X405" i="17" s="1"/>
  <c r="Y405" i="17" s="1"/>
  <c r="Q405" i="17" s="1"/>
  <c r="W405" i="17" s="1"/>
  <c r="X406" i="17" a="1"/>
  <c r="X406" i="17" s="1"/>
  <c r="Y406" i="17" s="1"/>
  <c r="Q406" i="17" s="1"/>
  <c r="W406" i="17" s="1"/>
  <c r="X407" i="17" a="1"/>
  <c r="X407" i="17" s="1"/>
  <c r="Y407" i="17" s="1"/>
  <c r="Q407" i="17" s="1"/>
  <c r="W407" i="17" s="1"/>
  <c r="X3" i="17" a="1"/>
  <c r="X3" i="17" s="1"/>
  <c r="X53" i="17" a="1"/>
  <c r="X53" i="17" s="1"/>
  <c r="X103" i="17" a="1"/>
  <c r="X103" i="17" s="1"/>
  <c r="Y103" i="17" s="1"/>
  <c r="Q103" i="17" s="1"/>
  <c r="W103" i="17" s="1"/>
  <c r="X153" i="17" a="1"/>
  <c r="X153" i="17" s="1"/>
  <c r="Y153" i="17" s="1"/>
  <c r="Q153" i="17" s="1"/>
  <c r="W153" i="17" s="1"/>
  <c r="X203" i="17" a="1"/>
  <c r="X203" i="17" s="1"/>
  <c r="X253" i="17" a="1"/>
  <c r="X253" i="17" s="1"/>
  <c r="Y253" i="17" s="1"/>
  <c r="Q253" i="17" s="1"/>
  <c r="W253" i="17" s="1"/>
  <c r="X303" i="17" a="1"/>
  <c r="X303" i="17" s="1"/>
  <c r="X353" i="17" a="1"/>
  <c r="X353" i="17" s="1"/>
  <c r="X408" i="17" a="1"/>
  <c r="X408" i="17" s="1"/>
  <c r="X409" i="17" a="1"/>
  <c r="X409" i="17" s="1"/>
  <c r="Y409" i="17" s="1"/>
  <c r="Q409" i="17" s="1"/>
  <c r="W409" i="17" s="1"/>
  <c r="X410" i="17" a="1"/>
  <c r="X410" i="17" s="1"/>
  <c r="X411" i="17" a="1"/>
  <c r="X411" i="17" s="1"/>
  <c r="X412" i="17" a="1"/>
  <c r="X412" i="17" s="1"/>
  <c r="Y412" i="17" s="1"/>
  <c r="X413" i="17" a="1"/>
  <c r="X413" i="17" s="1"/>
  <c r="Y413" i="17" s="1"/>
  <c r="Q413" i="17" s="1"/>
  <c r="W413" i="17" s="1"/>
  <c r="X4" i="17" a="1"/>
  <c r="X4" i="17" s="1"/>
  <c r="X54" i="17" a="1"/>
  <c r="X54" i="17" s="1"/>
  <c r="Y54" i="17" s="1"/>
  <c r="Q54" i="17" s="1"/>
  <c r="W54" i="17" s="1"/>
  <c r="X104" i="17" a="1"/>
  <c r="X104" i="17" s="1"/>
  <c r="X154" i="17" a="1"/>
  <c r="X154" i="17" s="1"/>
  <c r="X204" i="17" a="1"/>
  <c r="X204" i="17" s="1"/>
  <c r="Y204" i="17" s="1"/>
  <c r="Q204" i="17" s="1"/>
  <c r="W204" i="17" s="1"/>
  <c r="X254" i="17" a="1"/>
  <c r="X254" i="17"/>
  <c r="X304" i="17" a="1"/>
  <c r="X304" i="17" s="1"/>
  <c r="X354" i="17" a="1"/>
  <c r="X354" i="17" s="1"/>
  <c r="X414" i="17" a="1"/>
  <c r="X414" i="17" s="1"/>
  <c r="Y414" i="17" s="1"/>
  <c r="X415" i="17" a="1"/>
  <c r="X415" i="17" s="1"/>
  <c r="X416" i="17" a="1"/>
  <c r="X416" i="17" s="1"/>
  <c r="X417" i="17" a="1"/>
  <c r="X417" i="17" s="1"/>
  <c r="Y417" i="17" s="1"/>
  <c r="Q417" i="17" s="1"/>
  <c r="W417" i="17" s="1"/>
  <c r="X418" i="17" a="1"/>
  <c r="X418" i="17" s="1"/>
  <c r="Y418" i="17" s="1"/>
  <c r="Q418" i="17" s="1"/>
  <c r="W418" i="17" s="1"/>
  <c r="X419" i="17" a="1"/>
  <c r="X419" i="17" s="1"/>
  <c r="X5" i="17" a="1"/>
  <c r="X5" i="17" s="1"/>
  <c r="X55" i="17" a="1"/>
  <c r="X55" i="17" s="1"/>
  <c r="Y55" i="17" s="1"/>
  <c r="Q55" i="17" s="1"/>
  <c r="W55" i="17" s="1"/>
  <c r="X105" i="17" a="1"/>
  <c r="X105" i="17" s="1"/>
  <c r="X155" i="17" a="1"/>
  <c r="X155" i="17" s="1"/>
  <c r="X205" i="17" a="1"/>
  <c r="X205" i="17" s="1"/>
  <c r="X255" i="17" a="1"/>
  <c r="X255" i="17" s="1"/>
  <c r="X305" i="17" a="1"/>
  <c r="X305" i="17" s="1"/>
  <c r="X355" i="17" a="1"/>
  <c r="X355" i="17" s="1"/>
  <c r="Y355" i="17" s="1"/>
  <c r="Q355" i="17" s="1"/>
  <c r="W355" i="17" s="1"/>
  <c r="X420" i="17" a="1"/>
  <c r="X420" i="17"/>
  <c r="X421" i="17" a="1"/>
  <c r="X421" i="17" s="1"/>
  <c r="Y421" i="17" s="1"/>
  <c r="Q421" i="17" s="1"/>
  <c r="W421" i="17" s="1"/>
  <c r="X422" i="17" a="1"/>
  <c r="X422" i="17" s="1"/>
  <c r="X423" i="17" a="1"/>
  <c r="X423" i="17"/>
  <c r="X424" i="17" a="1"/>
  <c r="X424" i="17" s="1"/>
  <c r="X425" i="17" a="1"/>
  <c r="X425" i="17" s="1"/>
  <c r="Y425" i="17" s="1"/>
  <c r="Q425" i="17" s="1"/>
  <c r="W425" i="17" s="1"/>
  <c r="X6" i="17" a="1"/>
  <c r="X6" i="17"/>
  <c r="X56" i="17" a="1"/>
  <c r="X56" i="17" s="1"/>
  <c r="Y56" i="17" s="1"/>
  <c r="X106" i="17" a="1"/>
  <c r="X106" i="17" s="1"/>
  <c r="X156" i="17" a="1"/>
  <c r="X156" i="17" s="1"/>
  <c r="Y156" i="17" s="1"/>
  <c r="Q156" i="17" s="1"/>
  <c r="W156" i="17" s="1"/>
  <c r="X206" i="17" a="1"/>
  <c r="X206" i="17" s="1"/>
  <c r="Y206" i="17" s="1"/>
  <c r="X256" i="17" a="1"/>
  <c r="X256" i="17" s="1"/>
  <c r="X306" i="17" a="1"/>
  <c r="X306" i="17" s="1"/>
  <c r="X356" i="17" a="1"/>
  <c r="X356" i="17" s="1"/>
  <c r="X426" i="17" a="1"/>
  <c r="X426" i="17" s="1"/>
  <c r="X427" i="17" a="1"/>
  <c r="X427" i="17" s="1"/>
  <c r="Y427" i="17" s="1"/>
  <c r="Q427" i="17" s="1"/>
  <c r="W427" i="17" s="1"/>
  <c r="X428" i="17" a="1"/>
  <c r="X428" i="17" s="1"/>
  <c r="Y428" i="17" s="1"/>
  <c r="Q428" i="17" s="1"/>
  <c r="W428" i="17" s="1"/>
  <c r="X429" i="17" a="1"/>
  <c r="X429" i="17"/>
  <c r="X430" i="17" a="1"/>
  <c r="X430" i="17" s="1"/>
  <c r="X431" i="17" a="1"/>
  <c r="X431" i="17" s="1"/>
  <c r="X7" i="17" a="1"/>
  <c r="X7" i="17" s="1"/>
  <c r="X57" i="17" a="1"/>
  <c r="X57" i="17" s="1"/>
  <c r="X107" i="17" a="1"/>
  <c r="X107" i="17"/>
  <c r="X157" i="17" a="1"/>
  <c r="X157" i="17" s="1"/>
  <c r="Y157" i="17" s="1"/>
  <c r="X207" i="17" a="1"/>
  <c r="X207" i="17" s="1"/>
  <c r="X257" i="17" a="1"/>
  <c r="X257" i="17" s="1"/>
  <c r="Y257" i="17" s="1"/>
  <c r="Q257" i="17" s="1"/>
  <c r="W257" i="17" s="1"/>
  <c r="X307" i="17" a="1"/>
  <c r="X307" i="17" s="1"/>
  <c r="X357" i="17" a="1"/>
  <c r="X357" i="17" s="1"/>
  <c r="Y357" i="17" s="1"/>
  <c r="Q357" i="17" s="1"/>
  <c r="W357" i="17" s="1"/>
  <c r="X432" i="17" a="1"/>
  <c r="X432" i="17" s="1"/>
  <c r="X433" i="17" a="1"/>
  <c r="X433" i="17"/>
  <c r="X434" i="17" a="1"/>
  <c r="X434" i="17" s="1"/>
  <c r="X435" i="17" a="1"/>
  <c r="X435" i="17" s="1"/>
  <c r="Y435" i="17" s="1"/>
  <c r="Q435" i="17" s="1"/>
  <c r="W435" i="17" s="1"/>
  <c r="X436" i="17" a="1"/>
  <c r="X436" i="17" s="1"/>
  <c r="X437" i="17" a="1"/>
  <c r="X437" i="17" s="1"/>
  <c r="Y437" i="17" s="1"/>
  <c r="Q437" i="17" s="1"/>
  <c r="W437" i="17" s="1"/>
  <c r="X8" i="17" a="1"/>
  <c r="X8" i="17" s="1"/>
  <c r="Y8" i="17" s="1"/>
  <c r="X58" i="17" a="1"/>
  <c r="X58" i="17" s="1"/>
  <c r="X108" i="17" a="1"/>
  <c r="X108" i="17" s="1"/>
  <c r="X158" i="17" a="1"/>
  <c r="X158" i="17" s="1"/>
  <c r="X208" i="17" a="1"/>
  <c r="X208" i="17" s="1"/>
  <c r="X258" i="17" a="1"/>
  <c r="X258" i="17" s="1"/>
  <c r="Y258" i="17" s="1"/>
  <c r="X308" i="17" a="1"/>
  <c r="X308" i="17" s="1"/>
  <c r="Y308" i="17" s="1"/>
  <c r="Q308" i="17" s="1"/>
  <c r="W308" i="17" s="1"/>
  <c r="X358" i="17" a="1"/>
  <c r="X358" i="17"/>
  <c r="X438" i="17" a="1"/>
  <c r="X438" i="17" s="1"/>
  <c r="X439" i="17" a="1"/>
  <c r="X439" i="17" s="1"/>
  <c r="X440" i="17" a="1"/>
  <c r="X440" i="17" s="1"/>
  <c r="X441" i="17" a="1"/>
  <c r="X441" i="17" s="1"/>
  <c r="X442" i="17" a="1"/>
  <c r="X442" i="17" s="1"/>
  <c r="Y442" i="17" s="1"/>
  <c r="Q442" i="17" s="1"/>
  <c r="W442" i="17" s="1"/>
  <c r="X443" i="17" a="1"/>
  <c r="X443" i="17" s="1"/>
  <c r="Y443" i="17" s="1"/>
  <c r="Q443" i="17" s="1"/>
  <c r="W443" i="17" s="1"/>
  <c r="X9" i="17" a="1"/>
  <c r="X9" i="17" s="1"/>
  <c r="X59" i="17" a="1"/>
  <c r="X59" i="17" s="1"/>
  <c r="Y59" i="17" s="1"/>
  <c r="Q59" i="17" s="1"/>
  <c r="W59" i="17" s="1"/>
  <c r="X109" i="17" a="1"/>
  <c r="X109" i="17" s="1"/>
  <c r="Y109" i="17" s="1"/>
  <c r="Q109" i="17" s="1"/>
  <c r="W109" i="17" s="1"/>
  <c r="X159" i="17" a="1"/>
  <c r="X159" i="17" s="1"/>
  <c r="Y159" i="17" s="1"/>
  <c r="X209" i="17" a="1"/>
  <c r="X209" i="17" s="1"/>
  <c r="X259" i="17" a="1"/>
  <c r="X259" i="17"/>
  <c r="X309" i="17" a="1"/>
  <c r="X309" i="17" s="1"/>
  <c r="X359" i="17" a="1"/>
  <c r="X359" i="17" s="1"/>
  <c r="X444" i="17" a="1"/>
  <c r="X444" i="17" s="1"/>
  <c r="Y444" i="17" s="1"/>
  <c r="Q444" i="17" s="1"/>
  <c r="W444" i="17" s="1"/>
  <c r="X445" i="17" a="1"/>
  <c r="X445" i="17" s="1"/>
  <c r="Y445" i="17" s="1"/>
  <c r="Q445" i="17" s="1"/>
  <c r="W445" i="17" s="1"/>
  <c r="X446" i="17" a="1"/>
  <c r="X446" i="17" s="1"/>
  <c r="Y446" i="17" s="1"/>
  <c r="Q446" i="17" s="1"/>
  <c r="W446" i="17" s="1"/>
  <c r="X447" i="17" a="1"/>
  <c r="X447" i="17" s="1"/>
  <c r="X448" i="17" a="1"/>
  <c r="X448" i="17" s="1"/>
  <c r="X449" i="17" a="1"/>
  <c r="X449" i="17" s="1"/>
  <c r="X10" i="17" a="1"/>
  <c r="X10" i="17" s="1"/>
  <c r="X60" i="17" a="1"/>
  <c r="X60" i="17" s="1"/>
  <c r="Y60" i="17" s="1"/>
  <c r="Q60" i="17" s="1"/>
  <c r="W60" i="17" s="1"/>
  <c r="X110" i="17" a="1"/>
  <c r="X110" i="17" s="1"/>
  <c r="X160" i="17" a="1"/>
  <c r="X160" i="17" s="1"/>
  <c r="Y160" i="17" s="1"/>
  <c r="Q160" i="17" s="1"/>
  <c r="W160" i="17" s="1"/>
  <c r="X210" i="17" a="1"/>
  <c r="X210" i="17" s="1"/>
  <c r="X260" i="17" a="1"/>
  <c r="X260" i="17" s="1"/>
  <c r="Y260" i="17" s="1"/>
  <c r="Q260" i="17" s="1"/>
  <c r="W260" i="17" s="1"/>
  <c r="X310" i="17" a="1"/>
  <c r="X310" i="17" s="1"/>
  <c r="X360" i="17" a="1"/>
  <c r="X360" i="17" s="1"/>
  <c r="X450" i="17" a="1"/>
  <c r="X450" i="17" s="1"/>
  <c r="Y450" i="17" s="1"/>
  <c r="Q450" i="17" s="1"/>
  <c r="W450" i="17" s="1"/>
  <c r="X451" i="17" a="1"/>
  <c r="X451" i="17" s="1"/>
  <c r="X452" i="17" a="1"/>
  <c r="X452" i="17" s="1"/>
  <c r="X453" i="17" a="1"/>
  <c r="X453" i="17" s="1"/>
  <c r="Y453" i="17" s="1"/>
  <c r="Q453" i="17" s="1"/>
  <c r="W453" i="17" s="1"/>
  <c r="X454" i="17" a="1"/>
  <c r="X454" i="17" s="1"/>
  <c r="Y454" i="17" s="1"/>
  <c r="Q454" i="17" s="1"/>
  <c r="W454" i="17" s="1"/>
  <c r="X455" i="17" a="1"/>
  <c r="X455" i="17" s="1"/>
  <c r="Y455" i="17" s="1"/>
  <c r="Q455" i="17" s="1"/>
  <c r="W455" i="17" s="1"/>
  <c r="X11" i="17" a="1"/>
  <c r="X11" i="17" s="1"/>
  <c r="X61" i="17" a="1"/>
  <c r="X61" i="17" s="1"/>
  <c r="X111" i="17" a="1"/>
  <c r="X111" i="17" s="1"/>
  <c r="X161" i="17" a="1"/>
  <c r="X161" i="17" s="1"/>
  <c r="Y161" i="17" s="1"/>
  <c r="Q161" i="17" s="1"/>
  <c r="W161" i="17" s="1"/>
  <c r="X211" i="17" a="1"/>
  <c r="X211" i="17" s="1"/>
  <c r="Y211" i="17" s="1"/>
  <c r="Q211" i="17" s="1"/>
  <c r="W211" i="17" s="1"/>
  <c r="X261" i="17" a="1"/>
  <c r="X261" i="17" s="1"/>
  <c r="Y261" i="17" s="1"/>
  <c r="Q261" i="17" s="1"/>
  <c r="W261" i="17" s="1"/>
  <c r="X311" i="17" a="1"/>
  <c r="X311" i="17" s="1"/>
  <c r="X361" i="17" a="1"/>
  <c r="X361" i="17" s="1"/>
  <c r="X456" i="17" a="1"/>
  <c r="X456" i="17" s="1"/>
  <c r="X457" i="17" a="1"/>
  <c r="X457" i="17" s="1"/>
  <c r="X458" i="17" a="1"/>
  <c r="X458" i="17" s="1"/>
  <c r="X459" i="17" a="1"/>
  <c r="X459" i="17" s="1"/>
  <c r="Y459" i="17" s="1"/>
  <c r="Q459" i="17" s="1"/>
  <c r="W459" i="17" s="1"/>
  <c r="X460" i="17" a="1"/>
  <c r="X460" i="17" s="1"/>
  <c r="X461" i="17" a="1"/>
  <c r="X461" i="17" s="1"/>
  <c r="Y461" i="17" s="1"/>
  <c r="Q461" i="17" s="1"/>
  <c r="W461" i="17" s="1"/>
  <c r="X12" i="17" a="1"/>
  <c r="X12" i="17"/>
  <c r="X62" i="17" a="1"/>
  <c r="X62" i="17" s="1"/>
  <c r="Y62" i="17" s="1"/>
  <c r="Q62" i="17" s="1"/>
  <c r="W62" i="17" s="1"/>
  <c r="X112" i="17" a="1"/>
  <c r="X112" i="17" s="1"/>
  <c r="X162" i="17" a="1"/>
  <c r="X162" i="17" s="1"/>
  <c r="Y162" i="17" s="1"/>
  <c r="Q162" i="17" s="1"/>
  <c r="W162" i="17" s="1"/>
  <c r="X212" i="17" a="1"/>
  <c r="X212" i="17" s="1"/>
  <c r="Y212" i="17" s="1"/>
  <c r="Q212" i="17" s="1"/>
  <c r="W212" i="17" s="1"/>
  <c r="X262" i="17" a="1"/>
  <c r="X262" i="17" s="1"/>
  <c r="Y262" i="17" s="1"/>
  <c r="Q262" i="17" s="1"/>
  <c r="W262" i="17" s="1"/>
  <c r="X312" i="17" a="1"/>
  <c r="X312" i="17" s="1"/>
  <c r="X362" i="17" a="1"/>
  <c r="X362" i="17" s="1"/>
  <c r="Y362" i="17" s="1"/>
  <c r="Q362" i="17" s="1"/>
  <c r="W362" i="17" s="1"/>
  <c r="X462" i="17" a="1"/>
  <c r="X462" i="17" s="1"/>
  <c r="X463" i="17" a="1"/>
  <c r="X463" i="17" s="1"/>
  <c r="X464" i="17" a="1"/>
  <c r="X464" i="17" s="1"/>
  <c r="X465" i="17" a="1"/>
  <c r="X465" i="17" s="1"/>
  <c r="X466" i="17" a="1"/>
  <c r="X466" i="17" s="1"/>
  <c r="X467" i="17" a="1"/>
  <c r="X467" i="17" s="1"/>
  <c r="X13" i="17" a="1"/>
  <c r="X13" i="17" s="1"/>
  <c r="Y13" i="17" s="1"/>
  <c r="Q13" i="17" s="1"/>
  <c r="W13" i="17" s="1"/>
  <c r="X63" i="17" a="1"/>
  <c r="X63" i="17" s="1"/>
  <c r="Y63" i="17" s="1"/>
  <c r="Q63" i="17" s="1"/>
  <c r="W63" i="17" s="1"/>
  <c r="X113" i="17" a="1"/>
  <c r="X113" i="17" s="1"/>
  <c r="X163" i="17" a="1"/>
  <c r="X163" i="17" s="1"/>
  <c r="Y163" i="17" s="1"/>
  <c r="Q163" i="17" s="1"/>
  <c r="W163" i="17" s="1"/>
  <c r="X213" i="17" a="1"/>
  <c r="X213" i="17" s="1"/>
  <c r="X263" i="17" a="1"/>
  <c r="X263" i="17" s="1"/>
  <c r="X313" i="17" a="1"/>
  <c r="X313" i="17" s="1"/>
  <c r="Y313" i="17" s="1"/>
  <c r="X363" i="17" a="1"/>
  <c r="X363" i="17" s="1"/>
  <c r="Y363" i="17" s="1"/>
  <c r="Q363" i="17" s="1"/>
  <c r="W363" i="17" s="1"/>
  <c r="X468" i="17" a="1"/>
  <c r="X468" i="17" s="1"/>
  <c r="X469" i="17" a="1"/>
  <c r="X469" i="17" s="1"/>
  <c r="Y469" i="17" s="1"/>
  <c r="Q469" i="17" s="1"/>
  <c r="W469" i="17" s="1"/>
  <c r="X470" i="17" a="1"/>
  <c r="X470" i="17" s="1"/>
  <c r="Y470" i="17" s="1"/>
  <c r="Q470" i="17" s="1"/>
  <c r="W470" i="17" s="1"/>
  <c r="X471" i="17" a="1"/>
  <c r="X471" i="17" s="1"/>
  <c r="X472" i="17" a="1"/>
  <c r="X472" i="17" s="1"/>
  <c r="X473" i="17" a="1"/>
  <c r="X473" i="17"/>
  <c r="X14" i="17" a="1"/>
  <c r="X14" i="17" s="1"/>
  <c r="Y14" i="17" s="1"/>
  <c r="Q14" i="17" s="1"/>
  <c r="W14" i="17" s="1"/>
  <c r="X64" i="17" a="1"/>
  <c r="X64" i="17" s="1"/>
  <c r="X114" i="17" a="1"/>
  <c r="X114" i="17" s="1"/>
  <c r="X164" i="17" a="1"/>
  <c r="X164" i="17" s="1"/>
  <c r="Y164" i="17" s="1"/>
  <c r="Q164" i="17" s="1"/>
  <c r="W164" i="17" s="1"/>
  <c r="X214" i="17" a="1"/>
  <c r="X214" i="17" s="1"/>
  <c r="X264" i="17" a="1"/>
  <c r="X264" i="17" s="1"/>
  <c r="X314" i="17" a="1"/>
  <c r="X314" i="17" s="1"/>
  <c r="X364" i="17" a="1"/>
  <c r="X364" i="17" s="1"/>
  <c r="X474" i="17" a="1"/>
  <c r="X474" i="17" s="1"/>
  <c r="X475" i="17" a="1"/>
  <c r="X475" i="17" s="1"/>
  <c r="Y475" i="17" s="1"/>
  <c r="Q475" i="17" s="1"/>
  <c r="W475" i="17" s="1"/>
  <c r="X476" i="17" a="1"/>
  <c r="X476" i="17" s="1"/>
  <c r="Y476" i="17" s="1"/>
  <c r="X477" i="17" a="1"/>
  <c r="X477" i="17" s="1"/>
  <c r="Y477" i="17" s="1"/>
  <c r="Q477" i="17" s="1"/>
  <c r="W477" i="17" s="1"/>
  <c r="X478" i="17" a="1"/>
  <c r="X478" i="17" s="1"/>
  <c r="X479" i="17" a="1"/>
  <c r="X479" i="17" s="1"/>
  <c r="Y479" i="17" s="1"/>
  <c r="Q479" i="17" s="1"/>
  <c r="W479" i="17" s="1"/>
  <c r="X15" i="17" a="1"/>
  <c r="X15" i="17" s="1"/>
  <c r="X65" i="17" a="1"/>
  <c r="X65" i="17" s="1"/>
  <c r="Y65" i="17" s="1"/>
  <c r="Q65" i="17" s="1"/>
  <c r="W65" i="17" s="1"/>
  <c r="X115" i="17" a="1"/>
  <c r="X115" i="17" s="1"/>
  <c r="X165" i="17" a="1"/>
  <c r="X165" i="17"/>
  <c r="X215" i="17" a="1"/>
  <c r="X215" i="17" s="1"/>
  <c r="X265" i="17" a="1"/>
  <c r="X265" i="17" s="1"/>
  <c r="Y265" i="17" s="1"/>
  <c r="Q265" i="17" s="1"/>
  <c r="W265" i="17" s="1"/>
  <c r="X315" i="17" a="1"/>
  <c r="X315" i="17" s="1"/>
  <c r="Y315" i="17" s="1"/>
  <c r="Q315" i="17" s="1"/>
  <c r="W315" i="17" s="1"/>
  <c r="X365" i="17" a="1"/>
  <c r="X365" i="17" s="1"/>
  <c r="X480" i="17" a="1"/>
  <c r="X480" i="17" s="1"/>
  <c r="X481" i="17" a="1"/>
  <c r="X481" i="17" s="1"/>
  <c r="X482" i="17" a="1"/>
  <c r="X482" i="17" s="1"/>
  <c r="X483" i="17" a="1"/>
  <c r="X483" i="17" s="1"/>
  <c r="X484" i="17" a="1"/>
  <c r="X484" i="17" s="1"/>
  <c r="Y484" i="17" s="1"/>
  <c r="Q484" i="17" s="1"/>
  <c r="W484" i="17" s="1"/>
  <c r="X485" i="17" a="1"/>
  <c r="X485" i="17" s="1"/>
  <c r="X16" i="17" a="1"/>
  <c r="X16" i="17" s="1"/>
  <c r="X66" i="17" a="1"/>
  <c r="X66" i="17" s="1"/>
  <c r="X116" i="17" a="1"/>
  <c r="X116" i="17" s="1"/>
  <c r="X166" i="17" a="1"/>
  <c r="X166" i="17" s="1"/>
  <c r="X216" i="17" a="1"/>
  <c r="X216" i="17" s="1"/>
  <c r="Y216" i="17" s="1"/>
  <c r="X266" i="17" a="1"/>
  <c r="X266" i="17" s="1"/>
  <c r="Y266" i="17" s="1"/>
  <c r="Q266" i="17" s="1"/>
  <c r="W266" i="17" s="1"/>
  <c r="X316" i="17" a="1"/>
  <c r="X316" i="17" s="1"/>
  <c r="Y316" i="17" s="1"/>
  <c r="X366" i="17" a="1"/>
  <c r="X366" i="17" s="1"/>
  <c r="Y366" i="17" s="1"/>
  <c r="Q366" i="17" s="1"/>
  <c r="W366" i="17" s="1"/>
  <c r="X486" i="17" a="1"/>
  <c r="X486" i="17" s="1"/>
  <c r="X487" i="17" a="1"/>
  <c r="X487" i="17" s="1"/>
  <c r="Y487" i="17" s="1"/>
  <c r="X488" i="17" a="1"/>
  <c r="X488" i="17" s="1"/>
  <c r="X489" i="17" a="1"/>
  <c r="X489" i="17" s="1"/>
  <c r="Y489" i="17" s="1"/>
  <c r="Q489" i="17" s="1"/>
  <c r="W489" i="17" s="1"/>
  <c r="X490" i="17" a="1"/>
  <c r="X490" i="17" s="1"/>
  <c r="X491" i="17" a="1"/>
  <c r="X491" i="17" s="1"/>
  <c r="X17" i="17" a="1"/>
  <c r="X17" i="17" s="1"/>
  <c r="X67" i="17" a="1"/>
  <c r="X67" i="17" s="1"/>
  <c r="Y67" i="17" s="1"/>
  <c r="Q67" i="17" s="1"/>
  <c r="W67" i="17" s="1"/>
  <c r="X117" i="17" a="1"/>
  <c r="X117" i="17" s="1"/>
  <c r="Y117" i="17" s="1"/>
  <c r="Q117" i="17" s="1"/>
  <c r="W117" i="17" s="1"/>
  <c r="X167" i="17" a="1"/>
  <c r="X167" i="17" s="1"/>
  <c r="X217" i="17" a="1"/>
  <c r="X217" i="17" s="1"/>
  <c r="X267" i="17" a="1"/>
  <c r="X267" i="17" s="1"/>
  <c r="X317" i="17" a="1"/>
  <c r="X317" i="17" s="1"/>
  <c r="X367" i="17" a="1"/>
  <c r="X367" i="17" s="1"/>
  <c r="Y367" i="17" s="1"/>
  <c r="X492" i="17" a="1"/>
  <c r="X492" i="17"/>
  <c r="X493" i="17" a="1"/>
  <c r="X493" i="17" s="1"/>
  <c r="Y493" i="17" s="1"/>
  <c r="Q493" i="17" s="1"/>
  <c r="W493" i="17" s="1"/>
  <c r="X494" i="17" a="1"/>
  <c r="X494" i="17" s="1"/>
  <c r="X495" i="17" a="1"/>
  <c r="X495" i="17" s="1"/>
  <c r="X496" i="17" a="1"/>
  <c r="X496" i="17" s="1"/>
  <c r="X497" i="17" a="1"/>
  <c r="X497" i="17" s="1"/>
  <c r="X18" i="17" a="1"/>
  <c r="X18" i="17" s="1"/>
  <c r="Y18" i="17" s="1"/>
  <c r="Q18" i="17" s="1"/>
  <c r="W18" i="17" s="1"/>
  <c r="X68" i="17" a="1"/>
  <c r="X68" i="17" s="1"/>
  <c r="X118" i="17" a="1"/>
  <c r="X118" i="17" s="1"/>
  <c r="X168" i="17" a="1"/>
  <c r="X168" i="17" s="1"/>
  <c r="X218" i="17" a="1"/>
  <c r="X218" i="17" s="1"/>
  <c r="Y218" i="17" s="1"/>
  <c r="X268" i="17" a="1"/>
  <c r="X268" i="17" s="1"/>
  <c r="Y268" i="17" s="1"/>
  <c r="Q268" i="17" s="1"/>
  <c r="W268" i="17" s="1"/>
  <c r="X318" i="17" a="1"/>
  <c r="X318" i="17" s="1"/>
  <c r="X368" i="17" a="1"/>
  <c r="X368" i="17" s="1"/>
  <c r="Y368" i="17" s="1"/>
  <c r="Q368" i="17" s="1"/>
  <c r="W368" i="17" s="1"/>
  <c r="X498" i="17" a="1"/>
  <c r="X498" i="17" s="1"/>
  <c r="X499" i="17" a="1"/>
  <c r="X499" i="17" s="1"/>
  <c r="X500" i="17" a="1"/>
  <c r="X500" i="17" s="1"/>
  <c r="Y500" i="17" s="1"/>
  <c r="X501" i="17" a="1"/>
  <c r="X501" i="17" s="1"/>
  <c r="Y501" i="17" s="1"/>
  <c r="Q501" i="17" s="1"/>
  <c r="W501" i="17" s="1"/>
  <c r="X502" i="17" a="1"/>
  <c r="X502" i="17" s="1"/>
  <c r="Y502" i="17" s="1"/>
  <c r="Q502" i="17" s="1"/>
  <c r="W502" i="17" s="1"/>
  <c r="X503" i="17" a="1"/>
  <c r="X503" i="17" s="1"/>
  <c r="X19" i="17" a="1"/>
  <c r="X19" i="17" s="1"/>
  <c r="X69" i="17" a="1"/>
  <c r="X69" i="17" s="1"/>
  <c r="X119" i="17" a="1"/>
  <c r="X119" i="17" s="1"/>
  <c r="X169" i="17" a="1"/>
  <c r="X169" i="17"/>
  <c r="X219" i="17" a="1"/>
  <c r="X219" i="17" s="1"/>
  <c r="X269" i="17" a="1"/>
  <c r="X269" i="17" s="1"/>
  <c r="X319" i="17" a="1"/>
  <c r="X319" i="17" s="1"/>
  <c r="X369" i="17" a="1"/>
  <c r="X369" i="17" s="1"/>
  <c r="Y369" i="17" s="1"/>
  <c r="Q369" i="17" s="1"/>
  <c r="W369" i="17" s="1"/>
  <c r="X504" i="17" a="1"/>
  <c r="X504" i="17" s="1"/>
  <c r="X505" i="17" a="1"/>
  <c r="X505" i="17" s="1"/>
  <c r="X506" i="17" a="1"/>
  <c r="X506" i="17"/>
  <c r="X507" i="17" a="1"/>
  <c r="X507" i="17" s="1"/>
  <c r="X508" i="17" a="1"/>
  <c r="X508" i="17" s="1"/>
  <c r="X509" i="17" a="1"/>
  <c r="X509" i="17" s="1"/>
  <c r="Y509" i="17" s="1"/>
  <c r="Q509" i="17" s="1"/>
  <c r="W509" i="17" s="1"/>
  <c r="X20" i="17" a="1"/>
  <c r="X20" i="17" s="1"/>
  <c r="Y20" i="17" s="1"/>
  <c r="Q20" i="17" s="1"/>
  <c r="W20" i="17" s="1"/>
  <c r="X70" i="17" a="1"/>
  <c r="X70" i="17" s="1"/>
  <c r="Y70" i="17" s="1"/>
  <c r="Q70" i="17" s="1"/>
  <c r="W70" i="17" s="1"/>
  <c r="X120" i="17" a="1"/>
  <c r="X120" i="17" s="1"/>
  <c r="X170" i="17" a="1"/>
  <c r="X170" i="17" s="1"/>
  <c r="Y170" i="17" s="1"/>
  <c r="Q170" i="17" s="1"/>
  <c r="W170" i="17" s="1"/>
  <c r="X220" i="17" a="1"/>
  <c r="X220" i="17" s="1"/>
  <c r="X270" i="17" a="1"/>
  <c r="X270" i="17" s="1"/>
  <c r="X320" i="17" a="1"/>
  <c r="X320" i="17" s="1"/>
  <c r="Y320" i="17" s="1"/>
  <c r="Q320" i="17" s="1"/>
  <c r="W320" i="17" s="1"/>
  <c r="X370" i="17" a="1"/>
  <c r="X370" i="17" s="1"/>
  <c r="X510" i="17" a="1"/>
  <c r="X510" i="17" s="1"/>
  <c r="X511" i="17" a="1"/>
  <c r="X511" i="17" s="1"/>
  <c r="X512" i="17" a="1"/>
  <c r="X512" i="17" s="1"/>
  <c r="X513" i="17" a="1"/>
  <c r="X513" i="17" s="1"/>
  <c r="X514" i="17" a="1"/>
  <c r="X514" i="17" s="1"/>
  <c r="X515" i="17" a="1"/>
  <c r="X515" i="17"/>
  <c r="X21" i="17" a="1"/>
  <c r="X21" i="17" s="1"/>
  <c r="X71" i="17" a="1"/>
  <c r="X71" i="17" s="1"/>
  <c r="X121" i="17" a="1"/>
  <c r="X121" i="17" s="1"/>
  <c r="Y121" i="17" s="1"/>
  <c r="Q121" i="17" s="1"/>
  <c r="W121" i="17" s="1"/>
  <c r="X171" i="17" a="1"/>
  <c r="X171" i="17" s="1"/>
  <c r="Y171" i="17" s="1"/>
  <c r="Q171" i="17" s="1"/>
  <c r="W171" i="17" s="1"/>
  <c r="X221" i="17" a="1"/>
  <c r="X221" i="17" s="1"/>
  <c r="X271" i="17" a="1"/>
  <c r="X271" i="17" s="1"/>
  <c r="X321" i="17" a="1"/>
  <c r="X321" i="17"/>
  <c r="X371" i="17" a="1"/>
  <c r="X371" i="17" s="1"/>
  <c r="X516" i="17" a="1"/>
  <c r="X516" i="17" s="1"/>
  <c r="X517" i="17" a="1"/>
  <c r="X517" i="17" s="1"/>
  <c r="Y517" i="17" s="1"/>
  <c r="Q517" i="17" s="1"/>
  <c r="W517" i="17" s="1"/>
  <c r="X518" i="17" a="1"/>
  <c r="X518" i="17" s="1"/>
  <c r="X519" i="17" a="1"/>
  <c r="X519" i="17" s="1"/>
  <c r="X520" i="17" a="1"/>
  <c r="X520" i="17" s="1"/>
  <c r="X521" i="17" a="1"/>
  <c r="X521" i="17" s="1"/>
  <c r="Y521" i="17" s="1"/>
  <c r="X22" i="17" a="1"/>
  <c r="X22" i="17" s="1"/>
  <c r="X72" i="17" a="1"/>
  <c r="X72" i="17" s="1"/>
  <c r="X122" i="17" a="1"/>
  <c r="X122" i="17" s="1"/>
  <c r="Y122" i="17" s="1"/>
  <c r="Q122" i="17" s="1"/>
  <c r="W122" i="17" s="1"/>
  <c r="X172" i="17" a="1"/>
  <c r="X172" i="17" s="1"/>
  <c r="X222" i="17" a="1"/>
  <c r="X222" i="17" s="1"/>
  <c r="X272" i="17" a="1"/>
  <c r="X272" i="17" s="1"/>
  <c r="X322" i="17" a="1"/>
  <c r="X322" i="17" s="1"/>
  <c r="X372" i="17" a="1"/>
  <c r="X372" i="17" s="1"/>
  <c r="X522" i="17" a="1"/>
  <c r="X522" i="17" s="1"/>
  <c r="X523" i="17" a="1"/>
  <c r="X523" i="17" s="1"/>
  <c r="Y523" i="17" s="1"/>
  <c r="Q523" i="17" s="1"/>
  <c r="W523" i="17" s="1"/>
  <c r="X524" i="17" a="1"/>
  <c r="X524" i="17" s="1"/>
  <c r="X525" i="17" a="1"/>
  <c r="X525" i="17" s="1"/>
  <c r="X526" i="17" a="1"/>
  <c r="X526" i="17" s="1"/>
  <c r="Y526" i="17" s="1"/>
  <c r="Q526" i="17" s="1"/>
  <c r="W526" i="17" s="1"/>
  <c r="X527" i="17" a="1"/>
  <c r="X527" i="17" s="1"/>
  <c r="X23" i="17" a="1"/>
  <c r="X23" i="17" s="1"/>
  <c r="X73" i="17" a="1"/>
  <c r="X73" i="17" s="1"/>
  <c r="Y73" i="17" s="1"/>
  <c r="Q73" i="17" s="1"/>
  <c r="W73" i="17" s="1"/>
  <c r="X123" i="17" a="1"/>
  <c r="X123" i="17" s="1"/>
  <c r="Y123" i="17" s="1"/>
  <c r="Q123" i="17" s="1"/>
  <c r="W123" i="17" s="1"/>
  <c r="X173" i="17" a="1"/>
  <c r="X173" i="17" s="1"/>
  <c r="X223" i="17" a="1"/>
  <c r="X223" i="17" s="1"/>
  <c r="X273" i="17" a="1"/>
  <c r="X273" i="17"/>
  <c r="X323" i="17" a="1"/>
  <c r="X323" i="17" s="1"/>
  <c r="X373" i="17" a="1"/>
  <c r="X373" i="17" s="1"/>
  <c r="X528" i="17" a="1"/>
  <c r="X528" i="17" s="1"/>
  <c r="X529" i="17" a="1"/>
  <c r="X529" i="17" s="1"/>
  <c r="X530" i="17" a="1"/>
  <c r="X530" i="17" s="1"/>
  <c r="X531" i="17" a="1"/>
  <c r="X531" i="17" s="1"/>
  <c r="Y531" i="17" s="1"/>
  <c r="Q531" i="17" s="1"/>
  <c r="W531" i="17" s="1"/>
  <c r="X532" i="17" a="1"/>
  <c r="X532" i="17"/>
  <c r="X533" i="17" a="1"/>
  <c r="X533" i="17" s="1"/>
  <c r="X24" i="17" a="1"/>
  <c r="X24" i="17" s="1"/>
  <c r="X74" i="17" a="1"/>
  <c r="X74" i="17" s="1"/>
  <c r="Y74" i="17" s="1"/>
  <c r="Q74" i="17" s="1"/>
  <c r="W74" i="17" s="1"/>
  <c r="X124" i="17" a="1"/>
  <c r="X124" i="17" s="1"/>
  <c r="X174" i="17" a="1"/>
  <c r="X174" i="17" s="1"/>
  <c r="Y174" i="17" s="1"/>
  <c r="Q174" i="17" s="1"/>
  <c r="W174" i="17" s="1"/>
  <c r="X224" i="17" a="1"/>
  <c r="X224" i="17" s="1"/>
  <c r="X274" i="17" a="1"/>
  <c r="X274" i="17" s="1"/>
  <c r="Y274" i="17" s="1"/>
  <c r="Q274" i="17" s="1"/>
  <c r="W274" i="17" s="1"/>
  <c r="X324" i="17" a="1"/>
  <c r="X324" i="17" s="1"/>
  <c r="X374" i="17" a="1"/>
  <c r="X374" i="17" s="1"/>
  <c r="X534" i="17" a="1"/>
  <c r="X534" i="17" s="1"/>
  <c r="Y534" i="17" s="1"/>
  <c r="Q534" i="17" s="1"/>
  <c r="W534" i="17" s="1"/>
  <c r="X535" i="17" a="1"/>
  <c r="X535" i="17" s="1"/>
  <c r="X536" i="17" a="1"/>
  <c r="X536" i="17" s="1"/>
  <c r="X537" i="17" a="1"/>
  <c r="X537" i="17" s="1"/>
  <c r="X538" i="17" a="1"/>
  <c r="X538" i="17" s="1"/>
  <c r="X539" i="17" a="1"/>
  <c r="X539" i="17" s="1"/>
  <c r="X25" i="17" a="1"/>
  <c r="X25" i="17" s="1"/>
  <c r="Y25" i="17" s="1"/>
  <c r="Q25" i="17" s="1"/>
  <c r="W25" i="17" s="1"/>
  <c r="X75" i="17" a="1"/>
  <c r="X75" i="17" s="1"/>
  <c r="X125" i="17" a="1"/>
  <c r="X125" i="17" s="1"/>
  <c r="X175" i="17" a="1"/>
  <c r="X175" i="17" s="1"/>
  <c r="X225" i="17" a="1"/>
  <c r="X225" i="17" s="1"/>
  <c r="X275" i="17" a="1"/>
  <c r="X275" i="17" s="1"/>
  <c r="X325" i="17" a="1"/>
  <c r="X325" i="17" s="1"/>
  <c r="Y325" i="17" s="1"/>
  <c r="Q325" i="17" s="1"/>
  <c r="W325" i="17" s="1"/>
  <c r="X375" i="17" a="1"/>
  <c r="X375" i="17"/>
  <c r="X540" i="17" a="1"/>
  <c r="X540" i="17"/>
  <c r="X541" i="17" a="1"/>
  <c r="X541" i="17" s="1"/>
  <c r="X542" i="17" a="1"/>
  <c r="X542" i="17" s="1"/>
  <c r="X543" i="17" a="1"/>
  <c r="X543" i="17" s="1"/>
  <c r="Y543" i="17" s="1"/>
  <c r="Q543" i="17" s="1"/>
  <c r="W543" i="17" s="1"/>
  <c r="X544" i="17" a="1"/>
  <c r="X544" i="17" s="1"/>
  <c r="X545" i="17" a="1"/>
  <c r="X545" i="17" s="1"/>
  <c r="Y545" i="17" s="1"/>
  <c r="Q545" i="17" s="1"/>
  <c r="W545" i="17" s="1"/>
  <c r="X26" i="17" a="1"/>
  <c r="X26" i="17" s="1"/>
  <c r="X76" i="17" a="1"/>
  <c r="X76" i="17" s="1"/>
  <c r="X126" i="17" a="1"/>
  <c r="X126" i="17" s="1"/>
  <c r="X176" i="17" a="1"/>
  <c r="X176" i="17" s="1"/>
  <c r="Y176" i="17" s="1"/>
  <c r="Q176" i="17" s="1"/>
  <c r="W176" i="17" s="1"/>
  <c r="X226" i="17" a="1"/>
  <c r="X226" i="17" s="1"/>
  <c r="Y226" i="17" s="1"/>
  <c r="Q226" i="17" s="1"/>
  <c r="W226" i="17" s="1"/>
  <c r="X276" i="17" a="1"/>
  <c r="X276" i="17" s="1"/>
  <c r="X326" i="17" a="1"/>
  <c r="X326" i="17" s="1"/>
  <c r="X376" i="17" a="1"/>
  <c r="X376" i="17" s="1"/>
  <c r="X546" i="17" a="1"/>
  <c r="X546" i="17" s="1"/>
  <c r="X547" i="17" a="1"/>
  <c r="X547" i="17" s="1"/>
  <c r="Y547" i="17" s="1"/>
  <c r="Q547" i="17" s="1"/>
  <c r="W547" i="17" s="1"/>
  <c r="X548" i="17" a="1"/>
  <c r="X548" i="17" s="1"/>
  <c r="Y548" i="17" s="1"/>
  <c r="Q548" i="17" s="1"/>
  <c r="W548" i="17" s="1"/>
  <c r="X549" i="17" a="1"/>
  <c r="X549" i="17"/>
  <c r="X550" i="17" a="1"/>
  <c r="X550" i="17" s="1"/>
  <c r="X551" i="17" a="1"/>
  <c r="X551" i="17" s="1"/>
  <c r="X27" i="17" a="1"/>
  <c r="X27" i="17" s="1"/>
  <c r="X77" i="17" a="1"/>
  <c r="X77" i="17" s="1"/>
  <c r="X127" i="17" a="1"/>
  <c r="X127" i="17" s="1"/>
  <c r="X177" i="17" a="1"/>
  <c r="X177" i="17" s="1"/>
  <c r="X227" i="17" a="1"/>
  <c r="X227" i="17" s="1"/>
  <c r="X277" i="17" a="1"/>
  <c r="X277" i="17" s="1"/>
  <c r="X327" i="17" a="1"/>
  <c r="X327" i="17" s="1"/>
  <c r="Y327" i="17" s="1"/>
  <c r="Q327" i="17" s="1"/>
  <c r="W327" i="17" s="1"/>
  <c r="X377" i="17" a="1"/>
  <c r="X377" i="17"/>
  <c r="X552" i="17" a="1"/>
  <c r="X552" i="17" s="1"/>
  <c r="X553" i="17" a="1"/>
  <c r="X553" i="17" s="1"/>
  <c r="X554" i="17" a="1"/>
  <c r="X554" i="17" s="1"/>
  <c r="X555" i="17" a="1"/>
  <c r="X555" i="17" s="1"/>
  <c r="X556" i="17" a="1"/>
  <c r="X556" i="17" s="1"/>
  <c r="Y556" i="17" s="1"/>
  <c r="X557" i="17" a="1"/>
  <c r="X557" i="17" s="1"/>
  <c r="X28" i="17" a="1"/>
  <c r="X28" i="17" s="1"/>
  <c r="Y28" i="17" s="1"/>
  <c r="Q28" i="17" s="1"/>
  <c r="W28" i="17" s="1"/>
  <c r="X78" i="17" a="1"/>
  <c r="X78" i="17" s="1"/>
  <c r="X128" i="17" a="1"/>
  <c r="X128" i="17" s="1"/>
  <c r="X178" i="17" a="1"/>
  <c r="X178" i="17" s="1"/>
  <c r="X228" i="17" a="1"/>
  <c r="X228" i="17" s="1"/>
  <c r="X278" i="17" a="1"/>
  <c r="X278" i="17"/>
  <c r="X328" i="17" a="1"/>
  <c r="X328" i="17" s="1"/>
  <c r="X378" i="17" a="1"/>
  <c r="X378" i="17" s="1"/>
  <c r="X558" i="17" a="1"/>
  <c r="X558" i="17" s="1"/>
  <c r="X559" i="17" a="1"/>
  <c r="X559" i="17" s="1"/>
  <c r="Y559" i="17" s="1"/>
  <c r="Q559" i="17" s="1"/>
  <c r="W559" i="17" s="1"/>
  <c r="X560" i="17" a="1"/>
  <c r="X560" i="17" s="1"/>
  <c r="X561" i="17" a="1"/>
  <c r="X561" i="17" s="1"/>
  <c r="X562" i="17" a="1"/>
  <c r="X562" i="17" s="1"/>
  <c r="X563" i="17" a="1"/>
  <c r="X563" i="17" s="1"/>
  <c r="X29" i="17" a="1"/>
  <c r="X29" i="17" s="1"/>
  <c r="X79" i="17" a="1"/>
  <c r="X79" i="17" s="1"/>
  <c r="Y79" i="17" s="1"/>
  <c r="Q79" i="17" s="1"/>
  <c r="W79" i="17" s="1"/>
  <c r="X129" i="17" a="1"/>
  <c r="X129" i="17"/>
  <c r="X179" i="17" a="1"/>
  <c r="X179" i="17" s="1"/>
  <c r="Y179" i="17" s="1"/>
  <c r="Q179" i="17" s="1"/>
  <c r="W179" i="17" s="1"/>
  <c r="X229" i="17" a="1"/>
  <c r="X229" i="17" s="1"/>
  <c r="X279" i="17" a="1"/>
  <c r="X279" i="17"/>
  <c r="X329" i="17" a="1"/>
  <c r="X329" i="17" s="1"/>
  <c r="X379" i="17" a="1"/>
  <c r="X379" i="17" s="1"/>
  <c r="X564" i="17" a="1"/>
  <c r="X564" i="17" s="1"/>
  <c r="X565" i="17" a="1"/>
  <c r="X565" i="17" s="1"/>
  <c r="X566" i="17" a="1"/>
  <c r="X566" i="17" s="1"/>
  <c r="X567" i="17" a="1"/>
  <c r="X567" i="17" s="1"/>
  <c r="X568" i="17" a="1"/>
  <c r="X568" i="17" s="1"/>
  <c r="X569" i="17" a="1"/>
  <c r="X569" i="17" s="1"/>
  <c r="X30" i="17" a="1"/>
  <c r="X30" i="17" s="1"/>
  <c r="X80" i="17" a="1"/>
  <c r="X80" i="17"/>
  <c r="X130" i="17" a="1"/>
  <c r="X130" i="17" s="1"/>
  <c r="X180" i="17" a="1"/>
  <c r="X180" i="17" s="1"/>
  <c r="X230" i="17" a="1"/>
  <c r="X230" i="17"/>
  <c r="X280" i="17" a="1"/>
  <c r="X280" i="17" s="1"/>
  <c r="Y280" i="17" s="1"/>
  <c r="Q280" i="17" s="1"/>
  <c r="W280" i="17" s="1"/>
  <c r="X330" i="17" a="1"/>
  <c r="X330" i="17" s="1"/>
  <c r="X380" i="17" a="1"/>
  <c r="X380" i="17" s="1"/>
  <c r="X570" i="17" a="1"/>
  <c r="X570" i="17" s="1"/>
  <c r="Y570" i="17" s="1"/>
  <c r="Q570" i="17" s="1"/>
  <c r="W570" i="17" s="1"/>
  <c r="X571" i="17" a="1"/>
  <c r="X571" i="17" s="1"/>
  <c r="X572" i="17" a="1"/>
  <c r="X572" i="17" s="1"/>
  <c r="X573" i="17" a="1"/>
  <c r="X573" i="17" s="1"/>
  <c r="X574" i="17" a="1"/>
  <c r="X574" i="17" s="1"/>
  <c r="X575" i="17" a="1"/>
  <c r="X575" i="17" s="1"/>
  <c r="X31" i="17" a="1"/>
  <c r="X31" i="17" s="1"/>
  <c r="X81" i="17" a="1"/>
  <c r="X81" i="17" s="1"/>
  <c r="Y81" i="17" s="1"/>
  <c r="Q81" i="17" s="1"/>
  <c r="W81" i="17" s="1"/>
  <c r="X131" i="17" a="1"/>
  <c r="X131" i="17" s="1"/>
  <c r="X181" i="17" a="1"/>
  <c r="X181" i="17" s="1"/>
  <c r="X231" i="17" a="1"/>
  <c r="X231" i="17" s="1"/>
  <c r="Y231" i="17" s="1"/>
  <c r="Q231" i="17" s="1"/>
  <c r="W231" i="17" s="1"/>
  <c r="X281" i="17" a="1"/>
  <c r="X281" i="17" s="1"/>
  <c r="X331" i="17" a="1"/>
  <c r="X331" i="17" s="1"/>
  <c r="X381" i="17" a="1"/>
  <c r="X381" i="17" s="1"/>
  <c r="Y381" i="17" s="1"/>
  <c r="Q381" i="17" s="1"/>
  <c r="W381" i="17" s="1"/>
  <c r="X576" i="17" a="1"/>
  <c r="X576" i="17" s="1"/>
  <c r="X577" i="17" a="1"/>
  <c r="X577" i="17" s="1"/>
  <c r="X578" i="17" a="1"/>
  <c r="X578" i="17" s="1"/>
  <c r="X579" i="17" a="1"/>
  <c r="X579" i="17"/>
  <c r="X580" i="17" a="1"/>
  <c r="X580" i="17" s="1"/>
  <c r="X581" i="17" a="1"/>
  <c r="X581" i="17" s="1"/>
  <c r="X32" i="17" a="1"/>
  <c r="X32" i="17" s="1"/>
  <c r="Y32" i="17" s="1"/>
  <c r="Q32" i="17" s="1"/>
  <c r="W32" i="17" s="1"/>
  <c r="X82" i="17" a="1"/>
  <c r="X82" i="17" s="1"/>
  <c r="X132" i="17" a="1"/>
  <c r="X132" i="17" s="1"/>
  <c r="X182" i="17" a="1"/>
  <c r="X182" i="17" s="1"/>
  <c r="X232" i="17" a="1"/>
  <c r="X232" i="17" s="1"/>
  <c r="X282" i="17" a="1"/>
  <c r="X282" i="17" s="1"/>
  <c r="X332" i="17" a="1"/>
  <c r="X332" i="17" s="1"/>
  <c r="X382" i="17" a="1"/>
  <c r="X382" i="17" s="1"/>
  <c r="Y382" i="17" s="1"/>
  <c r="Q382" i="17" s="1"/>
  <c r="W382" i="17" s="1"/>
  <c r="X582" i="17" a="1"/>
  <c r="X582" i="17" s="1"/>
  <c r="X583" i="17" a="1"/>
  <c r="X583" i="17" s="1"/>
  <c r="X584" i="17" a="1"/>
  <c r="X584" i="17" s="1"/>
  <c r="X585" i="17" a="1"/>
  <c r="X585" i="17" s="1"/>
  <c r="X586" i="17" a="1"/>
  <c r="X586" i="17" s="1"/>
  <c r="X587" i="17" a="1"/>
  <c r="X587" i="17" s="1"/>
  <c r="Y587" i="17" s="1"/>
  <c r="X33" i="17" a="1"/>
  <c r="X33" i="17" s="1"/>
  <c r="X83" i="17" a="1"/>
  <c r="X83" i="17" s="1"/>
  <c r="X133" i="17" a="1"/>
  <c r="X133" i="17" s="1"/>
  <c r="X183" i="17" a="1"/>
  <c r="X183" i="17" s="1"/>
  <c r="Y183" i="17" s="1"/>
  <c r="Q183" i="17" s="1"/>
  <c r="W183" i="17" s="1"/>
  <c r="X233" i="17" a="1"/>
  <c r="X233" i="17" s="1"/>
  <c r="X283" i="17" a="1"/>
  <c r="X283" i="17"/>
  <c r="X333" i="17" a="1"/>
  <c r="X333" i="17" s="1"/>
  <c r="X383" i="17" a="1"/>
  <c r="X383" i="17" s="1"/>
  <c r="Y383" i="17" s="1"/>
  <c r="Q383" i="17" s="1"/>
  <c r="W383" i="17" s="1"/>
  <c r="X588" i="17" a="1"/>
  <c r="X588" i="17" s="1"/>
  <c r="X589" i="17" a="1"/>
  <c r="X589" i="17" s="1"/>
  <c r="X590" i="17" a="1"/>
  <c r="X590" i="17"/>
  <c r="X591" i="17" a="1"/>
  <c r="X591" i="17" s="1"/>
  <c r="X592" i="17" a="1"/>
  <c r="X592" i="17" s="1"/>
  <c r="X593" i="17" a="1"/>
  <c r="X593" i="17" s="1"/>
  <c r="X34" i="17" a="1"/>
  <c r="X34" i="17" s="1"/>
  <c r="X84" i="17" a="1"/>
  <c r="X84" i="17" s="1"/>
  <c r="X134" i="17" a="1"/>
  <c r="X134" i="17" s="1"/>
  <c r="Y134" i="17" s="1"/>
  <c r="Q134" i="17" s="1"/>
  <c r="W134" i="17" s="1"/>
  <c r="X184" i="17" a="1"/>
  <c r="X184" i="17" s="1"/>
  <c r="Y184" i="17" s="1"/>
  <c r="Q184" i="17" s="1"/>
  <c r="W184" i="17" s="1"/>
  <c r="X234" i="17" a="1"/>
  <c r="X234" i="17" s="1"/>
  <c r="X284" i="17" a="1"/>
  <c r="X284" i="17" s="1"/>
  <c r="X334" i="17" a="1"/>
  <c r="X334" i="17" s="1"/>
  <c r="X384" i="17" a="1"/>
  <c r="X384" i="17" s="1"/>
  <c r="X594" i="17" a="1"/>
  <c r="X594" i="17" s="1"/>
  <c r="Y594" i="17" s="1"/>
  <c r="Q594" i="17" s="1"/>
  <c r="W594" i="17" s="1"/>
  <c r="X595" i="17" a="1"/>
  <c r="X595" i="17" s="1"/>
  <c r="X596" i="17" a="1"/>
  <c r="X596" i="17"/>
  <c r="X597" i="17" a="1"/>
  <c r="X597" i="17" s="1"/>
  <c r="X598" i="17" a="1"/>
  <c r="X598" i="17" s="1"/>
  <c r="X599" i="17" a="1"/>
  <c r="X599" i="17" s="1"/>
  <c r="Y599" i="17" s="1"/>
  <c r="Q599" i="17" s="1"/>
  <c r="W599" i="17" s="1"/>
  <c r="X35" i="17" a="1"/>
  <c r="X35" i="17" s="1"/>
  <c r="X85" i="17" a="1"/>
  <c r="X85" i="17" s="1"/>
  <c r="X135" i="17" a="1"/>
  <c r="X135" i="17" s="1"/>
  <c r="X185" i="17" a="1"/>
  <c r="X185" i="17" s="1"/>
  <c r="X235" i="17" a="1"/>
  <c r="X235" i="17" s="1"/>
  <c r="X285" i="17" a="1"/>
  <c r="X285" i="17" s="1"/>
  <c r="Y285" i="17" s="1"/>
  <c r="Q285" i="17" s="1"/>
  <c r="W285" i="17" s="1"/>
  <c r="X335" i="17" a="1"/>
  <c r="X335" i="17" s="1"/>
  <c r="Y335" i="17" s="1"/>
  <c r="Q335" i="17" s="1"/>
  <c r="W335" i="17" s="1"/>
  <c r="X385" i="17" a="1"/>
  <c r="X385" i="17" s="1"/>
  <c r="Y385" i="17" s="1"/>
  <c r="Q385" i="17" s="1"/>
  <c r="W385" i="17" s="1"/>
  <c r="X600" i="17" a="1"/>
  <c r="X600" i="17" s="1"/>
  <c r="X601" i="17" a="1"/>
  <c r="X601" i="17" s="1"/>
  <c r="X602" i="17" a="1"/>
  <c r="X602" i="17" s="1"/>
  <c r="Y602" i="17" s="1"/>
  <c r="X603" i="17" a="1"/>
  <c r="X603" i="17" s="1"/>
  <c r="Y603" i="17" s="1"/>
  <c r="Q603" i="17" s="1"/>
  <c r="W603" i="17" s="1"/>
  <c r="X604" i="17" a="1"/>
  <c r="X604" i="17" s="1"/>
  <c r="Y604" i="17" s="1"/>
  <c r="Q604" i="17" s="1"/>
  <c r="W604" i="17" s="1"/>
  <c r="X605" i="17" a="1"/>
  <c r="X605" i="17" s="1"/>
  <c r="Y605" i="17" s="1"/>
  <c r="X36" i="17" a="1"/>
  <c r="X36" i="17" s="1"/>
  <c r="X86" i="17" a="1"/>
  <c r="X86" i="17" s="1"/>
  <c r="X136" i="17" a="1"/>
  <c r="X136" i="17" s="1"/>
  <c r="X186" i="17" a="1"/>
  <c r="X186" i="17" s="1"/>
  <c r="X236" i="17" a="1"/>
  <c r="X236" i="17" s="1"/>
  <c r="Y236" i="17" s="1"/>
  <c r="X286" i="17" a="1"/>
  <c r="X286" i="17" s="1"/>
  <c r="X336" i="17" a="1"/>
  <c r="X336" i="17" s="1"/>
  <c r="X386" i="17" a="1"/>
  <c r="X386" i="17" s="1"/>
  <c r="X606" i="17" a="1"/>
  <c r="X606" i="17" s="1"/>
  <c r="Y606" i="17" s="1"/>
  <c r="Q606" i="17" s="1"/>
  <c r="W606" i="17" s="1"/>
  <c r="X607" i="17" a="1"/>
  <c r="X607" i="17" s="1"/>
  <c r="Y607" i="17" s="1"/>
  <c r="Q607" i="17" s="1"/>
  <c r="W607" i="17" s="1"/>
  <c r="X608" i="17" a="1"/>
  <c r="X608" i="17" s="1"/>
  <c r="Y608" i="17" s="1"/>
  <c r="Q608" i="17" s="1"/>
  <c r="W608" i="17" s="1"/>
  <c r="X609" i="17" a="1"/>
  <c r="X609" i="17"/>
  <c r="X610" i="17" a="1"/>
  <c r="X610" i="17" s="1"/>
  <c r="X611" i="17" a="1"/>
  <c r="X611" i="17" s="1"/>
  <c r="Y611" i="17" s="1"/>
  <c r="Q611" i="17" s="1"/>
  <c r="W611" i="17" s="1"/>
  <c r="X37" i="17" a="1"/>
  <c r="X37" i="17" s="1"/>
  <c r="Y37" i="17" s="1"/>
  <c r="X87" i="17" a="1"/>
  <c r="X87" i="17" s="1"/>
  <c r="Y87" i="17" s="1"/>
  <c r="Q87" i="17" s="1"/>
  <c r="W87" i="17" s="1"/>
  <c r="X137" i="17" a="1"/>
  <c r="X137" i="17" s="1"/>
  <c r="X187" i="17" a="1"/>
  <c r="X187" i="17" s="1"/>
  <c r="X237" i="17" a="1"/>
  <c r="X237" i="17" s="1"/>
  <c r="X287" i="17" a="1"/>
  <c r="X287" i="17" s="1"/>
  <c r="X337" i="17" a="1"/>
  <c r="X337" i="17" s="1"/>
  <c r="Y337" i="17" s="1"/>
  <c r="Q337" i="17" s="1"/>
  <c r="W337" i="17" s="1"/>
  <c r="X387" i="17" a="1"/>
  <c r="X387" i="17" s="1"/>
  <c r="Y387" i="17" s="1"/>
  <c r="X612" i="17" a="1"/>
  <c r="X612" i="17" s="1"/>
  <c r="X613" i="17" a="1"/>
  <c r="X613" i="17" s="1"/>
  <c r="X614" i="17" a="1"/>
  <c r="X614" i="17" s="1"/>
  <c r="X615" i="17" a="1"/>
  <c r="X615" i="17" s="1"/>
  <c r="Y615" i="17" s="1"/>
  <c r="Q615" i="17" s="1"/>
  <c r="W615" i="17" s="1"/>
  <c r="X616" i="17" a="1"/>
  <c r="X616" i="17" s="1"/>
  <c r="X617" i="17" a="1"/>
  <c r="X617" i="17" s="1"/>
  <c r="Y617" i="17" s="1"/>
  <c r="X38" i="17" a="1"/>
  <c r="X38" i="17" s="1"/>
  <c r="Y38" i="17" s="1"/>
  <c r="Q38" i="17" s="1"/>
  <c r="W38" i="17" s="1"/>
  <c r="X88" i="17" a="1"/>
  <c r="X88" i="17" s="1"/>
  <c r="Y88" i="17" s="1"/>
  <c r="Q88" i="17" s="1"/>
  <c r="W88" i="17" s="1"/>
  <c r="X138" i="17" a="1"/>
  <c r="X138" i="17" s="1"/>
  <c r="Y138" i="17" s="1"/>
  <c r="Q138" i="17" s="1"/>
  <c r="W138" i="17" s="1"/>
  <c r="X188" i="17" a="1"/>
  <c r="X188" i="17" s="1"/>
  <c r="Y188" i="17" s="1"/>
  <c r="Q188" i="17" s="1"/>
  <c r="W188" i="17" s="1"/>
  <c r="X238" i="17" a="1"/>
  <c r="X238" i="17" s="1"/>
  <c r="X288" i="17" a="1"/>
  <c r="X288" i="17" s="1"/>
  <c r="X338" i="17" a="1"/>
  <c r="X338" i="17" s="1"/>
  <c r="X388" i="17" a="1"/>
  <c r="X388" i="17" s="1"/>
  <c r="Y388" i="17" s="1"/>
  <c r="Q388" i="17" s="1"/>
  <c r="W388" i="17" s="1"/>
  <c r="X618" i="17" a="1"/>
  <c r="X618" i="17" s="1"/>
  <c r="X619" i="17" a="1"/>
  <c r="X619" i="17" s="1"/>
  <c r="X620" i="17" a="1"/>
  <c r="X620" i="17" s="1"/>
  <c r="Y620" i="17" s="1"/>
  <c r="Q620" i="17" s="1"/>
  <c r="W620" i="17" s="1"/>
  <c r="X621" i="17" a="1"/>
  <c r="X621" i="17" s="1"/>
  <c r="X622" i="17" a="1"/>
  <c r="X622" i="17" s="1"/>
  <c r="X623" i="17" a="1"/>
  <c r="X623" i="17" s="1"/>
  <c r="X39" i="17" a="1"/>
  <c r="X39" i="17" s="1"/>
  <c r="Y39" i="17" s="1"/>
  <c r="Q39" i="17" s="1"/>
  <c r="W39" i="17" s="1"/>
  <c r="X89" i="17" a="1"/>
  <c r="X89" i="17" s="1"/>
  <c r="Y89" i="17" s="1"/>
  <c r="Q89" i="17" s="1"/>
  <c r="W89" i="17" s="1"/>
  <c r="X139" i="17" a="1"/>
  <c r="X139" i="17"/>
  <c r="X189" i="17" a="1"/>
  <c r="X189" i="17" s="1"/>
  <c r="Y189" i="17" s="1"/>
  <c r="Q189" i="17" s="1"/>
  <c r="W189" i="17" s="1"/>
  <c r="X239" i="17" a="1"/>
  <c r="X239" i="17" s="1"/>
  <c r="Y239" i="17" s="1"/>
  <c r="Q239" i="17" s="1"/>
  <c r="W239" i="17" s="1"/>
  <c r="X289" i="17" a="1"/>
  <c r="X289" i="17" s="1"/>
  <c r="Y289" i="17" s="1"/>
  <c r="Q289" i="17" s="1"/>
  <c r="W289" i="17" s="1"/>
  <c r="X339" i="17" a="1"/>
  <c r="X339" i="17" s="1"/>
  <c r="Y339" i="17" s="1"/>
  <c r="Q339" i="17" s="1"/>
  <c r="W339" i="17" s="1"/>
  <c r="X389" i="17" a="1"/>
  <c r="X389" i="17" s="1"/>
  <c r="Y389" i="17" s="1"/>
  <c r="X624" i="17" a="1"/>
  <c r="X624" i="17" s="1"/>
  <c r="X625" i="17" a="1"/>
  <c r="X625" i="17" s="1"/>
  <c r="Y625" i="17" s="1"/>
  <c r="X626" i="17" a="1"/>
  <c r="X626" i="17" s="1"/>
  <c r="Y626" i="17" s="1"/>
  <c r="Q626" i="17" s="1"/>
  <c r="W626" i="17" s="1"/>
  <c r="X627" i="17" a="1"/>
  <c r="X627" i="17" s="1"/>
  <c r="X628" i="17" a="1"/>
  <c r="X628" i="17"/>
  <c r="X629" i="17" a="1"/>
  <c r="X629" i="17" s="1"/>
  <c r="Y629" i="17" s="1"/>
  <c r="Q629" i="17" s="1"/>
  <c r="W629" i="17" s="1"/>
  <c r="X40" i="17" a="1"/>
  <c r="X40" i="17" s="1"/>
  <c r="X90" i="17" a="1"/>
  <c r="X90" i="17" s="1"/>
  <c r="X140" i="17" a="1"/>
  <c r="X140" i="17" s="1"/>
  <c r="X190" i="17" a="1"/>
  <c r="X190" i="17" s="1"/>
  <c r="Y190" i="17" s="1"/>
  <c r="Q190" i="17" s="1"/>
  <c r="W190" i="17" s="1"/>
  <c r="X240" i="17" a="1"/>
  <c r="X240" i="17" s="1"/>
  <c r="Y240" i="17" s="1"/>
  <c r="Q240" i="17" s="1"/>
  <c r="W240" i="17" s="1"/>
  <c r="X290" i="17" a="1"/>
  <c r="X290" i="17" s="1"/>
  <c r="X340" i="17" a="1"/>
  <c r="X340" i="17" s="1"/>
  <c r="Y340" i="17" s="1"/>
  <c r="Q340" i="17" s="1"/>
  <c r="W340" i="17" s="1"/>
  <c r="X390" i="17" a="1"/>
  <c r="X390" i="17" s="1"/>
  <c r="X630" i="17" a="1"/>
  <c r="X630" i="17" s="1"/>
  <c r="X631" i="17" a="1"/>
  <c r="X631" i="17" s="1"/>
  <c r="X632" i="17" a="1"/>
  <c r="X632" i="17" s="1"/>
  <c r="X633" i="17" a="1"/>
  <c r="X633" i="17"/>
  <c r="X634" i="17" a="1"/>
  <c r="X634" i="17" s="1"/>
  <c r="Y634" i="17" s="1"/>
  <c r="Q634" i="17" s="1"/>
  <c r="W634" i="17" s="1"/>
  <c r="X635" i="17" a="1"/>
  <c r="X635" i="17" s="1"/>
  <c r="X41" i="17" a="1"/>
  <c r="X41" i="17" s="1"/>
  <c r="Y41" i="17" s="1"/>
  <c r="Q41" i="17" s="1"/>
  <c r="W41" i="17" s="1"/>
  <c r="X91" i="17" a="1"/>
  <c r="X91" i="17" s="1"/>
  <c r="Y91" i="17" s="1"/>
  <c r="Q91" i="17" s="1"/>
  <c r="W91" i="17" s="1"/>
  <c r="X141" i="17" a="1"/>
  <c r="X141" i="17" s="1"/>
  <c r="X191" i="17" a="1"/>
  <c r="X191" i="17" s="1"/>
  <c r="X241" i="17" a="1"/>
  <c r="X241" i="17" s="1"/>
  <c r="X291" i="17" a="1"/>
  <c r="X291" i="17" s="1"/>
  <c r="Y291" i="17" s="1"/>
  <c r="Q291" i="17" s="1"/>
  <c r="W291" i="17" s="1"/>
  <c r="X341" i="17" a="1"/>
  <c r="X341" i="17" s="1"/>
  <c r="Y341" i="17" s="1"/>
  <c r="Q341" i="17" s="1"/>
  <c r="W341" i="17" s="1"/>
  <c r="X391" i="17" a="1"/>
  <c r="X391" i="17" s="1"/>
  <c r="Y391" i="17" s="1"/>
  <c r="Q391" i="17" s="1"/>
  <c r="W391" i="17" s="1"/>
  <c r="X636" i="17" a="1"/>
  <c r="X636" i="17" s="1"/>
  <c r="Y636" i="17" s="1"/>
  <c r="Q636" i="17" s="1"/>
  <c r="W636" i="17" s="1"/>
  <c r="X637" i="17" a="1"/>
  <c r="X637" i="17" s="1"/>
  <c r="Y637" i="17" s="1"/>
  <c r="Q637" i="17" s="1"/>
  <c r="W637" i="17" s="1"/>
  <c r="X638" i="17" a="1"/>
  <c r="X638" i="17" s="1"/>
  <c r="Y638" i="17" s="1"/>
  <c r="Q638" i="17" s="1"/>
  <c r="W638" i="17" s="1"/>
  <c r="X639" i="17" a="1"/>
  <c r="X639" i="17" s="1"/>
  <c r="X640" i="17" a="1"/>
  <c r="X640" i="17" s="1"/>
  <c r="X641" i="17" a="1"/>
  <c r="X641" i="17" s="1"/>
  <c r="Y641" i="17" s="1"/>
  <c r="Q641" i="17" s="1"/>
  <c r="W641" i="17" s="1"/>
  <c r="X42" i="17" a="1"/>
  <c r="X42" i="17" s="1"/>
  <c r="Y42" i="17" s="1"/>
  <c r="X92" i="17" a="1"/>
  <c r="X92" i="17" s="1"/>
  <c r="X142" i="17" a="1"/>
  <c r="X142" i="17" s="1"/>
  <c r="Y142" i="17" s="1"/>
  <c r="Q142" i="17" s="1"/>
  <c r="W142" i="17" s="1"/>
  <c r="X192" i="17" a="1"/>
  <c r="X192" i="17" s="1"/>
  <c r="Y192" i="17" s="1"/>
  <c r="X242" i="17" a="1"/>
  <c r="X242" i="17" s="1"/>
  <c r="X292" i="17" a="1"/>
  <c r="X292" i="17" s="1"/>
  <c r="X342" i="17" a="1"/>
  <c r="X342" i="17" s="1"/>
  <c r="X392" i="17" a="1"/>
  <c r="X392" i="17" s="1"/>
  <c r="Y392" i="17" s="1"/>
  <c r="Q392" i="17" s="1"/>
  <c r="W392" i="17" s="1"/>
  <c r="X642" i="17" a="1"/>
  <c r="X642" i="17" s="1"/>
  <c r="Y642" i="17" s="1"/>
  <c r="Q642" i="17" s="1"/>
  <c r="W642" i="17" s="1"/>
  <c r="X643" i="17" a="1"/>
  <c r="X643" i="17" s="1"/>
  <c r="X644" i="17" a="1"/>
  <c r="X644" i="17" s="1"/>
  <c r="Y644" i="17" s="1"/>
  <c r="Q644" i="17" s="1"/>
  <c r="W644" i="17" s="1"/>
  <c r="X645" i="17" a="1"/>
  <c r="X645" i="17" s="1"/>
  <c r="Y645" i="17" s="1"/>
  <c r="Q645" i="17" s="1"/>
  <c r="W645" i="17" s="1"/>
  <c r="X646" i="17" a="1"/>
  <c r="X646" i="17" s="1"/>
  <c r="Y646" i="17" s="1"/>
  <c r="Q646" i="17" s="1"/>
  <c r="W646" i="17" s="1"/>
  <c r="X647" i="17" a="1"/>
  <c r="X647" i="17" s="1"/>
  <c r="X43" i="17" a="1"/>
  <c r="X43" i="17" s="1"/>
  <c r="X93" i="17" a="1"/>
  <c r="X93" i="17" s="1"/>
  <c r="Y93" i="17" s="1"/>
  <c r="Q93" i="17" s="1"/>
  <c r="W93" i="17" s="1"/>
  <c r="X143" i="17" a="1"/>
  <c r="X143" i="17" s="1"/>
  <c r="Y143" i="17" s="1"/>
  <c r="Q143" i="17" s="1"/>
  <c r="W143" i="17" s="1"/>
  <c r="X193" i="17" a="1"/>
  <c r="X193" i="17" s="1"/>
  <c r="X243" i="17" a="1"/>
  <c r="X243" i="17" s="1"/>
  <c r="Y243" i="17" s="1"/>
  <c r="Q243" i="17" s="1"/>
  <c r="W243" i="17" s="1"/>
  <c r="X293" i="17" a="1"/>
  <c r="X293" i="17" s="1"/>
  <c r="Y293" i="17" s="1"/>
  <c r="X343" i="17" a="1"/>
  <c r="X343" i="17" s="1"/>
  <c r="X393" i="17" a="1"/>
  <c r="X393" i="17" s="1"/>
  <c r="X648" i="17" a="1"/>
  <c r="X648" i="17" s="1"/>
  <c r="X649" i="17" a="1"/>
  <c r="X649" i="17" s="1"/>
  <c r="Y649" i="17" s="1"/>
  <c r="Q649" i="17" s="1"/>
  <c r="W649" i="17" s="1"/>
  <c r="X650" i="17" a="1"/>
  <c r="X650" i="17" s="1"/>
  <c r="Y650" i="17" s="1"/>
  <c r="X651" i="17" a="1"/>
  <c r="X651" i="17" s="1"/>
  <c r="Y651" i="17" s="1"/>
  <c r="Q651" i="17" s="1"/>
  <c r="W651" i="17" s="1"/>
  <c r="X652" i="17" a="1"/>
  <c r="X652" i="17" s="1"/>
  <c r="Y652" i="17" s="1"/>
  <c r="Q652" i="17" s="1"/>
  <c r="W652" i="17" s="1"/>
  <c r="X653" i="17" a="1"/>
  <c r="X653" i="17" s="1"/>
  <c r="Y653" i="17" s="1"/>
  <c r="Q653" i="17" s="1"/>
  <c r="W653" i="17" s="1"/>
  <c r="X44" i="17" a="1"/>
  <c r="X44" i="17" s="1"/>
  <c r="Y44" i="17" s="1"/>
  <c r="Q44" i="17" s="1"/>
  <c r="W44" i="17" s="1"/>
  <c r="X94" i="17" a="1"/>
  <c r="X94" i="17" s="1"/>
  <c r="X144" i="17" a="1"/>
  <c r="X144" i="17" s="1"/>
  <c r="X194" i="17" a="1"/>
  <c r="X194" i="17" s="1"/>
  <c r="Y194" i="17" s="1"/>
  <c r="Q194" i="17" s="1"/>
  <c r="W194" i="17" s="1"/>
  <c r="X244" i="17" a="1"/>
  <c r="X244" i="17" s="1"/>
  <c r="Y244" i="17" s="1"/>
  <c r="Q244" i="17" s="1"/>
  <c r="W244" i="17" s="1"/>
  <c r="X294" i="17" a="1"/>
  <c r="X294" i="17" s="1"/>
  <c r="Y294" i="17" s="1"/>
  <c r="Q294" i="17" s="1"/>
  <c r="W294" i="17" s="1"/>
  <c r="X344" i="17" a="1"/>
  <c r="X344" i="17" s="1"/>
  <c r="Y344" i="17" s="1"/>
  <c r="Q344" i="17" s="1"/>
  <c r="W344" i="17" s="1"/>
  <c r="X394" i="17" a="1"/>
  <c r="X394" i="17" s="1"/>
  <c r="Y394" i="17" s="1"/>
  <c r="X654" i="17" a="1"/>
  <c r="X654" i="17" s="1"/>
  <c r="X655" i="17" a="1"/>
  <c r="X655" i="17" s="1"/>
  <c r="X656" i="17" a="1"/>
  <c r="X656" i="17" s="1"/>
  <c r="Y656" i="17" s="1"/>
  <c r="Q656" i="17" s="1"/>
  <c r="W656" i="17" s="1"/>
  <c r="X657" i="17" a="1"/>
  <c r="X657" i="17" s="1"/>
  <c r="X658" i="17" a="1"/>
  <c r="X658" i="17" s="1"/>
  <c r="Y658" i="17" s="1"/>
  <c r="Q658" i="17" s="1"/>
  <c r="W658" i="17" s="1"/>
  <c r="X659" i="17" a="1"/>
  <c r="X659" i="17" s="1"/>
  <c r="X45" i="17" a="1"/>
  <c r="X45" i="17" s="1"/>
  <c r="Y45" i="17" s="1"/>
  <c r="Q45" i="17" s="1"/>
  <c r="W45" i="17" s="1"/>
  <c r="X95" i="17" a="1"/>
  <c r="X95" i="17" s="1"/>
  <c r="Y95" i="17" s="1"/>
  <c r="Q95" i="17" s="1"/>
  <c r="W95" i="17" s="1"/>
  <c r="X145" i="17" a="1"/>
  <c r="X145" i="17" s="1"/>
  <c r="X195" i="17" a="1"/>
  <c r="X195" i="17" s="1"/>
  <c r="X245" i="17" a="1"/>
  <c r="X245" i="17" s="1"/>
  <c r="X295" i="17" a="1"/>
  <c r="X295" i="17" s="1"/>
  <c r="Y295" i="17" s="1"/>
  <c r="Q295" i="17" s="1"/>
  <c r="W295" i="17" s="1"/>
  <c r="X345" i="17" a="1"/>
  <c r="X345" i="17" s="1"/>
  <c r="Y345" i="17" s="1"/>
  <c r="Q345" i="17" s="1"/>
  <c r="W345" i="17" s="1"/>
  <c r="X395" i="17" a="1"/>
  <c r="X395" i="17" s="1"/>
  <c r="X660" i="17" a="1"/>
  <c r="X660" i="17" s="1"/>
  <c r="Y660" i="17" s="1"/>
  <c r="Q660" i="17" s="1"/>
  <c r="W660" i="17" s="1"/>
  <c r="X661" i="17" a="1"/>
  <c r="X661" i="17" s="1"/>
  <c r="Y661" i="17" s="1"/>
  <c r="Q661" i="17" s="1"/>
  <c r="W661" i="17" s="1"/>
  <c r="X662" i="17" a="1"/>
  <c r="X662" i="17" s="1"/>
  <c r="X663" i="17" a="1"/>
  <c r="X663" i="17" s="1"/>
  <c r="Y663" i="17" s="1"/>
  <c r="Q663" i="17" s="1"/>
  <c r="W663" i="17" s="1"/>
  <c r="X664" i="17" a="1"/>
  <c r="X664" i="17" s="1"/>
  <c r="Y664" i="17" s="1"/>
  <c r="Q664" i="17" s="1"/>
  <c r="W664" i="17" s="1"/>
  <c r="X665" i="17" a="1"/>
  <c r="X665" i="17" s="1"/>
  <c r="Y665" i="17" s="1"/>
  <c r="Q665" i="17" s="1"/>
  <c r="W665" i="17" s="1"/>
  <c r="X46" i="17" a="1"/>
  <c r="X46" i="17" s="1"/>
  <c r="Y46" i="17" s="1"/>
  <c r="Q46" i="17" s="1"/>
  <c r="W46" i="17" s="1"/>
  <c r="X96" i="17" a="1"/>
  <c r="X96" i="17" s="1"/>
  <c r="Y96" i="17" s="1"/>
  <c r="Q96" i="17" s="1"/>
  <c r="W96" i="17" s="1"/>
  <c r="X146" i="17" a="1"/>
  <c r="X146" i="17" s="1"/>
  <c r="Y146" i="17" s="1"/>
  <c r="Q146" i="17" s="1"/>
  <c r="W146" i="17" s="1"/>
  <c r="X196" i="17" a="1"/>
  <c r="X196" i="17" s="1"/>
  <c r="Y196" i="17" s="1"/>
  <c r="Q196" i="17" s="1"/>
  <c r="W196" i="17" s="1"/>
  <c r="X246" i="17" a="1"/>
  <c r="X246" i="17" s="1"/>
  <c r="X296" i="17" a="1"/>
  <c r="X296" i="17" s="1"/>
  <c r="X346" i="17" a="1"/>
  <c r="X346" i="17" s="1"/>
  <c r="X396" i="17" a="1"/>
  <c r="X396" i="17" s="1"/>
  <c r="Y396" i="17" s="1"/>
  <c r="Q396" i="17" s="1"/>
  <c r="W396" i="17" s="1"/>
  <c r="X666" i="17" a="1"/>
  <c r="X666" i="17" s="1"/>
  <c r="Y666" i="17" s="1"/>
  <c r="Q666" i="17" s="1"/>
  <c r="W666" i="17" s="1"/>
  <c r="X667" i="17" a="1"/>
  <c r="X667" i="17" s="1"/>
  <c r="Y667" i="17" s="1"/>
  <c r="Q667" i="17" s="1"/>
  <c r="W667" i="17" s="1"/>
  <c r="X668" i="17" a="1"/>
  <c r="X668" i="17"/>
  <c r="Y668" i="17" s="1"/>
  <c r="Q668" i="17" s="1"/>
  <c r="W668" i="17" s="1"/>
  <c r="X669" i="17" a="1"/>
  <c r="X669" i="17" s="1"/>
  <c r="Y669" i="17" s="1"/>
  <c r="Q669" i="17" s="1"/>
  <c r="W669" i="17" s="1"/>
  <c r="X670" i="17" a="1"/>
  <c r="X670" i="17" s="1"/>
  <c r="X671" i="17" a="1"/>
  <c r="X671" i="17" s="1"/>
  <c r="Y671" i="17" s="1"/>
  <c r="Q671" i="17" s="1"/>
  <c r="W671" i="17" s="1"/>
  <c r="X47" i="17" a="1"/>
  <c r="X47" i="17" s="1"/>
  <c r="X97" i="17" a="1"/>
  <c r="X97" i="17" s="1"/>
  <c r="X147" i="17" a="1"/>
  <c r="X147" i="17" s="1"/>
  <c r="Y147" i="17" s="1"/>
  <c r="Q147" i="17" s="1"/>
  <c r="W147" i="17" s="1"/>
  <c r="X197" i="17" a="1"/>
  <c r="X197" i="17" s="1"/>
  <c r="X247" i="17" a="1"/>
  <c r="X247" i="17" s="1"/>
  <c r="Y247" i="17" s="1"/>
  <c r="Q247" i="17" s="1"/>
  <c r="W247" i="17" s="1"/>
  <c r="X297" i="17" a="1"/>
  <c r="X297" i="17"/>
  <c r="X347" i="17" a="1"/>
  <c r="X347" i="17" s="1"/>
  <c r="X397" i="17" a="1"/>
  <c r="X397" i="17" s="1"/>
  <c r="X672" i="17" a="1"/>
  <c r="X672" i="17" s="1"/>
  <c r="Y672" i="17" s="1"/>
  <c r="X673" i="17" a="1"/>
  <c r="X673" i="17"/>
  <c r="X674" i="17" a="1"/>
  <c r="X674" i="17" s="1"/>
  <c r="Y674" i="17" s="1"/>
  <c r="Q674" i="17" s="1"/>
  <c r="W674" i="17" s="1"/>
  <c r="X675" i="17" a="1"/>
  <c r="X675" i="17" s="1"/>
  <c r="X676" i="17" a="1"/>
  <c r="X676" i="17" s="1"/>
  <c r="Y676" i="17" s="1"/>
  <c r="Q676" i="17" s="1"/>
  <c r="W676" i="17" s="1"/>
  <c r="X677" i="17" a="1"/>
  <c r="X677" i="17" s="1"/>
  <c r="Y677" i="17" s="1"/>
  <c r="Q677" i="17" s="1"/>
  <c r="W677" i="17" s="1"/>
  <c r="X48" i="17" a="1"/>
  <c r="X48" i="17" s="1"/>
  <c r="Y48" i="17" s="1"/>
  <c r="Q48" i="17" s="1"/>
  <c r="W48" i="17" s="1"/>
  <c r="X98" i="17" a="1"/>
  <c r="X98" i="17" s="1"/>
  <c r="Y98" i="17" s="1"/>
  <c r="Q98" i="17" s="1"/>
  <c r="W98" i="17" s="1"/>
  <c r="X148" i="17" a="1"/>
  <c r="X148" i="17" s="1"/>
  <c r="Y148" i="17" s="1"/>
  <c r="Q148" i="17" s="1"/>
  <c r="W148" i="17" s="1"/>
  <c r="X198" i="17" a="1"/>
  <c r="X198" i="17" s="1"/>
  <c r="Y198" i="17" s="1"/>
  <c r="Q198" i="17" s="1"/>
  <c r="W198" i="17" s="1"/>
  <c r="X248" i="17" a="1"/>
  <c r="X248" i="17" s="1"/>
  <c r="Y248" i="17" s="1"/>
  <c r="X298" i="17" a="1"/>
  <c r="X298" i="17" s="1"/>
  <c r="X348" i="17" a="1"/>
  <c r="X348" i="17" s="1"/>
  <c r="Y348" i="17" s="1"/>
  <c r="Q348" i="17" s="1"/>
  <c r="W348" i="17" s="1"/>
  <c r="X398" i="17" a="1"/>
  <c r="X398" i="17" s="1"/>
  <c r="Y398" i="17" s="1"/>
  <c r="Q398" i="17" s="1"/>
  <c r="W398" i="17" s="1"/>
  <c r="X678" i="17" a="1"/>
  <c r="X678" i="17" s="1"/>
  <c r="Y678" i="17" s="1"/>
  <c r="Q678" i="17" s="1"/>
  <c r="W678" i="17" s="1"/>
  <c r="X679" i="17" a="1"/>
  <c r="X679" i="17" s="1"/>
  <c r="Y679" i="17" s="1"/>
  <c r="Q679" i="17" s="1"/>
  <c r="W679" i="17" s="1"/>
  <c r="X680" i="17" a="1"/>
  <c r="X680" i="17" s="1"/>
  <c r="Y680" i="17" s="1"/>
  <c r="Q680" i="17" s="1"/>
  <c r="W680" i="17" s="1"/>
  <c r="X681" i="17" a="1"/>
  <c r="X681" i="17" s="1"/>
  <c r="Y681" i="17" s="1"/>
  <c r="Q681" i="17" s="1"/>
  <c r="W681" i="17" s="1"/>
  <c r="X682" i="17" a="1"/>
  <c r="X682" i="17" s="1"/>
  <c r="Y682" i="17" s="1"/>
  <c r="Q682" i="17" s="1"/>
  <c r="W682" i="17" s="1"/>
  <c r="X683" i="17" a="1"/>
  <c r="X683" i="17" s="1"/>
  <c r="Y683" i="17" s="1"/>
  <c r="Q683" i="17" s="1"/>
  <c r="W683" i="17" s="1"/>
  <c r="X49" i="17" a="1"/>
  <c r="X49" i="17" s="1"/>
  <c r="Y49" i="17" s="1"/>
  <c r="Q49" i="17" s="1"/>
  <c r="W49" i="17" s="1"/>
  <c r="X99" i="17" a="1"/>
  <c r="X99" i="17" s="1"/>
  <c r="Y99" i="17" s="1"/>
  <c r="Q99" i="17" s="1"/>
  <c r="W99" i="17" s="1"/>
  <c r="X149" i="17" a="1"/>
  <c r="X149" i="17" s="1"/>
  <c r="X199" i="17" a="1"/>
  <c r="X199" i="17" s="1"/>
  <c r="Y199" i="17" s="1"/>
  <c r="Q199" i="17" s="1"/>
  <c r="W199" i="17" s="1"/>
  <c r="X249" i="17" a="1"/>
  <c r="X249" i="17" s="1"/>
  <c r="Y249" i="17" s="1"/>
  <c r="Q249" i="17" s="1"/>
  <c r="W249" i="17" s="1"/>
  <c r="X299" i="17" a="1"/>
  <c r="X299" i="17" s="1"/>
  <c r="Y299" i="17" s="1"/>
  <c r="Q299" i="17" s="1"/>
  <c r="W299" i="17" s="1"/>
  <c r="X349" i="17" a="1"/>
  <c r="X349" i="17" s="1"/>
  <c r="Y349" i="17" s="1"/>
  <c r="Q349" i="17" s="1"/>
  <c r="W349" i="17" s="1"/>
  <c r="X399" i="17" a="1"/>
  <c r="X399" i="17" s="1"/>
  <c r="X684" i="17" a="1"/>
  <c r="X684" i="17" s="1"/>
  <c r="Y684" i="17" s="1"/>
  <c r="Q684" i="17" s="1"/>
  <c r="W684" i="17" s="1"/>
  <c r="X685" i="17" a="1"/>
  <c r="X685" i="17" s="1"/>
  <c r="Y685" i="17" s="1"/>
  <c r="Q685" i="17" s="1"/>
  <c r="W685" i="17" s="1"/>
  <c r="X686" i="17" a="1"/>
  <c r="X686" i="17" s="1"/>
  <c r="Y686" i="17" s="1"/>
  <c r="X687" i="17" a="1"/>
  <c r="X687" i="17" s="1"/>
  <c r="X688" i="17" a="1"/>
  <c r="X688" i="17" s="1"/>
  <c r="Y688" i="17" s="1"/>
  <c r="Q688" i="17" s="1"/>
  <c r="W688" i="17" s="1"/>
  <c r="X689" i="17" a="1"/>
  <c r="X689" i="17" s="1"/>
  <c r="Y689" i="17" s="1"/>
  <c r="X50" i="17" a="1"/>
  <c r="X50" i="17" s="1"/>
  <c r="X100" i="17" a="1"/>
  <c r="X100" i="17" s="1"/>
  <c r="X150" i="17" a="1"/>
  <c r="X150" i="17" s="1"/>
  <c r="Y150" i="17" s="1"/>
  <c r="Q150" i="17" s="1"/>
  <c r="W150" i="17" s="1"/>
  <c r="X200" i="17" a="1"/>
  <c r="X200" i="17" s="1"/>
  <c r="Y200" i="17" s="1"/>
  <c r="Q200" i="17" s="1"/>
  <c r="W200" i="17" s="1"/>
  <c r="X250" i="17" a="1"/>
  <c r="X250" i="17" s="1"/>
  <c r="X300" i="17" a="1"/>
  <c r="X300" i="17" s="1"/>
  <c r="X350" i="17" a="1"/>
  <c r="X350" i="17" s="1"/>
  <c r="Y350" i="17" s="1"/>
  <c r="Q350" i="17" s="1"/>
  <c r="W350" i="17" s="1"/>
  <c r="X400" i="17" a="1"/>
  <c r="X400" i="17" s="1"/>
  <c r="Y400" i="17" s="1"/>
  <c r="Q400" i="17" s="1"/>
  <c r="W400" i="17" s="1"/>
  <c r="X690" i="17" a="1"/>
  <c r="X690" i="17"/>
  <c r="X691" i="17" a="1"/>
  <c r="X691" i="17" s="1"/>
  <c r="X692" i="17" a="1"/>
  <c r="X692" i="17" s="1"/>
  <c r="Y692" i="17" s="1"/>
  <c r="Q692" i="17" s="1"/>
  <c r="W692" i="17" s="1"/>
  <c r="X693" i="17" a="1"/>
  <c r="X693" i="17" s="1"/>
  <c r="Y693" i="17" s="1"/>
  <c r="Q693" i="17" s="1"/>
  <c r="W693" i="17" s="1"/>
  <c r="X694" i="17" a="1"/>
  <c r="X694" i="17" s="1"/>
  <c r="X695" i="17" a="1"/>
  <c r="X695" i="17" s="1"/>
  <c r="X51" i="17" a="1"/>
  <c r="X51" i="17" s="1"/>
  <c r="Y51" i="17" s="1"/>
  <c r="Q51" i="17" s="1"/>
  <c r="W51" i="17" s="1"/>
  <c r="X101" i="17" a="1"/>
  <c r="X101" i="17" s="1"/>
  <c r="Y101" i="17" s="1"/>
  <c r="Q101" i="17" s="1"/>
  <c r="W101" i="17" s="1"/>
  <c r="X151" i="17" a="1"/>
  <c r="X151" i="17" s="1"/>
  <c r="Y151" i="17" s="1"/>
  <c r="Q151" i="17" s="1"/>
  <c r="W151" i="17" s="1"/>
  <c r="X201" i="17" a="1"/>
  <c r="X201" i="17" s="1"/>
  <c r="Y201" i="17" s="1"/>
  <c r="Q201" i="17" s="1"/>
  <c r="W201" i="17" s="1"/>
  <c r="X251" i="17" a="1"/>
  <c r="X251" i="17" s="1"/>
  <c r="Y251" i="17" s="1"/>
  <c r="Q251" i="17" s="1"/>
  <c r="W251" i="17" s="1"/>
  <c r="X301" i="17" a="1"/>
  <c r="X301" i="17" s="1"/>
  <c r="X351" i="17" a="1"/>
  <c r="X351" i="17" s="1"/>
  <c r="Y351" i="17" s="1"/>
  <c r="Q351" i="17" s="1"/>
  <c r="W351" i="17" s="1"/>
  <c r="X401" i="17" a="1"/>
  <c r="X401" i="17" s="1"/>
  <c r="Y401" i="17" s="1"/>
  <c r="Q401" i="17" s="1"/>
  <c r="W401" i="17" s="1"/>
  <c r="X696" i="17" a="1"/>
  <c r="X696" i="17" s="1"/>
  <c r="Y696" i="17" s="1"/>
  <c r="Q696" i="17" s="1"/>
  <c r="W696" i="17" s="1"/>
  <c r="X697" i="17" a="1"/>
  <c r="X697" i="17" s="1"/>
  <c r="Y697" i="17" s="1"/>
  <c r="Q697" i="17" s="1"/>
  <c r="W697" i="17" s="1"/>
  <c r="X698" i="17" a="1"/>
  <c r="X698" i="17" s="1"/>
  <c r="Y698" i="17" s="1"/>
  <c r="Q698" i="17" s="1"/>
  <c r="W698" i="17" s="1"/>
  <c r="X699" i="17" a="1"/>
  <c r="X699" i="17" s="1"/>
  <c r="Y699" i="17" s="1"/>
  <c r="Q699" i="17" s="1"/>
  <c r="W699" i="17" s="1"/>
  <c r="X700" i="17" a="1"/>
  <c r="X700" i="17" s="1"/>
  <c r="Y700" i="17" s="1"/>
  <c r="Q700" i="17" s="1"/>
  <c r="W700" i="17" s="1"/>
  <c r="X701" i="17" a="1"/>
  <c r="X701" i="17" s="1"/>
  <c r="Y701" i="17" s="1"/>
  <c r="Q701" i="17" s="1"/>
  <c r="W701" i="17" s="1"/>
  <c r="Y2" i="17"/>
  <c r="Q2" i="17" s="1"/>
  <c r="W2" i="17" s="1"/>
  <c r="Y202" i="17"/>
  <c r="Q202" i="17" s="1"/>
  <c r="W202" i="17" s="1"/>
  <c r="Y252" i="17"/>
  <c r="Q252" i="17" s="1"/>
  <c r="W252" i="17" s="1"/>
  <c r="Y302" i="17"/>
  <c r="Q302" i="17" s="1"/>
  <c r="W302" i="17" s="1"/>
  <c r="Y352" i="17"/>
  <c r="Q352" i="17" s="1"/>
  <c r="W352" i="17" s="1"/>
  <c r="Y402" i="17"/>
  <c r="Q402" i="17" s="1"/>
  <c r="W402" i="17" s="1"/>
  <c r="Y404" i="17"/>
  <c r="Q404" i="17" s="1"/>
  <c r="W404" i="17" s="1"/>
  <c r="Y3" i="17"/>
  <c r="Q3" i="17" s="1"/>
  <c r="W3" i="17" s="1"/>
  <c r="Y53" i="17"/>
  <c r="Q53" i="17" s="1"/>
  <c r="W53" i="17" s="1"/>
  <c r="Y203" i="17"/>
  <c r="Q203" i="17" s="1"/>
  <c r="W203" i="17" s="1"/>
  <c r="Y303" i="17"/>
  <c r="Q303" i="17" s="1"/>
  <c r="W303" i="17" s="1"/>
  <c r="Y353" i="17"/>
  <c r="Y408" i="17"/>
  <c r="Q408" i="17" s="1"/>
  <c r="W408" i="17" s="1"/>
  <c r="Y410" i="17"/>
  <c r="Q410" i="17" s="1"/>
  <c r="W410" i="17" s="1"/>
  <c r="Y411" i="17"/>
  <c r="Y4" i="17"/>
  <c r="Q4" i="17" s="1"/>
  <c r="W4" i="17" s="1"/>
  <c r="Y104" i="17"/>
  <c r="Q104" i="17" s="1"/>
  <c r="W104" i="17" s="1"/>
  <c r="Y154" i="17"/>
  <c r="Q154" i="17" s="1"/>
  <c r="W154" i="17" s="1"/>
  <c r="Y254" i="17"/>
  <c r="Q254" i="17" s="1"/>
  <c r="W254" i="17" s="1"/>
  <c r="Y304" i="17"/>
  <c r="Q304" i="17" s="1"/>
  <c r="W304" i="17" s="1"/>
  <c r="Y415" i="17"/>
  <c r="Q415" i="17" s="1"/>
  <c r="W415" i="17" s="1"/>
  <c r="Y416" i="17"/>
  <c r="Q416" i="17" s="1"/>
  <c r="W416" i="17" s="1"/>
  <c r="Y419" i="17"/>
  <c r="Q419" i="17" s="1"/>
  <c r="W419" i="17" s="1"/>
  <c r="Y5" i="17"/>
  <c r="Q5" i="17" s="1"/>
  <c r="W5" i="17" s="1"/>
  <c r="Y105" i="17"/>
  <c r="Q105" i="17" s="1"/>
  <c r="W105" i="17" s="1"/>
  <c r="Y155" i="17"/>
  <c r="Q155" i="17" s="1"/>
  <c r="W155" i="17" s="1"/>
  <c r="Y205" i="17"/>
  <c r="Q205" i="17" s="1"/>
  <c r="W205" i="17" s="1"/>
  <c r="Y255" i="17"/>
  <c r="Q255" i="17" s="1"/>
  <c r="W255" i="17" s="1"/>
  <c r="Y305" i="17"/>
  <c r="Q305" i="17" s="1"/>
  <c r="W305" i="17" s="1"/>
  <c r="Y420" i="17"/>
  <c r="Y422" i="17"/>
  <c r="Q422" i="17" s="1"/>
  <c r="W422" i="17" s="1"/>
  <c r="Y423" i="17"/>
  <c r="Q423" i="17" s="1"/>
  <c r="W423" i="17" s="1"/>
  <c r="Y424" i="17"/>
  <c r="Q424" i="17" s="1"/>
  <c r="W424" i="17" s="1"/>
  <c r="Y6" i="17"/>
  <c r="Q6" i="17" s="1"/>
  <c r="W6" i="17" s="1"/>
  <c r="Y106" i="17"/>
  <c r="Q106" i="17" s="1"/>
  <c r="W106" i="17" s="1"/>
  <c r="Y256" i="17"/>
  <c r="Q256" i="17" s="1"/>
  <c r="W256" i="17" s="1"/>
  <c r="Y306" i="17"/>
  <c r="Q306" i="17" s="1"/>
  <c r="W306" i="17" s="1"/>
  <c r="Y356" i="17"/>
  <c r="Q356" i="17" s="1"/>
  <c r="W356" i="17" s="1"/>
  <c r="Y426" i="17"/>
  <c r="Q426" i="17" s="1"/>
  <c r="W426" i="17" s="1"/>
  <c r="Y430" i="17"/>
  <c r="Q430" i="17" s="1"/>
  <c r="W430" i="17" s="1"/>
  <c r="Y431" i="17"/>
  <c r="Q431" i="17" s="1"/>
  <c r="W431" i="17" s="1"/>
  <c r="Y7" i="17"/>
  <c r="Q7" i="17" s="1"/>
  <c r="W7" i="17" s="1"/>
  <c r="Y57" i="17"/>
  <c r="Y107" i="17"/>
  <c r="Q107" i="17" s="1"/>
  <c r="W107" i="17" s="1"/>
  <c r="Y207" i="17"/>
  <c r="Q207" i="17" s="1"/>
  <c r="W207" i="17" s="1"/>
  <c r="Y307" i="17"/>
  <c r="Q307" i="17" s="1"/>
  <c r="W307" i="17" s="1"/>
  <c r="Y432" i="17"/>
  <c r="Y433" i="17"/>
  <c r="Q433" i="17" s="1"/>
  <c r="W433" i="17" s="1"/>
  <c r="Y434" i="17"/>
  <c r="Q434" i="17" s="1"/>
  <c r="W434" i="17" s="1"/>
  <c r="Y436" i="17"/>
  <c r="Q436" i="17" s="1"/>
  <c r="W436" i="17" s="1"/>
  <c r="Y58" i="17"/>
  <c r="Q58" i="17" s="1"/>
  <c r="W58" i="17" s="1"/>
  <c r="Y108" i="17"/>
  <c r="Q108" i="17" s="1"/>
  <c r="W108" i="17" s="1"/>
  <c r="Y158" i="17"/>
  <c r="Q158" i="17" s="1"/>
  <c r="W158" i="17" s="1"/>
  <c r="Y208" i="17"/>
  <c r="Y358" i="17"/>
  <c r="Q358" i="17" s="1"/>
  <c r="W358" i="17" s="1"/>
  <c r="Y438" i="17"/>
  <c r="Q438" i="17" s="1"/>
  <c r="W438" i="17" s="1"/>
  <c r="Y439" i="17"/>
  <c r="Y440" i="17"/>
  <c r="Q440" i="17" s="1"/>
  <c r="W440" i="17" s="1"/>
  <c r="Y441" i="17"/>
  <c r="Y9" i="17"/>
  <c r="Q9" i="17" s="1"/>
  <c r="W9" i="17" s="1"/>
  <c r="Y209" i="17"/>
  <c r="Y259" i="17"/>
  <c r="Q259" i="17" s="1"/>
  <c r="W259" i="17" s="1"/>
  <c r="Y309" i="17"/>
  <c r="Q309" i="17" s="1"/>
  <c r="W309" i="17" s="1"/>
  <c r="Y359" i="17"/>
  <c r="Q359" i="17" s="1"/>
  <c r="W359" i="17" s="1"/>
  <c r="Y447" i="17"/>
  <c r="Q447" i="17" s="1"/>
  <c r="W447" i="17" s="1"/>
  <c r="Y448" i="17"/>
  <c r="Q448" i="17" s="1"/>
  <c r="W448" i="17" s="1"/>
  <c r="Y449" i="17"/>
  <c r="Y10" i="17"/>
  <c r="Y110" i="17"/>
  <c r="Q110" i="17" s="1"/>
  <c r="W110" i="17" s="1"/>
  <c r="Y210" i="17"/>
  <c r="Q210" i="17" s="1"/>
  <c r="W210" i="17" s="1"/>
  <c r="Y310" i="17"/>
  <c r="Y360" i="17"/>
  <c r="Q360" i="17" s="1"/>
  <c r="W360" i="17" s="1"/>
  <c r="Y451" i="17"/>
  <c r="Q451" i="17" s="1"/>
  <c r="W451" i="17" s="1"/>
  <c r="Y452" i="17"/>
  <c r="Q452" i="17" s="1"/>
  <c r="W452" i="17" s="1"/>
  <c r="Y11" i="17"/>
  <c r="Q11" i="17" s="1"/>
  <c r="W11" i="17" s="1"/>
  <c r="Y61" i="17"/>
  <c r="Q61" i="17" s="1"/>
  <c r="W61" i="17" s="1"/>
  <c r="Y111" i="17"/>
  <c r="Q111" i="17" s="1"/>
  <c r="W111" i="17" s="1"/>
  <c r="Y311" i="17"/>
  <c r="Y361" i="17"/>
  <c r="Q361" i="17" s="1"/>
  <c r="W361" i="17" s="1"/>
  <c r="Y456" i="17"/>
  <c r="Q456" i="17" s="1"/>
  <c r="W456" i="17" s="1"/>
  <c r="Y457" i="17"/>
  <c r="Y458" i="17"/>
  <c r="Q458" i="17" s="1"/>
  <c r="W458" i="17" s="1"/>
  <c r="Y460" i="17"/>
  <c r="Q460" i="17" s="1"/>
  <c r="W460" i="17" s="1"/>
  <c r="Y12" i="17"/>
  <c r="Q12" i="17" s="1"/>
  <c r="W12" i="17" s="1"/>
  <c r="Y112" i="17"/>
  <c r="Q112" i="17" s="1"/>
  <c r="W112" i="17" s="1"/>
  <c r="Y312" i="17"/>
  <c r="Q312" i="17" s="1"/>
  <c r="W312" i="17" s="1"/>
  <c r="Y462" i="17"/>
  <c r="Q462" i="17" s="1"/>
  <c r="W462" i="17" s="1"/>
  <c r="Y463" i="17"/>
  <c r="Y464" i="17"/>
  <c r="Y465" i="17"/>
  <c r="Q465" i="17" s="1"/>
  <c r="W465" i="17" s="1"/>
  <c r="Y466" i="17"/>
  <c r="Q466" i="17" s="1"/>
  <c r="W466" i="17" s="1"/>
  <c r="Y467" i="17"/>
  <c r="Q467" i="17" s="1"/>
  <c r="W467" i="17" s="1"/>
  <c r="Y113" i="17"/>
  <c r="Q113" i="17" s="1"/>
  <c r="W113" i="17" s="1"/>
  <c r="Y213" i="17"/>
  <c r="Q213" i="17" s="1"/>
  <c r="W213" i="17" s="1"/>
  <c r="Y263" i="17"/>
  <c r="Q263" i="17" s="1"/>
  <c r="W263" i="17" s="1"/>
  <c r="Y468" i="17"/>
  <c r="Q468" i="17" s="1"/>
  <c r="W468" i="17" s="1"/>
  <c r="Y471" i="17"/>
  <c r="Q471" i="17" s="1"/>
  <c r="W471" i="17" s="1"/>
  <c r="Y472" i="17"/>
  <c r="Q472" i="17" s="1"/>
  <c r="W472" i="17" s="1"/>
  <c r="Y473" i="17"/>
  <c r="Q473" i="17" s="1"/>
  <c r="W473" i="17" s="1"/>
  <c r="Y64" i="17"/>
  <c r="Q64" i="17" s="1"/>
  <c r="W64" i="17" s="1"/>
  <c r="Y114" i="17"/>
  <c r="Q114" i="17" s="1"/>
  <c r="W114" i="17" s="1"/>
  <c r="Y214" i="17"/>
  <c r="Y264" i="17"/>
  <c r="Q264" i="17" s="1"/>
  <c r="W264" i="17" s="1"/>
  <c r="Y314" i="17"/>
  <c r="Q314" i="17" s="1"/>
  <c r="W314" i="17" s="1"/>
  <c r="Y364" i="17"/>
  <c r="Q364" i="17" s="1"/>
  <c r="W364" i="17" s="1"/>
  <c r="Y474" i="17"/>
  <c r="Q474" i="17" s="1"/>
  <c r="W474" i="17" s="1"/>
  <c r="Y478" i="17"/>
  <c r="Q478" i="17" s="1"/>
  <c r="W478" i="17" s="1"/>
  <c r="Y15" i="17"/>
  <c r="Q15" i="17" s="1"/>
  <c r="W15" i="17" s="1"/>
  <c r="Y165" i="17"/>
  <c r="Q165" i="17" s="1"/>
  <c r="W165" i="17" s="1"/>
  <c r="Y215" i="17"/>
  <c r="Q215" i="17" s="1"/>
  <c r="W215" i="17" s="1"/>
  <c r="Y365" i="17"/>
  <c r="Q365" i="17" s="1"/>
  <c r="W365" i="17" s="1"/>
  <c r="Y480" i="17"/>
  <c r="Q480" i="17" s="1"/>
  <c r="W480" i="17" s="1"/>
  <c r="Y481" i="17"/>
  <c r="Q481" i="17" s="1"/>
  <c r="W481" i="17" s="1"/>
  <c r="Y482" i="17"/>
  <c r="Q482" i="17" s="1"/>
  <c r="W482" i="17" s="1"/>
  <c r="Y483" i="17"/>
  <c r="Q483" i="17" s="1"/>
  <c r="W483" i="17" s="1"/>
  <c r="Y485" i="17"/>
  <c r="Q485" i="17" s="1"/>
  <c r="W485" i="17" s="1"/>
  <c r="Y16" i="17"/>
  <c r="Q16" i="17" s="1"/>
  <c r="W16" i="17" s="1"/>
  <c r="Y66" i="17"/>
  <c r="Q66" i="17" s="1"/>
  <c r="W66" i="17" s="1"/>
  <c r="Y116" i="17"/>
  <c r="Q116" i="17" s="1"/>
  <c r="W116" i="17" s="1"/>
  <c r="Y166" i="17"/>
  <c r="Q166" i="17" s="1"/>
  <c r="W166" i="17" s="1"/>
  <c r="Y486" i="17"/>
  <c r="Q486" i="17" s="1"/>
  <c r="W486" i="17" s="1"/>
  <c r="Y488" i="17"/>
  <c r="Q488" i="17" s="1"/>
  <c r="W488" i="17" s="1"/>
  <c r="Y490" i="17"/>
  <c r="Q490" i="17" s="1"/>
  <c r="W490" i="17" s="1"/>
  <c r="Y491" i="17"/>
  <c r="Q491" i="17" s="1"/>
  <c r="W491" i="17" s="1"/>
  <c r="Y17" i="17"/>
  <c r="Q17" i="17" s="1"/>
  <c r="W17" i="17" s="1"/>
  <c r="Y167" i="17"/>
  <c r="Q167" i="17" s="1"/>
  <c r="W167" i="17" s="1"/>
  <c r="Y217" i="17"/>
  <c r="Q217" i="17" s="1"/>
  <c r="W217" i="17" s="1"/>
  <c r="Y267" i="17"/>
  <c r="Q267" i="17" s="1"/>
  <c r="W267" i="17" s="1"/>
  <c r="Y317" i="17"/>
  <c r="Q317" i="17" s="1"/>
  <c r="W317" i="17" s="1"/>
  <c r="Y492" i="17"/>
  <c r="Q492" i="17" s="1"/>
  <c r="W492" i="17" s="1"/>
  <c r="Y494" i="17"/>
  <c r="Q494" i="17" s="1"/>
  <c r="W494" i="17" s="1"/>
  <c r="Y495" i="17"/>
  <c r="Y496" i="17"/>
  <c r="Q496" i="17" s="1"/>
  <c r="W496" i="17" s="1"/>
  <c r="Y497" i="17"/>
  <c r="Q497" i="17" s="1"/>
  <c r="W497" i="17" s="1"/>
  <c r="Y68" i="17"/>
  <c r="Y118" i="17"/>
  <c r="Q118" i="17" s="1"/>
  <c r="W118" i="17" s="1"/>
  <c r="Y168" i="17"/>
  <c r="Q168" i="17" s="1"/>
  <c r="W168" i="17" s="1"/>
  <c r="Y318" i="17"/>
  <c r="Q318" i="17" s="1"/>
  <c r="W318" i="17" s="1"/>
  <c r="Y498" i="17"/>
  <c r="Q498" i="17" s="1"/>
  <c r="W498" i="17" s="1"/>
  <c r="Y499" i="17"/>
  <c r="Q499" i="17" s="1"/>
  <c r="W499" i="17" s="1"/>
  <c r="Y503" i="17"/>
  <c r="Q503" i="17" s="1"/>
  <c r="W503" i="17" s="1"/>
  <c r="Y19" i="17"/>
  <c r="Q19" i="17" s="1"/>
  <c r="W19" i="17" s="1"/>
  <c r="Y69" i="17"/>
  <c r="Q69" i="17" s="1"/>
  <c r="W69" i="17" s="1"/>
  <c r="Y119" i="17"/>
  <c r="Q119" i="17" s="1"/>
  <c r="W119" i="17" s="1"/>
  <c r="Y169" i="17"/>
  <c r="Q169" i="17" s="1"/>
  <c r="W169" i="17" s="1"/>
  <c r="Y219" i="17"/>
  <c r="Q219" i="17" s="1"/>
  <c r="W219" i="17" s="1"/>
  <c r="Y269" i="17"/>
  <c r="Q269" i="17" s="1"/>
  <c r="W269" i="17" s="1"/>
  <c r="Y319" i="17"/>
  <c r="Q319" i="17" s="1"/>
  <c r="W319" i="17" s="1"/>
  <c r="Y504" i="17"/>
  <c r="Q504" i="17" s="1"/>
  <c r="W504" i="17" s="1"/>
  <c r="Y505" i="17"/>
  <c r="Q505" i="17" s="1"/>
  <c r="W505" i="17" s="1"/>
  <c r="Y506" i="17"/>
  <c r="Q506" i="17" s="1"/>
  <c r="W506" i="17" s="1"/>
  <c r="Y507" i="17"/>
  <c r="Q507" i="17" s="1"/>
  <c r="W507" i="17" s="1"/>
  <c r="Y508" i="17"/>
  <c r="Y120" i="17"/>
  <c r="Q120" i="17" s="1"/>
  <c r="W120" i="17" s="1"/>
  <c r="Y220" i="17"/>
  <c r="Q220" i="17" s="1"/>
  <c r="W220" i="17" s="1"/>
  <c r="Y270" i="17"/>
  <c r="Y370" i="17"/>
  <c r="Q370" i="17" s="1"/>
  <c r="W370" i="17" s="1"/>
  <c r="Y510" i="17"/>
  <c r="Q510" i="17" s="1"/>
  <c r="W510" i="17" s="1"/>
  <c r="Y511" i="17"/>
  <c r="Q511" i="17" s="1"/>
  <c r="W511" i="17" s="1"/>
  <c r="Y512" i="17"/>
  <c r="Q512" i="17" s="1"/>
  <c r="W512" i="17" s="1"/>
  <c r="Y514" i="17"/>
  <c r="Q514" i="17" s="1"/>
  <c r="W514" i="17" s="1"/>
  <c r="Y515" i="17"/>
  <c r="Q515" i="17" s="1"/>
  <c r="W515" i="17" s="1"/>
  <c r="Y21" i="17"/>
  <c r="Q21" i="17" s="1"/>
  <c r="W21" i="17" s="1"/>
  <c r="Y71" i="17"/>
  <c r="Q71" i="17" s="1"/>
  <c r="W71" i="17" s="1"/>
  <c r="Y221" i="17"/>
  <c r="Q221" i="17" s="1"/>
  <c r="W221" i="17" s="1"/>
  <c r="Y271" i="17"/>
  <c r="Q271" i="17" s="1"/>
  <c r="W271" i="17" s="1"/>
  <c r="Y321" i="17"/>
  <c r="Q321" i="17" s="1"/>
  <c r="W321" i="17" s="1"/>
  <c r="Y371" i="17"/>
  <c r="Y516" i="17"/>
  <c r="Q516" i="17" s="1"/>
  <c r="W516" i="17" s="1"/>
  <c r="Y518" i="17"/>
  <c r="Q518" i="17" s="1"/>
  <c r="W518" i="17" s="1"/>
  <c r="Y519" i="17"/>
  <c r="Q519" i="17" s="1"/>
  <c r="W519" i="17" s="1"/>
  <c r="Y520" i="17"/>
  <c r="Q520" i="17" s="1"/>
  <c r="W520" i="17" s="1"/>
  <c r="Y22" i="17"/>
  <c r="Q22" i="17" s="1"/>
  <c r="W22" i="17" s="1"/>
  <c r="Y72" i="17"/>
  <c r="Q72" i="17" s="1"/>
  <c r="W72" i="17" s="1"/>
  <c r="Y172" i="17"/>
  <c r="Q172" i="17" s="1"/>
  <c r="W172" i="17" s="1"/>
  <c r="Y222" i="17"/>
  <c r="Q222" i="17" s="1"/>
  <c r="W222" i="17" s="1"/>
  <c r="Y272" i="17"/>
  <c r="Q272" i="17" s="1"/>
  <c r="W272" i="17" s="1"/>
  <c r="Y322" i="17"/>
  <c r="Q322" i="17" s="1"/>
  <c r="W322" i="17" s="1"/>
  <c r="Y372" i="17"/>
  <c r="Q372" i="17" s="1"/>
  <c r="W372" i="17" s="1"/>
  <c r="Y522" i="17"/>
  <c r="Q522" i="17" s="1"/>
  <c r="W522" i="17" s="1"/>
  <c r="Y524" i="17"/>
  <c r="Y525" i="17"/>
  <c r="Q525" i="17" s="1"/>
  <c r="W525" i="17" s="1"/>
  <c r="Y527" i="17"/>
  <c r="Y23" i="17"/>
  <c r="Q23" i="17" s="1"/>
  <c r="W23" i="17" s="1"/>
  <c r="Y173" i="17"/>
  <c r="Q173" i="17" s="1"/>
  <c r="W173" i="17" s="1"/>
  <c r="Y223" i="17"/>
  <c r="Q223" i="17" s="1"/>
  <c r="W223" i="17" s="1"/>
  <c r="Y273" i="17"/>
  <c r="Q273" i="17" s="1"/>
  <c r="W273" i="17" s="1"/>
  <c r="Y323" i="17"/>
  <c r="Q323" i="17" s="1"/>
  <c r="W323" i="17" s="1"/>
  <c r="Y373" i="17"/>
  <c r="Q373" i="17" s="1"/>
  <c r="W373" i="17" s="1"/>
  <c r="Y528" i="17"/>
  <c r="Q528" i="17" s="1"/>
  <c r="W528" i="17" s="1"/>
  <c r="Y529" i="17"/>
  <c r="Y530" i="17"/>
  <c r="Q530" i="17" s="1"/>
  <c r="W530" i="17" s="1"/>
  <c r="Y532" i="17"/>
  <c r="Q532" i="17" s="1"/>
  <c r="W532" i="17" s="1"/>
  <c r="Y533" i="17"/>
  <c r="Q533" i="17" s="1"/>
  <c r="W533" i="17" s="1"/>
  <c r="Y24" i="17"/>
  <c r="Q24" i="17" s="1"/>
  <c r="W24" i="17" s="1"/>
  <c r="Y124" i="17"/>
  <c r="Y324" i="17"/>
  <c r="Q324" i="17" s="1"/>
  <c r="W324" i="17" s="1"/>
  <c r="Y374" i="17"/>
  <c r="Q374" i="17" s="1"/>
  <c r="W374" i="17" s="1"/>
  <c r="Y535" i="17"/>
  <c r="Q535" i="17" s="1"/>
  <c r="W535" i="17" s="1"/>
  <c r="Y536" i="17"/>
  <c r="Q536" i="17" s="1"/>
  <c r="W536" i="17" s="1"/>
  <c r="Y537" i="17"/>
  <c r="Q537" i="17" s="1"/>
  <c r="W537" i="17" s="1"/>
  <c r="Y538" i="17"/>
  <c r="Q538" i="17" s="1"/>
  <c r="W538" i="17" s="1"/>
  <c r="Y539" i="17"/>
  <c r="Q539" i="17" s="1"/>
  <c r="W539" i="17" s="1"/>
  <c r="Y75" i="17"/>
  <c r="Q75" i="17" s="1"/>
  <c r="W75" i="17" s="1"/>
  <c r="Y125" i="17"/>
  <c r="Q125" i="17" s="1"/>
  <c r="W125" i="17" s="1"/>
  <c r="Y175" i="17"/>
  <c r="Q175" i="17" s="1"/>
  <c r="W175" i="17" s="1"/>
  <c r="Y225" i="17"/>
  <c r="Q225" i="17" s="1"/>
  <c r="W225" i="17" s="1"/>
  <c r="Y275" i="17"/>
  <c r="Q275" i="17" s="1"/>
  <c r="W275" i="17" s="1"/>
  <c r="Y375" i="17"/>
  <c r="Q375" i="17" s="1"/>
  <c r="W375" i="17" s="1"/>
  <c r="Y540" i="17"/>
  <c r="Q540" i="17" s="1"/>
  <c r="W540" i="17" s="1"/>
  <c r="Y541" i="17"/>
  <c r="Q541" i="17" s="1"/>
  <c r="W541" i="17" s="1"/>
  <c r="Y542" i="17"/>
  <c r="Q542" i="17" s="1"/>
  <c r="W542" i="17" s="1"/>
  <c r="Y544" i="17"/>
  <c r="Y26" i="17"/>
  <c r="Q26" i="17" s="1"/>
  <c r="W26" i="17" s="1"/>
  <c r="Y76" i="17"/>
  <c r="Y126" i="17"/>
  <c r="Q126" i="17" s="1"/>
  <c r="W126" i="17" s="1"/>
  <c r="Y276" i="17"/>
  <c r="Q276" i="17" s="1"/>
  <c r="W276" i="17" s="1"/>
  <c r="Y326" i="17"/>
  <c r="Q326" i="17" s="1"/>
  <c r="W326" i="17" s="1"/>
  <c r="Y376" i="17"/>
  <c r="Q376" i="17" s="1"/>
  <c r="W376" i="17" s="1"/>
  <c r="Y546" i="17"/>
  <c r="Q546" i="17" s="1"/>
  <c r="W546" i="17" s="1"/>
  <c r="Y549" i="17"/>
  <c r="Q549" i="17" s="1"/>
  <c r="W549" i="17" s="1"/>
  <c r="Y550" i="17"/>
  <c r="Q550" i="17" s="1"/>
  <c r="W550" i="17" s="1"/>
  <c r="Y551" i="17"/>
  <c r="Q551" i="17" s="1"/>
  <c r="W551" i="17" s="1"/>
  <c r="Y27" i="17"/>
  <c r="Q27" i="17" s="1"/>
  <c r="W27" i="17" s="1"/>
  <c r="Y77" i="17"/>
  <c r="Q77" i="17" s="1"/>
  <c r="W77" i="17" s="1"/>
  <c r="Y127" i="17"/>
  <c r="Q127" i="17" s="1"/>
  <c r="W127" i="17" s="1"/>
  <c r="Y177" i="17"/>
  <c r="Q177" i="17" s="1"/>
  <c r="W177" i="17" s="1"/>
  <c r="Y227" i="17"/>
  <c r="Q227" i="17" s="1"/>
  <c r="W227" i="17" s="1"/>
  <c r="Y277" i="17"/>
  <c r="Q277" i="17" s="1"/>
  <c r="W277" i="17" s="1"/>
  <c r="Y377" i="17"/>
  <c r="Q377" i="17" s="1"/>
  <c r="W377" i="17" s="1"/>
  <c r="Y552" i="17"/>
  <c r="Y554" i="17"/>
  <c r="Q554" i="17" s="1"/>
  <c r="W554" i="17" s="1"/>
  <c r="Y555" i="17"/>
  <c r="Q555" i="17" s="1"/>
  <c r="W555" i="17" s="1"/>
  <c r="Y557" i="17"/>
  <c r="Q557" i="17" s="1"/>
  <c r="W557" i="17" s="1"/>
  <c r="Y78" i="17"/>
  <c r="Q78" i="17" s="1"/>
  <c r="W78" i="17" s="1"/>
  <c r="Y128" i="17"/>
  <c r="Q128" i="17" s="1"/>
  <c r="W128" i="17" s="1"/>
  <c r="Y178" i="17"/>
  <c r="Q178" i="17" s="1"/>
  <c r="W178" i="17" s="1"/>
  <c r="Y228" i="17"/>
  <c r="Q228" i="17" s="1"/>
  <c r="W228" i="17" s="1"/>
  <c r="Y278" i="17"/>
  <c r="Q278" i="17" s="1"/>
  <c r="W278" i="17" s="1"/>
  <c r="Y328" i="17"/>
  <c r="Q328" i="17" s="1"/>
  <c r="W328" i="17" s="1"/>
  <c r="Y378" i="17"/>
  <c r="Q378" i="17" s="1"/>
  <c r="W378" i="17" s="1"/>
  <c r="Y558" i="17"/>
  <c r="Q558" i="17" s="1"/>
  <c r="W558" i="17" s="1"/>
  <c r="Y560" i="17"/>
  <c r="Q560" i="17" s="1"/>
  <c r="W560" i="17" s="1"/>
  <c r="Y561" i="17"/>
  <c r="Q561" i="17" s="1"/>
  <c r="W561" i="17" s="1"/>
  <c r="Y563" i="17"/>
  <c r="Q563" i="17" s="1"/>
  <c r="W563" i="17" s="1"/>
  <c r="Y29" i="17"/>
  <c r="Q29" i="17" s="1"/>
  <c r="W29" i="17" s="1"/>
  <c r="Y129" i="17"/>
  <c r="Q129" i="17" s="1"/>
  <c r="W129" i="17" s="1"/>
  <c r="Y229" i="17"/>
  <c r="Q229" i="17" s="1"/>
  <c r="W229" i="17" s="1"/>
  <c r="Y329" i="17"/>
  <c r="Q329" i="17" s="1"/>
  <c r="W329" i="17" s="1"/>
  <c r="Y379" i="17"/>
  <c r="Q379" i="17" s="1"/>
  <c r="W379" i="17" s="1"/>
  <c r="Y564" i="17"/>
  <c r="Q564" i="17" s="1"/>
  <c r="W564" i="17" s="1"/>
  <c r="Y565" i="17"/>
  <c r="Q565" i="17" s="1"/>
  <c r="W565" i="17" s="1"/>
  <c r="Y566" i="17"/>
  <c r="Q566" i="17" s="1"/>
  <c r="W566" i="17" s="1"/>
  <c r="Y567" i="17"/>
  <c r="Q567" i="17" s="1"/>
  <c r="W567" i="17" s="1"/>
  <c r="Y568" i="17"/>
  <c r="Y569" i="17"/>
  <c r="Q569" i="17" s="1"/>
  <c r="W569" i="17" s="1"/>
  <c r="Y30" i="17"/>
  <c r="Y80" i="17"/>
  <c r="Q80" i="17" s="1"/>
  <c r="W80" i="17" s="1"/>
  <c r="Y130" i="17"/>
  <c r="Q130" i="17" s="1"/>
  <c r="W130" i="17" s="1"/>
  <c r="Y180" i="17"/>
  <c r="Q180" i="17" s="1"/>
  <c r="W180" i="17" s="1"/>
  <c r="Y230" i="17"/>
  <c r="Q230" i="17" s="1"/>
  <c r="W230" i="17" s="1"/>
  <c r="Y330" i="17"/>
  <c r="Q330" i="17" s="1"/>
  <c r="W330" i="17" s="1"/>
  <c r="Y380" i="17"/>
  <c r="Q380" i="17" s="1"/>
  <c r="W380" i="17" s="1"/>
  <c r="Y571" i="17"/>
  <c r="Q571" i="17" s="1"/>
  <c r="W571" i="17" s="1"/>
  <c r="Y572" i="17"/>
  <c r="Q572" i="17" s="1"/>
  <c r="W572" i="17" s="1"/>
  <c r="Y573" i="17"/>
  <c r="Q573" i="17" s="1"/>
  <c r="W573" i="17" s="1"/>
  <c r="Y574" i="17"/>
  <c r="Q574" i="17" s="1"/>
  <c r="W574" i="17" s="1"/>
  <c r="Y575" i="17"/>
  <c r="Q575" i="17" s="1"/>
  <c r="W575" i="17" s="1"/>
  <c r="Y31" i="17"/>
  <c r="Q31" i="17" s="1"/>
  <c r="W31" i="17" s="1"/>
  <c r="Y131" i="17"/>
  <c r="Q131" i="17" s="1"/>
  <c r="W131" i="17" s="1"/>
  <c r="Y181" i="17"/>
  <c r="Q181" i="17" s="1"/>
  <c r="W181" i="17" s="1"/>
  <c r="Y281" i="17"/>
  <c r="Q281" i="17" s="1"/>
  <c r="W281" i="17" s="1"/>
  <c r="Y331" i="17"/>
  <c r="Q331" i="17" s="1"/>
  <c r="W331" i="17" s="1"/>
  <c r="Y576" i="17"/>
  <c r="Q576" i="17" s="1"/>
  <c r="W576" i="17" s="1"/>
  <c r="Y577" i="17"/>
  <c r="Q577" i="17" s="1"/>
  <c r="W577" i="17" s="1"/>
  <c r="Y578" i="17"/>
  <c r="Q578" i="17" s="1"/>
  <c r="W578" i="17" s="1"/>
  <c r="Y579" i="17"/>
  <c r="Q579" i="17" s="1"/>
  <c r="W579" i="17" s="1"/>
  <c r="Y580" i="17"/>
  <c r="Q580" i="17" s="1"/>
  <c r="W580" i="17" s="1"/>
  <c r="Y581" i="17"/>
  <c r="Q581" i="17" s="1"/>
  <c r="W581" i="17" s="1"/>
  <c r="Y82" i="17"/>
  <c r="Q82" i="17" s="1"/>
  <c r="W82" i="17" s="1"/>
  <c r="Y132" i="17"/>
  <c r="Q132" i="17" s="1"/>
  <c r="W132" i="17" s="1"/>
  <c r="Y182" i="17"/>
  <c r="Q182" i="17" s="1"/>
  <c r="W182" i="17" s="1"/>
  <c r="Y282" i="17"/>
  <c r="Q282" i="17" s="1"/>
  <c r="W282" i="17" s="1"/>
  <c r="Y332" i="17"/>
  <c r="Q332" i="17" s="1"/>
  <c r="W332" i="17" s="1"/>
  <c r="Y582" i="17"/>
  <c r="Q582" i="17" s="1"/>
  <c r="W582" i="17" s="1"/>
  <c r="Y583" i="17"/>
  <c r="Q583" i="17" s="1"/>
  <c r="W583" i="17" s="1"/>
  <c r="Y584" i="17"/>
  <c r="Y585" i="17"/>
  <c r="Q585" i="17" s="1"/>
  <c r="W585" i="17" s="1"/>
  <c r="Y586" i="17"/>
  <c r="Q586" i="17" s="1"/>
  <c r="W586" i="17" s="1"/>
  <c r="Y33" i="17"/>
  <c r="Q33" i="17" s="1"/>
  <c r="W33" i="17" s="1"/>
  <c r="Y83" i="17"/>
  <c r="Q83" i="17" s="1"/>
  <c r="W83" i="17" s="1"/>
  <c r="Y133" i="17"/>
  <c r="Q133" i="17" s="1"/>
  <c r="W133" i="17" s="1"/>
  <c r="Y233" i="17"/>
  <c r="Q233" i="17" s="1"/>
  <c r="W233" i="17" s="1"/>
  <c r="Y283" i="17"/>
  <c r="Q283" i="17" s="1"/>
  <c r="W283" i="17" s="1"/>
  <c r="Y333" i="17"/>
  <c r="Q333" i="17" s="1"/>
  <c r="W333" i="17" s="1"/>
  <c r="Y588" i="17"/>
  <c r="Q588" i="17" s="1"/>
  <c r="W588" i="17" s="1"/>
  <c r="Y589" i="17"/>
  <c r="Q589" i="17" s="1"/>
  <c r="W589" i="17" s="1"/>
  <c r="Y590" i="17"/>
  <c r="Q590" i="17" s="1"/>
  <c r="W590" i="17" s="1"/>
  <c r="Y591" i="17"/>
  <c r="Q591" i="17" s="1"/>
  <c r="W591" i="17" s="1"/>
  <c r="Y592" i="17"/>
  <c r="Y34" i="17"/>
  <c r="Q34" i="17" s="1"/>
  <c r="W34" i="17" s="1"/>
  <c r="Y84" i="17"/>
  <c r="Q84" i="17" s="1"/>
  <c r="W84" i="17" s="1"/>
  <c r="Y234" i="17"/>
  <c r="Q234" i="17" s="1"/>
  <c r="W234" i="17" s="1"/>
  <c r="Y284" i="17"/>
  <c r="Q284" i="17" s="1"/>
  <c r="W284" i="17" s="1"/>
  <c r="Y334" i="17"/>
  <c r="Q334" i="17" s="1"/>
  <c r="W334" i="17" s="1"/>
  <c r="Y384" i="17"/>
  <c r="Q384" i="17" s="1"/>
  <c r="W384" i="17" s="1"/>
  <c r="Y595" i="17"/>
  <c r="Q595" i="17" s="1"/>
  <c r="W595" i="17" s="1"/>
  <c r="Y596" i="17"/>
  <c r="Y597" i="17"/>
  <c r="Q597" i="17" s="1"/>
  <c r="W597" i="17" s="1"/>
  <c r="Y598" i="17"/>
  <c r="Q598" i="17" s="1"/>
  <c r="W598" i="17" s="1"/>
  <c r="Y35" i="17"/>
  <c r="Q35" i="17" s="1"/>
  <c r="W35" i="17" s="1"/>
  <c r="Y85" i="17"/>
  <c r="Q85" i="17" s="1"/>
  <c r="W85" i="17" s="1"/>
  <c r="Y185" i="17"/>
  <c r="Q185" i="17" s="1"/>
  <c r="W185" i="17" s="1"/>
  <c r="Y235" i="17"/>
  <c r="Y600" i="17"/>
  <c r="Q600" i="17" s="1"/>
  <c r="W600" i="17" s="1"/>
  <c r="Y601" i="17"/>
  <c r="Q601" i="17" s="1"/>
  <c r="W601" i="17" s="1"/>
  <c r="Y36" i="17"/>
  <c r="Q36" i="17" s="1"/>
  <c r="W36" i="17" s="1"/>
  <c r="Y86" i="17"/>
  <c r="Q86" i="17" s="1"/>
  <c r="W86" i="17" s="1"/>
  <c r="Y136" i="17"/>
  <c r="Q136" i="17" s="1"/>
  <c r="W136" i="17" s="1"/>
  <c r="Y186" i="17"/>
  <c r="Q186" i="17" s="1"/>
  <c r="W186" i="17" s="1"/>
  <c r="Y286" i="17"/>
  <c r="Q286" i="17" s="1"/>
  <c r="W286" i="17" s="1"/>
  <c r="Y336" i="17"/>
  <c r="Y386" i="17"/>
  <c r="Q386" i="17" s="1"/>
  <c r="W386" i="17" s="1"/>
  <c r="Y609" i="17"/>
  <c r="Q609" i="17" s="1"/>
  <c r="W609" i="17" s="1"/>
  <c r="Y610" i="17"/>
  <c r="Q610" i="17" s="1"/>
  <c r="W610" i="17" s="1"/>
  <c r="Y137" i="17"/>
  <c r="Q137" i="17" s="1"/>
  <c r="W137" i="17" s="1"/>
  <c r="Y187" i="17"/>
  <c r="Y237" i="17"/>
  <c r="Q237" i="17" s="1"/>
  <c r="W237" i="17" s="1"/>
  <c r="Y287" i="17"/>
  <c r="Q287" i="17" s="1"/>
  <c r="W287" i="17" s="1"/>
  <c r="Y612" i="17"/>
  <c r="Q612" i="17" s="1"/>
  <c r="W612" i="17" s="1"/>
  <c r="Y613" i="17"/>
  <c r="Q613" i="17" s="1"/>
  <c r="W613" i="17" s="1"/>
  <c r="Y614" i="17"/>
  <c r="Q614" i="17" s="1"/>
  <c r="W614" i="17" s="1"/>
  <c r="Y616" i="17"/>
  <c r="Q616" i="17" s="1"/>
  <c r="W616" i="17" s="1"/>
  <c r="Y238" i="17"/>
  <c r="Q238" i="17" s="1"/>
  <c r="W238" i="17" s="1"/>
  <c r="Y288" i="17"/>
  <c r="Q288" i="17" s="1"/>
  <c r="W288" i="17" s="1"/>
  <c r="Y338" i="17"/>
  <c r="Q338" i="17" s="1"/>
  <c r="W338" i="17" s="1"/>
  <c r="Y618" i="17"/>
  <c r="Q618" i="17" s="1"/>
  <c r="W618" i="17" s="1"/>
  <c r="Y619" i="17"/>
  <c r="Q619" i="17" s="1"/>
  <c r="W619" i="17" s="1"/>
  <c r="Y621" i="17"/>
  <c r="Q621" i="17" s="1"/>
  <c r="W621" i="17" s="1"/>
  <c r="Y622" i="17"/>
  <c r="Q622" i="17" s="1"/>
  <c r="W622" i="17" s="1"/>
  <c r="Y623" i="17"/>
  <c r="Q623" i="17" s="1"/>
  <c r="W623" i="17" s="1"/>
  <c r="Y139" i="17"/>
  <c r="Q139" i="17" s="1"/>
  <c r="W139" i="17" s="1"/>
  <c r="Y624" i="17"/>
  <c r="Y627" i="17"/>
  <c r="Q627" i="17" s="1"/>
  <c r="W627" i="17" s="1"/>
  <c r="Y628" i="17"/>
  <c r="Y40" i="17"/>
  <c r="Q40" i="17" s="1"/>
  <c r="W40" i="17" s="1"/>
  <c r="Y90" i="17"/>
  <c r="Q90" i="17" s="1"/>
  <c r="W90" i="17" s="1"/>
  <c r="Y140" i="17"/>
  <c r="Q140" i="17" s="1"/>
  <c r="W140" i="17" s="1"/>
  <c r="Y290" i="17"/>
  <c r="Q290" i="17" s="1"/>
  <c r="W290" i="17" s="1"/>
  <c r="Y390" i="17"/>
  <c r="Q390" i="17" s="1"/>
  <c r="W390" i="17" s="1"/>
  <c r="Y630" i="17"/>
  <c r="Y631" i="17"/>
  <c r="Q631" i="17" s="1"/>
  <c r="W631" i="17" s="1"/>
  <c r="Y632" i="17"/>
  <c r="Q632" i="17" s="1"/>
  <c r="W632" i="17" s="1"/>
  <c r="Y635" i="17"/>
  <c r="Q635" i="17" s="1"/>
  <c r="W635" i="17" s="1"/>
  <c r="Y141" i="17"/>
  <c r="Q141" i="17" s="1"/>
  <c r="W141" i="17" s="1"/>
  <c r="Y191" i="17"/>
  <c r="Y241" i="17"/>
  <c r="Q241" i="17" s="1"/>
  <c r="W241" i="17" s="1"/>
  <c r="Y639" i="17"/>
  <c r="Q639" i="17" s="1"/>
  <c r="W639" i="17" s="1"/>
  <c r="Y640" i="17"/>
  <c r="Y92" i="17"/>
  <c r="Y242" i="17"/>
  <c r="Q242" i="17" s="1"/>
  <c r="W242" i="17" s="1"/>
  <c r="Y292" i="17"/>
  <c r="Q292" i="17" s="1"/>
  <c r="W292" i="17" s="1"/>
  <c r="Y342" i="17"/>
  <c r="Q342" i="17" s="1"/>
  <c r="W342" i="17" s="1"/>
  <c r="Y643" i="17"/>
  <c r="Q643" i="17" s="1"/>
  <c r="W643" i="17" s="1"/>
  <c r="Y647" i="17"/>
  <c r="Q647" i="17" s="1"/>
  <c r="W647" i="17" s="1"/>
  <c r="Y43" i="17"/>
  <c r="Q43" i="17" s="1"/>
  <c r="W43" i="17" s="1"/>
  <c r="Y193" i="17"/>
  <c r="Q193" i="17" s="1"/>
  <c r="W193" i="17" s="1"/>
  <c r="Y343" i="17"/>
  <c r="Q343" i="17" s="1"/>
  <c r="W343" i="17" s="1"/>
  <c r="Y393" i="17"/>
  <c r="Q393" i="17" s="1"/>
  <c r="W393" i="17" s="1"/>
  <c r="Y648" i="17"/>
  <c r="Q648" i="17" s="1"/>
  <c r="W648" i="17" s="1"/>
  <c r="Y94" i="17"/>
  <c r="Y144" i="17"/>
  <c r="Y654" i="17"/>
  <c r="Q654" i="17" s="1"/>
  <c r="W654" i="17" s="1"/>
  <c r="Y655" i="17"/>
  <c r="Q655" i="17" s="1"/>
  <c r="W655" i="17" s="1"/>
  <c r="Y657" i="17"/>
  <c r="Q657" i="17" s="1"/>
  <c r="W657" i="17" s="1"/>
  <c r="Y659" i="17"/>
  <c r="Q659" i="17" s="1"/>
  <c r="W659" i="17" s="1"/>
  <c r="Y145" i="17"/>
  <c r="Q145" i="17" s="1"/>
  <c r="W145" i="17" s="1"/>
  <c r="Y195" i="17"/>
  <c r="Q195" i="17" s="1"/>
  <c r="W195" i="17" s="1"/>
  <c r="Y245" i="17"/>
  <c r="Q245" i="17" s="1"/>
  <c r="W245" i="17" s="1"/>
  <c r="Y395" i="17"/>
  <c r="Q395" i="17" s="1"/>
  <c r="W395" i="17" s="1"/>
  <c r="Y662" i="17"/>
  <c r="Q662" i="17" s="1"/>
  <c r="W662" i="17" s="1"/>
  <c r="Y246" i="17"/>
  <c r="Q246" i="17" s="1"/>
  <c r="W246" i="17" s="1"/>
  <c r="Y296" i="17"/>
  <c r="Q296" i="17" s="1"/>
  <c r="W296" i="17" s="1"/>
  <c r="Y346" i="17"/>
  <c r="Q346" i="17" s="1"/>
  <c r="W346" i="17" s="1"/>
  <c r="Y670" i="17"/>
  <c r="Q670" i="17" s="1"/>
  <c r="W670" i="17" s="1"/>
  <c r="Y47" i="17"/>
  <c r="Q47" i="17" s="1"/>
  <c r="W47" i="17" s="1"/>
  <c r="Y97" i="17"/>
  <c r="Q97" i="17" s="1"/>
  <c r="W97" i="17" s="1"/>
  <c r="Y197" i="17"/>
  <c r="Q197" i="17" s="1"/>
  <c r="W197" i="17" s="1"/>
  <c r="Y297" i="17"/>
  <c r="Q297" i="17" s="1"/>
  <c r="W297" i="17" s="1"/>
  <c r="Y347" i="17"/>
  <c r="Q347" i="17" s="1"/>
  <c r="W347" i="17" s="1"/>
  <c r="Y397" i="17"/>
  <c r="Q397" i="17" s="1"/>
  <c r="W397" i="17" s="1"/>
  <c r="Y673" i="17"/>
  <c r="Q673" i="17" s="1"/>
  <c r="W673" i="17" s="1"/>
  <c r="Y675" i="17"/>
  <c r="Q675" i="17" s="1"/>
  <c r="W675" i="17" s="1"/>
  <c r="Y298" i="17"/>
  <c r="Q298" i="17" s="1"/>
  <c r="W298" i="17" s="1"/>
  <c r="Y149" i="17"/>
  <c r="Q149" i="17" s="1"/>
  <c r="W149" i="17" s="1"/>
  <c r="Y399" i="17"/>
  <c r="Q399" i="17" s="1"/>
  <c r="W399" i="17" s="1"/>
  <c r="Y687" i="17"/>
  <c r="Q687" i="17" s="1"/>
  <c r="W687" i="17" s="1"/>
  <c r="Y100" i="17"/>
  <c r="Q100" i="17" s="1"/>
  <c r="W100" i="17" s="1"/>
  <c r="Y250" i="17"/>
  <c r="Q250" i="17" s="1"/>
  <c r="W250" i="17" s="1"/>
  <c r="Y300" i="17"/>
  <c r="Q300" i="17" s="1"/>
  <c r="W300" i="17" s="1"/>
  <c r="Y690" i="17"/>
  <c r="Q690" i="17" s="1"/>
  <c r="W690" i="17" s="1"/>
  <c r="Y691" i="17"/>
  <c r="Q691" i="17" s="1"/>
  <c r="W691" i="17" s="1"/>
  <c r="Y694" i="17"/>
  <c r="Q694" i="17" s="1"/>
  <c r="W694" i="17" s="1"/>
  <c r="Y695" i="17"/>
  <c r="Q695" i="17" s="1"/>
  <c r="W695" i="17" s="1"/>
  <c r="G2" i="16"/>
  <c r="N73" i="20" l="1"/>
  <c r="N124" i="20"/>
  <c r="N137" i="20"/>
  <c r="N148" i="20"/>
  <c r="N80" i="20"/>
  <c r="N3" i="20"/>
  <c r="K34" i="20" a="1"/>
  <c r="K34" i="20" s="1"/>
  <c r="K18" i="20" a="1"/>
  <c r="K18" i="20" s="1"/>
  <c r="N147" i="20"/>
  <c r="N88" i="20"/>
  <c r="N24" i="20"/>
  <c r="K15" i="20" a="1"/>
  <c r="K15" i="20" s="1"/>
  <c r="N69" i="20"/>
  <c r="N7" i="20"/>
  <c r="N134" i="20"/>
  <c r="N100" i="20"/>
  <c r="N6" i="20"/>
  <c r="K3" i="20" a="1"/>
  <c r="K3" i="20" s="1"/>
  <c r="N102" i="20"/>
  <c r="N68" i="20"/>
  <c r="N54" i="20"/>
  <c r="K13" i="20" a="1"/>
  <c r="K13" i="20" s="1"/>
  <c r="N123" i="20"/>
  <c r="N76" i="20"/>
  <c r="N41" i="20"/>
  <c r="N101" i="20"/>
  <c r="K12" i="20" a="1"/>
  <c r="K12" i="20" s="1"/>
  <c r="N43" i="20"/>
  <c r="K8" i="20" a="1"/>
  <c r="K8" i="20" s="1"/>
  <c r="N133" i="20"/>
  <c r="K27" i="20" a="1"/>
  <c r="K27" i="20" s="1"/>
  <c r="N27" i="20"/>
  <c r="N141" i="20"/>
  <c r="N132" i="20"/>
  <c r="K5" i="20" a="1"/>
  <c r="K5" i="20" s="1"/>
  <c r="N108" i="20"/>
  <c r="N131" i="20"/>
  <c r="N20" i="20"/>
  <c r="K25" i="20" a="1"/>
  <c r="K25" i="20" s="1"/>
  <c r="K4" i="20" a="1"/>
  <c r="K4" i="20" s="1"/>
  <c r="N140" i="20"/>
  <c r="N107" i="20"/>
  <c r="N19" i="20"/>
  <c r="K2" i="20" a="1"/>
  <c r="K2" i="20" s="1"/>
  <c r="K6" i="20" a="1"/>
  <c r="K6" i="20" s="1"/>
  <c r="N128" i="20"/>
  <c r="N126" i="20"/>
  <c r="N94" i="20"/>
  <c r="N62" i="20"/>
  <c r="N30" i="20"/>
  <c r="K52" i="20" a="1"/>
  <c r="K52" i="20" s="1"/>
  <c r="K23" i="20" a="1"/>
  <c r="K23" i="20" s="1"/>
  <c r="N118" i="20"/>
  <c r="N84" i="20"/>
  <c r="N109" i="20"/>
  <c r="N45" i="20"/>
  <c r="K37" i="20" a="1"/>
  <c r="K37" i="20" s="1"/>
  <c r="K22" i="20" a="1"/>
  <c r="K22" i="20" s="1"/>
  <c r="N59" i="20"/>
  <c r="N83" i="20"/>
  <c r="K21" i="20" a="1"/>
  <c r="K21" i="20" s="1"/>
  <c r="N92" i="20"/>
  <c r="N48" i="20"/>
  <c r="K81" i="20" a="1"/>
  <c r="K81" i="20" s="1"/>
  <c r="K65" i="20" a="1"/>
  <c r="K65" i="20" s="1"/>
  <c r="N81" i="20"/>
  <c r="N122" i="20"/>
  <c r="N58" i="20"/>
  <c r="N44" i="20"/>
  <c r="N125" i="20"/>
  <c r="N113" i="20"/>
  <c r="N78" i="20"/>
  <c r="N67" i="20"/>
  <c r="N103" i="20"/>
  <c r="N135" i="20"/>
  <c r="N145" i="20"/>
  <c r="N29" i="20"/>
  <c r="N17" i="20"/>
  <c r="N23" i="20"/>
  <c r="N86" i="20"/>
  <c r="N55" i="20"/>
  <c r="N142" i="20"/>
  <c r="N85" i="20"/>
  <c r="N14" i="20"/>
  <c r="N9" i="20"/>
  <c r="N51" i="20"/>
  <c r="N87" i="20"/>
  <c r="N37" i="20"/>
  <c r="N49" i="20"/>
  <c r="N36" i="20"/>
  <c r="N119" i="20"/>
  <c r="N61" i="20"/>
  <c r="N105" i="20"/>
  <c r="N70" i="20"/>
  <c r="N151" i="20"/>
  <c r="N93" i="20"/>
  <c r="N46" i="20"/>
  <c r="N22" i="20"/>
  <c r="N39" i="20"/>
  <c r="N149" i="20"/>
  <c r="N116" i="20"/>
  <c r="N21" i="20"/>
  <c r="N150" i="20"/>
  <c r="N115" i="20"/>
  <c r="N57" i="20"/>
  <c r="N38" i="20"/>
  <c r="N13" i="20"/>
  <c r="N95" i="20"/>
  <c r="N143" i="20"/>
  <c r="N15" i="20"/>
  <c r="N63" i="20"/>
  <c r="K31" i="20" a="1"/>
  <c r="K31" i="20" s="1"/>
  <c r="K11" i="20" a="1"/>
  <c r="K11" i="20" s="1"/>
  <c r="N111" i="20"/>
  <c r="K10" i="20" a="1"/>
  <c r="K10" i="20" s="1"/>
  <c r="K9" i="20" a="1"/>
  <c r="K9" i="20" s="1"/>
  <c r="N31" i="20"/>
  <c r="N79" i="20"/>
  <c r="K17" i="20" a="1"/>
  <c r="K17" i="20" s="1"/>
  <c r="N127" i="20"/>
  <c r="K16" i="20" a="1"/>
  <c r="K16" i="20" s="1"/>
  <c r="N47" i="20"/>
  <c r="U408" i="18"/>
  <c r="R407" i="18"/>
  <c r="U407" i="18" s="1"/>
  <c r="R432" i="18"/>
  <c r="U432" i="18" s="1"/>
  <c r="O41" i="18" a="1"/>
  <c r="O41" i="18" s="1"/>
  <c r="O54" i="18" a="1"/>
  <c r="O54" i="18" s="1"/>
  <c r="O61" i="18" a="1"/>
  <c r="O61" i="18" s="1"/>
  <c r="O52" i="18" a="1"/>
  <c r="O52" i="18" s="1"/>
  <c r="O26" i="18" a="1"/>
  <c r="O26" i="18" s="1"/>
  <c r="R414" i="18"/>
  <c r="U414" i="18" s="1"/>
  <c r="O105" i="18" a="1"/>
  <c r="O105" i="18" s="1"/>
  <c r="O89" i="18" a="1"/>
  <c r="O89" i="18" s="1"/>
  <c r="O73" i="18" a="1"/>
  <c r="O73" i="18" s="1"/>
  <c r="O72" i="18" a="1"/>
  <c r="O72" i="18" s="1"/>
  <c r="O53" i="18" a="1"/>
  <c r="O53" i="18" s="1"/>
  <c r="O31" i="18" a="1"/>
  <c r="O31" i="18" s="1"/>
  <c r="O2" i="18" a="1"/>
  <c r="O2" i="18" s="1"/>
  <c r="O103" i="18" a="1"/>
  <c r="O103" i="18" s="1"/>
  <c r="O87" i="18" a="1"/>
  <c r="O87" i="18" s="1"/>
  <c r="O71" i="18" a="1"/>
  <c r="O71" i="18" s="1"/>
  <c r="O50" i="18" a="1"/>
  <c r="O50" i="18" s="1"/>
  <c r="R430" i="18"/>
  <c r="U430" i="18" s="1"/>
  <c r="R359" i="18"/>
  <c r="U359" i="18" s="1"/>
  <c r="R96" i="18"/>
  <c r="U96" i="18" s="1"/>
  <c r="R8" i="18"/>
  <c r="U8" i="18" s="1"/>
  <c r="O118" i="18" a="1"/>
  <c r="O118" i="18" s="1"/>
  <c r="O102" i="18" a="1"/>
  <c r="O102" i="18" s="1"/>
  <c r="O86" i="18" a="1"/>
  <c r="O86" i="18" s="1"/>
  <c r="O70" i="18" a="1"/>
  <c r="O70" i="18" s="1"/>
  <c r="R429" i="18"/>
  <c r="U429" i="18" s="1"/>
  <c r="O101" i="18" a="1"/>
  <c r="O101" i="18" s="1"/>
  <c r="O85" i="18" a="1"/>
  <c r="O85" i="18" s="1"/>
  <c r="O69" i="18" a="1"/>
  <c r="O69" i="18" s="1"/>
  <c r="O48" i="18" a="1"/>
  <c r="O48" i="18" s="1"/>
  <c r="R428" i="18"/>
  <c r="U428" i="18" s="1"/>
  <c r="O116" i="18" a="1"/>
  <c r="O116" i="18" s="1"/>
  <c r="O100" i="18" a="1"/>
  <c r="O100" i="18" s="1"/>
  <c r="O84" i="18" a="1"/>
  <c r="O84" i="18" s="1"/>
  <c r="O68" i="18" a="1"/>
  <c r="O68" i="18" s="1"/>
  <c r="O47" i="18" a="1"/>
  <c r="O47" i="18" s="1"/>
  <c r="R446" i="18"/>
  <c r="U446" i="18" s="1"/>
  <c r="O115" i="18" a="1"/>
  <c r="O115" i="18" s="1"/>
  <c r="O99" i="18" a="1"/>
  <c r="O99" i="18" s="1"/>
  <c r="O83" i="18" a="1"/>
  <c r="O83" i="18" s="1"/>
  <c r="O46" i="18" a="1"/>
  <c r="O46" i="18" s="1"/>
  <c r="O114" i="18" a="1"/>
  <c r="O114" i="18" s="1"/>
  <c r="O98" i="18" a="1"/>
  <c r="O98" i="18" s="1"/>
  <c r="O67" i="18" a="1"/>
  <c r="O67" i="18" s="1"/>
  <c r="O35" i="18" a="1"/>
  <c r="O35" i="18" s="1"/>
  <c r="O97" i="18" a="1"/>
  <c r="O97" i="18" s="1"/>
  <c r="O81" i="18" a="1"/>
  <c r="O81" i="18" s="1"/>
  <c r="O66" i="18" a="1"/>
  <c r="O66" i="18" s="1"/>
  <c r="O24" i="18" a="1"/>
  <c r="O24" i="18" s="1"/>
  <c r="O96" i="18" a="1"/>
  <c r="O96" i="18" s="1"/>
  <c r="O80" i="18" a="1"/>
  <c r="O80" i="18" s="1"/>
  <c r="O65" i="18" a="1"/>
  <c r="O65" i="18" s="1"/>
  <c r="O13" i="18" a="1"/>
  <c r="O13" i="18" s="1"/>
  <c r="O95" i="18" a="1"/>
  <c r="O95" i="18" s="1"/>
  <c r="O79" i="18" a="1"/>
  <c r="O79" i="18" s="1"/>
  <c r="O64" i="18" a="1"/>
  <c r="O64" i="18" s="1"/>
  <c r="O12" i="18" a="1"/>
  <c r="O12" i="18" s="1"/>
  <c r="O126" i="18" a="1"/>
  <c r="O126" i="18" s="1"/>
  <c r="O110" i="18" a="1"/>
  <c r="O110" i="18" s="1"/>
  <c r="O94" i="18" a="1"/>
  <c r="O94" i="18" s="1"/>
  <c r="O78" i="18" a="1"/>
  <c r="O78" i="18" s="1"/>
  <c r="O109" i="18" a="1"/>
  <c r="O109" i="18" s="1"/>
  <c r="O93" i="18" a="1"/>
  <c r="O93" i="18" s="1"/>
  <c r="O77" i="18" a="1"/>
  <c r="O77" i="18" s="1"/>
  <c r="O62" i="18" a="1"/>
  <c r="O62" i="18" s="1"/>
  <c r="R433" i="18"/>
  <c r="U433" i="18" s="1"/>
  <c r="R86" i="18"/>
  <c r="U86" i="18" s="1"/>
  <c r="O108" i="18" a="1"/>
  <c r="O108" i="18" s="1"/>
  <c r="O92" i="18" a="1"/>
  <c r="O92" i="18" s="1"/>
  <c r="O76" i="18" a="1"/>
  <c r="O76" i="18" s="1"/>
  <c r="O60" i="18" a="1"/>
  <c r="O60" i="18" s="1"/>
  <c r="R406" i="18"/>
  <c r="U406" i="18" s="1"/>
  <c r="O59" i="18" a="1"/>
  <c r="O59" i="18" s="1"/>
  <c r="R450" i="18"/>
  <c r="U450" i="18" s="1"/>
  <c r="R442" i="18"/>
  <c r="U442" i="18" s="1"/>
  <c r="R434" i="18"/>
  <c r="U434" i="18" s="1"/>
  <c r="R426" i="18"/>
  <c r="U426" i="18" s="1"/>
  <c r="R418" i="18"/>
  <c r="U418" i="18" s="1"/>
  <c r="R410" i="18"/>
  <c r="U410" i="18" s="1"/>
  <c r="R402" i="18"/>
  <c r="U402" i="18" s="1"/>
  <c r="R394" i="18"/>
  <c r="U394" i="18" s="1"/>
  <c r="R386" i="18"/>
  <c r="U386" i="18" s="1"/>
  <c r="R378" i="18"/>
  <c r="U378" i="18" s="1"/>
  <c r="R370" i="18"/>
  <c r="U370" i="18" s="1"/>
  <c r="R362" i="18"/>
  <c r="U362" i="18" s="1"/>
  <c r="R354" i="18"/>
  <c r="U354" i="18" s="1"/>
  <c r="R346" i="18"/>
  <c r="U346" i="18" s="1"/>
  <c r="R338" i="18"/>
  <c r="U338" i="18" s="1"/>
  <c r="R330" i="18"/>
  <c r="U330" i="18" s="1"/>
  <c r="R322" i="18"/>
  <c r="U322" i="18" s="1"/>
  <c r="R314" i="18"/>
  <c r="U314" i="18" s="1"/>
  <c r="R306" i="18"/>
  <c r="U306" i="18" s="1"/>
  <c r="R298" i="18"/>
  <c r="U298" i="18" s="1"/>
  <c r="R290" i="18"/>
  <c r="U290" i="18" s="1"/>
  <c r="R282" i="18"/>
  <c r="U282" i="18" s="1"/>
  <c r="R274" i="18"/>
  <c r="U274" i="18" s="1"/>
  <c r="R266" i="18"/>
  <c r="U266" i="18" s="1"/>
  <c r="R258" i="18"/>
  <c r="U258" i="18" s="1"/>
  <c r="R250" i="18"/>
  <c r="U250" i="18" s="1"/>
  <c r="R242" i="18"/>
  <c r="U242" i="18" s="1"/>
  <c r="R234" i="18"/>
  <c r="U234" i="18" s="1"/>
  <c r="R226" i="18"/>
  <c r="U226" i="18" s="1"/>
  <c r="R218" i="18"/>
  <c r="U218" i="18" s="1"/>
  <c r="R210" i="18"/>
  <c r="U210" i="18" s="1"/>
  <c r="R202" i="18"/>
  <c r="U202" i="18" s="1"/>
  <c r="R194" i="18"/>
  <c r="U194" i="18" s="1"/>
  <c r="R186" i="18"/>
  <c r="U186" i="18" s="1"/>
  <c r="R178" i="18"/>
  <c r="U178" i="18" s="1"/>
  <c r="R170" i="18"/>
  <c r="U170" i="18" s="1"/>
  <c r="R162" i="18"/>
  <c r="U162" i="18" s="1"/>
  <c r="R154" i="18"/>
  <c r="U154" i="18" s="1"/>
  <c r="R146" i="18"/>
  <c r="U146" i="18" s="1"/>
  <c r="R138" i="18"/>
  <c r="U138" i="18" s="1"/>
  <c r="R130" i="18"/>
  <c r="U130" i="18" s="1"/>
  <c r="R122" i="18"/>
  <c r="U122" i="18" s="1"/>
  <c r="R114" i="18"/>
  <c r="U114" i="18" s="1"/>
  <c r="R106" i="18"/>
  <c r="U106" i="18" s="1"/>
  <c r="R98" i="18"/>
  <c r="U98" i="18" s="1"/>
  <c r="R90" i="18"/>
  <c r="U90" i="18" s="1"/>
  <c r="R82" i="18"/>
  <c r="U82" i="18" s="1"/>
  <c r="R74" i="18"/>
  <c r="U74" i="18" s="1"/>
  <c r="R66" i="18"/>
  <c r="U66" i="18" s="1"/>
  <c r="R58" i="18"/>
  <c r="U58" i="18" s="1"/>
  <c r="R50" i="18"/>
  <c r="U50" i="18" s="1"/>
  <c r="R42" i="18"/>
  <c r="U42" i="18" s="1"/>
  <c r="R34" i="18"/>
  <c r="U34" i="18" s="1"/>
  <c r="R26" i="18"/>
  <c r="U26" i="18" s="1"/>
  <c r="R18" i="18"/>
  <c r="U18" i="18" s="1"/>
  <c r="R10" i="18"/>
  <c r="U10" i="18" s="1"/>
  <c r="R2" i="18"/>
  <c r="U2" i="18" s="1"/>
  <c r="R110" i="18"/>
  <c r="U110" i="18" s="1"/>
  <c r="R94" i="18"/>
  <c r="U94" i="18" s="1"/>
  <c r="R78" i="18"/>
  <c r="U78" i="18" s="1"/>
  <c r="R62" i="18"/>
  <c r="U62" i="18" s="1"/>
  <c r="R46" i="18"/>
  <c r="U46" i="18" s="1"/>
  <c r="R30" i="18"/>
  <c r="U30" i="18" s="1"/>
  <c r="R14" i="18"/>
  <c r="U14" i="18" s="1"/>
  <c r="O58" i="18" a="1"/>
  <c r="O58" i="18" s="1"/>
  <c r="O36" i="18" a="1"/>
  <c r="O36" i="18" s="1"/>
  <c r="O23" i="18" a="1"/>
  <c r="O23" i="18" s="1"/>
  <c r="O34" i="18" a="1"/>
  <c r="O34" i="18" s="1"/>
  <c r="O22" i="18" a="1"/>
  <c r="O22" i="18" s="1"/>
  <c r="O11" i="18" a="1"/>
  <c r="O11" i="18" s="1"/>
  <c r="O55" i="18" a="1"/>
  <c r="O55" i="18" s="1"/>
  <c r="O45" i="18" a="1"/>
  <c r="O45" i="18" s="1"/>
  <c r="O33" i="18" a="1"/>
  <c r="O33" i="18" s="1"/>
  <c r="O10" i="18" a="1"/>
  <c r="O10" i="18" s="1"/>
  <c r="O32" i="18" a="1"/>
  <c r="O32" i="18" s="1"/>
  <c r="O21" i="18" a="1"/>
  <c r="O21" i="18" s="1"/>
  <c r="O9" i="18" a="1"/>
  <c r="O9" i="18" s="1"/>
  <c r="O44" i="18" a="1"/>
  <c r="O44" i="18" s="1"/>
  <c r="O8" i="18" a="1"/>
  <c r="O8" i="18" s="1"/>
  <c r="O43" i="18" a="1"/>
  <c r="O43" i="18" s="1"/>
  <c r="O20" i="18" a="1"/>
  <c r="O20" i="18" s="1"/>
  <c r="O7" i="18" a="1"/>
  <c r="O7" i="18" s="1"/>
  <c r="O42" i="18" a="1"/>
  <c r="O42" i="18" s="1"/>
  <c r="O30" i="18" a="1"/>
  <c r="O30" i="18" s="1"/>
  <c r="O19" i="18" a="1"/>
  <c r="O19" i="18" s="1"/>
  <c r="O18" i="18" a="1"/>
  <c r="O18" i="18" s="1"/>
  <c r="O6" i="18" a="1"/>
  <c r="O6" i="18" s="1"/>
  <c r="O40" i="18" a="1"/>
  <c r="O40" i="18" s="1"/>
  <c r="O29" i="18" a="1"/>
  <c r="O29" i="18" s="1"/>
  <c r="O17" i="18" a="1"/>
  <c r="O17" i="18" s="1"/>
  <c r="O39" i="18" a="1"/>
  <c r="O39" i="18" s="1"/>
  <c r="O16" i="18" a="1"/>
  <c r="O16" i="18" s="1"/>
  <c r="O5" i="18" a="1"/>
  <c r="O5" i="18" s="1"/>
  <c r="O51" i="18" a="1"/>
  <c r="O51" i="18" s="1"/>
  <c r="O28" i="18" a="1"/>
  <c r="O28" i="18" s="1"/>
  <c r="O15" i="18" a="1"/>
  <c r="O15" i="18" s="1"/>
  <c r="O38" i="18" a="1"/>
  <c r="O38" i="18" s="1"/>
  <c r="O27" i="18" a="1"/>
  <c r="O27" i="18" s="1"/>
  <c r="O4" i="18" a="1"/>
  <c r="O4" i="18" s="1"/>
  <c r="O14" i="18" a="1"/>
  <c r="O14" i="18" s="1"/>
  <c r="O3" i="18" a="1"/>
  <c r="O3" i="18" s="1"/>
  <c r="O37" i="18" a="1"/>
  <c r="O37" i="18" s="1"/>
  <c r="O25" i="18" a="1"/>
  <c r="O25" i="18" s="1"/>
  <c r="Y115" i="17"/>
  <c r="Q115" i="17" s="1"/>
  <c r="W115" i="17" s="1"/>
  <c r="Q495" i="17"/>
  <c r="W495" i="17" s="1"/>
  <c r="Q157" i="17"/>
  <c r="W157" i="17" s="1"/>
  <c r="Y562" i="17"/>
  <c r="Q562" i="17" s="1"/>
  <c r="W562" i="17" s="1"/>
  <c r="Q429" i="17"/>
  <c r="W429" i="17" s="1"/>
  <c r="Q625" i="17"/>
  <c r="W625" i="17" s="1"/>
  <c r="Q159" i="17"/>
  <c r="W159" i="17" s="1"/>
  <c r="N102" i="17" a="1"/>
  <c r="N102" i="17" s="1"/>
  <c r="Q191" i="17"/>
  <c r="W191" i="17" s="1"/>
  <c r="Q187" i="17"/>
  <c r="W187" i="17" s="1"/>
  <c r="Q124" i="17"/>
  <c r="W124" i="17" s="1"/>
  <c r="Q524" i="17"/>
  <c r="W524" i="17" s="1"/>
  <c r="Q68" i="17"/>
  <c r="W68" i="17" s="1"/>
  <c r="Y301" i="17"/>
  <c r="Q301" i="17" s="1"/>
  <c r="W301" i="17" s="1"/>
  <c r="Q206" i="17"/>
  <c r="W206" i="17" s="1"/>
  <c r="Q311" i="17"/>
  <c r="W311" i="17" s="1"/>
  <c r="Q389" i="17"/>
  <c r="W389" i="17" s="1"/>
  <c r="Q387" i="17"/>
  <c r="W387" i="17" s="1"/>
  <c r="Q556" i="17"/>
  <c r="W556" i="17" s="1"/>
  <c r="Q8" i="17"/>
  <c r="W8" i="17" s="1"/>
  <c r="Q650" i="17"/>
  <c r="W650" i="17" s="1"/>
  <c r="Q56" i="17"/>
  <c r="W56" i="17" s="1"/>
  <c r="Y232" i="17"/>
  <c r="Q232" i="17" s="1"/>
  <c r="W232" i="17" s="1"/>
  <c r="Q521" i="17"/>
  <c r="W521" i="17" s="1"/>
  <c r="Q236" i="17"/>
  <c r="W236" i="17" s="1"/>
  <c r="Q630" i="17"/>
  <c r="W630" i="17" s="1"/>
  <c r="Q336" i="17"/>
  <c r="W336" i="17" s="1"/>
  <c r="Q596" i="17"/>
  <c r="W596" i="17" s="1"/>
  <c r="Q529" i="17"/>
  <c r="W529" i="17" s="1"/>
  <c r="Q214" i="17"/>
  <c r="W214" i="17" s="1"/>
  <c r="Q464" i="17"/>
  <c r="W464" i="17" s="1"/>
  <c r="Q209" i="17"/>
  <c r="W209" i="17" s="1"/>
  <c r="Q432" i="17"/>
  <c r="W432" i="17" s="1"/>
  <c r="Y50" i="17"/>
  <c r="Q50" i="17" s="1"/>
  <c r="W50" i="17" s="1"/>
  <c r="Q476" i="17"/>
  <c r="W476" i="17" s="1"/>
  <c r="Q463" i="17"/>
  <c r="W463" i="17" s="1"/>
  <c r="Q689" i="17"/>
  <c r="W689" i="17" s="1"/>
  <c r="Q487" i="17"/>
  <c r="W487" i="17" s="1"/>
  <c r="Q500" i="17"/>
  <c r="W500" i="17" s="1"/>
  <c r="Q412" i="17"/>
  <c r="W412" i="17" s="1"/>
  <c r="Q441" i="17"/>
  <c r="W441" i="17" s="1"/>
  <c r="Q420" i="17"/>
  <c r="W420" i="17" s="1"/>
  <c r="Q411" i="17"/>
  <c r="W411" i="17" s="1"/>
  <c r="Q394" i="17"/>
  <c r="W394" i="17" s="1"/>
  <c r="Q293" i="17"/>
  <c r="W293" i="17" s="1"/>
  <c r="Q192" i="17"/>
  <c r="W192" i="17" s="1"/>
  <c r="Q686" i="17"/>
  <c r="W686" i="17" s="1"/>
  <c r="Q672" i="17"/>
  <c r="W672" i="17" s="1"/>
  <c r="Q37" i="17"/>
  <c r="W37" i="17" s="1"/>
  <c r="Q605" i="17"/>
  <c r="W605" i="17" s="1"/>
  <c r="Q367" i="17"/>
  <c r="W367" i="17" s="1"/>
  <c r="Q316" i="17"/>
  <c r="W316" i="17" s="1"/>
  <c r="Q57" i="17"/>
  <c r="W57" i="17" s="1"/>
  <c r="Q587" i="17"/>
  <c r="W587" i="17" s="1"/>
  <c r="Q270" i="17"/>
  <c r="W270" i="17" s="1"/>
  <c r="Q353" i="17"/>
  <c r="W353" i="17" s="1"/>
  <c r="Q42" i="17"/>
  <c r="W42" i="17" s="1"/>
  <c r="Q617" i="17"/>
  <c r="W617" i="17" s="1"/>
  <c r="Q216" i="17"/>
  <c r="W216" i="17" s="1"/>
  <c r="Q313" i="17"/>
  <c r="W313" i="17" s="1"/>
  <c r="Q92" i="17"/>
  <c r="W92" i="17" s="1"/>
  <c r="Q310" i="17"/>
  <c r="W310" i="17" s="1"/>
  <c r="Q439" i="17"/>
  <c r="W439" i="17" s="1"/>
  <c r="Q144" i="17"/>
  <c r="W144" i="17" s="1"/>
  <c r="Q94" i="17"/>
  <c r="W94" i="17" s="1"/>
  <c r="Q76" i="17"/>
  <c r="W76" i="17" s="1"/>
  <c r="Y633" i="17"/>
  <c r="Q633" i="17" s="1"/>
  <c r="W633" i="17" s="1"/>
  <c r="Q602" i="17"/>
  <c r="W602" i="17" s="1"/>
  <c r="Q414" i="17"/>
  <c r="W414" i="17" s="1"/>
  <c r="Q628" i="17"/>
  <c r="W628" i="17" s="1"/>
  <c r="Q584" i="17"/>
  <c r="W584" i="17" s="1"/>
  <c r="Q30" i="17"/>
  <c r="W30" i="17" s="1"/>
  <c r="Q624" i="17"/>
  <c r="W624" i="17" s="1"/>
  <c r="Q371" i="17"/>
  <c r="W371" i="17" s="1"/>
  <c r="Q10" i="17"/>
  <c r="W10" i="17" s="1"/>
  <c r="Q208" i="17"/>
  <c r="W208" i="17" s="1"/>
  <c r="Y224" i="17"/>
  <c r="Q224" i="17" s="1"/>
  <c r="W224" i="17" s="1"/>
  <c r="Q218" i="17"/>
  <c r="W218" i="17" s="1"/>
  <c r="Q258" i="17"/>
  <c r="W258" i="17" s="1"/>
  <c r="Y354" i="17"/>
  <c r="Q354" i="17" s="1"/>
  <c r="W354" i="17" s="1"/>
  <c r="Q552" i="17"/>
  <c r="W552" i="17" s="1"/>
  <c r="Q640" i="17"/>
  <c r="W640" i="17" s="1"/>
  <c r="Q235" i="17"/>
  <c r="W235" i="17" s="1"/>
  <c r="Q592" i="17"/>
  <c r="W592" i="17" s="1"/>
  <c r="Q568" i="17"/>
  <c r="W568" i="17" s="1"/>
  <c r="Q544" i="17"/>
  <c r="W544" i="17" s="1"/>
  <c r="Q527" i="17"/>
  <c r="W527" i="17" s="1"/>
  <c r="Q508" i="17"/>
  <c r="W508" i="17" s="1"/>
  <c r="Q457" i="17"/>
  <c r="W457" i="17" s="1"/>
  <c r="Q449" i="17"/>
  <c r="W449" i="17" s="1"/>
  <c r="Q248" i="17"/>
  <c r="W248" i="17" s="1"/>
  <c r="N303" i="17" a="1"/>
  <c r="N30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<sst xmlns="http://schemas.openxmlformats.org/spreadsheetml/2006/main" count="6740" uniqueCount="96">
  <si>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</si>
  <si>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</si>
  <si>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</si>
  <si>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</si>
  <si>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</si>
  <si>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</si>
  <si>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</si>
  <si>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</si>
  <si>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</si>
  <si>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</si>
  <si>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</si>
  <si>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</si>
  <si>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</si>
  <si>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</si>
  <si>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</si>
  <si>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</si>
  <si>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</si>
  <si>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</si>
  <si>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</si>
  <si>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</si>
  <si>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</si>
  <si>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</si>
  <si>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</si>
  <si>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</si>
  <si>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</si>
  <si>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</si>
  <si>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</si>
  <si>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</si>
  <si>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</si>
  <si>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</si>
  <si>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</si>
  <si>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</si>
  <si>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</si>
  <si>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</si>
  <si>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</si>
  <si>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</si>
  <si>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</si>
  <si>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</si>
  <si>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</si>
  <si>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</si>
  <si>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</si>
  <si>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</si>
  <si>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</si>
  <si>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</si>
  <si>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</si>
  <si>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</si>
  <si>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</si>
  <si>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</si>
  <si>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</si>
  <si>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</si>
  <si>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</si>
  <si>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</si>
  <si>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</si>
  <si>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</si>
  <si>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</si>
  <si>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</si>
  <si>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</si>
  <si>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</si>
  <si>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</si>
  <si>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</si>
  <si>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</si>
  <si>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</si>
  <si>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</si>
  <si>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</si>
  <si>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</si>
  <si>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</si>
  <si>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</si>
  <si>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</si>
  <si>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C:\Users\zhiyuan\Documents\masters\CS5233_Simulation\Assignment2\BicycleRenting_Variables.p</t>
  </si>
  <si>
    <t>2025-03-22 23:28:40</t>
  </si>
  <si>
    <t>Queue Bicycle A.Queue</t>
  </si>
  <si>
    <t>Waiting Time</t>
  </si>
  <si>
    <t>Queue</t>
  </si>
  <si>
    <t>Queue Bicycle B.Queue</t>
  </si>
  <si>
    <t>Queue Bicycle C.Queue</t>
  </si>
  <si>
    <t>Queue Bicycle D.Queue</t>
  </si>
  <si>
    <t>Queue for Docking at A.Queue</t>
  </si>
  <si>
    <t>Queue for Docking at B.Queue</t>
  </si>
  <si>
    <t>Queue for Docking at C.Queue</t>
  </si>
  <si>
    <t>Queue for Docking at D.Queue</t>
  </si>
  <si>
    <t>Tourist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</si>
  <si>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</si>
  <si>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</si>
  <si>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</si>
  <si>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</si>
  <si>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</si>
  <si>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</si>
  <si>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</si>
  <si>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</si>
  <si>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</si>
  <si>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System.NumberOut</t>
  </si>
  <si>
    <t>Number Out</t>
  </si>
  <si>
    <t>System</t>
  </si>
  <si>
    <t>Tourist.NumberIn</t>
  </si>
  <si>
    <t>Number In</t>
  </si>
  <si>
    <t>Tourist.NumberOut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</si>
</sst>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978340624999" createdVersion="7" refreshedVersion="8" minRefreshableVersion="3" recordCount="7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8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10.30313247646598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9.229613078671207"/>
    </cacheField>
    <cacheField name="Maximum" numFmtId="0">
      <sharedItems containsSemiMixedTypes="0" containsString="0" containsNumber="1" minValue="0" maxValue="640.81970303432195"/>
    </cacheField>
    <cacheField name="NumberObservations" numFmtId="0">
      <sharedItems containsSemiMixedTypes="0" containsString="0" containsNumber="1" containsInteger="1" minValue="450" maxValue="763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230.87278063103886"/>
    </cacheField>
    <cacheField name="StDevOfAverage" numFmtId="0">
      <sharedItems containsSemiMixedTypes="0" containsString="0" containsNumber="1" minValue="0" maxValue="57.5524856454042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6.356235446387018"/>
    </cacheField>
    <cacheField name="MinimumAverage" numFmtId="0">
      <sharedItems containsSemiMixedTypes="0" containsString="0" containsNumber="1" minValue="0" maxValue="176.63374267103799"/>
    </cacheField>
    <cacheField name="MaximumAverage" numFmtId="0">
      <sharedItems containsSemiMixedTypes="0" containsString="0" containsNumber="1" minValue="0" maxValue="310.30313247646598"/>
    </cacheField>
    <cacheField name="OverallMinimum" numFmtId="0">
      <sharedItems containsSemiMixedTypes="0" containsString="0" containsNumber="1" minValue="0" maxValue="74.823945578616801"/>
    </cacheField>
    <cacheField name="OverallMaximum" numFmtId="0">
      <sharedItems containsSemiMixedTypes="0" containsString="0" containsNumber="1" minValue="0" maxValue="640.81970303432195"/>
    </cacheField>
    <cacheField name="AverageNumberObservations" numFmtId="0">
      <sharedItems containsSemiMixedTypes="0" containsString="0" containsNumber="1" minValue="526.28" maxValue="680.04"/>
    </cacheField>
    <cacheField name="SummaryHalfWidth" numFmtId="0">
      <sharedItems containsSemiMixedTypes="0" containsString="0" containsNumber="1" minValue="0" maxValue="16.356235446387018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978340740738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81">
        <s v="System.NumberOut"/>
        <s v="Tourist.NumberIn"/>
        <s v="Tourist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System"/>
        <s v="Entity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596" maxValue="84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680.04" maxValue="783.7"/>
    </cacheField>
    <cacheField name="StandardDeviation" numFmtId="0">
      <sharedItems containsSemiMixedTypes="0" containsString="0" containsNumber="1" minValue="30.785797149374726" maxValue="41.22856152856034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8.7492267437816995" maxValue="11.717027543029069"/>
    </cacheField>
    <cacheField name="Minimum" numFmtId="0">
      <sharedItems containsSemiMixedTypes="0" containsString="0" containsNumber="1" containsInteger="1" minValue="596" maxValue="715"/>
    </cacheField>
    <cacheField name="Maximum" numFmtId="0">
      <sharedItems containsSemiMixedTypes="0" containsString="0" containsNumber="1" containsInteger="1" minValue="763" maxValue="8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97834074073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978340856484" createdVersion="7" refreshedVersion="8" minRefreshableVersion="3" recordCount="4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3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102.902066283605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173"/>
    </cacheField>
    <cacheField name="LastRecordedValue" numFmtId="0">
      <sharedItems containsSemiMixedTypes="0" containsString="0" containsNumber="1" containsInteger="1" minValue="0" maxValue="16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80.792913498587723"/>
    </cacheField>
    <cacheField name="StDevOfAverage" numFmtId="0">
      <sharedItems containsSemiMixedTypes="0" containsString="0" containsNumber="1" minValue="0" maxValue="14.91875770788099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2398640284824616"/>
    </cacheField>
    <cacheField name="MinimumAverage" numFmtId="0">
      <sharedItems containsSemiMixedTypes="0" containsString="0" containsNumber="1" minValue="0" maxValue="60.764515331306598"/>
    </cacheField>
    <cacheField name="MaximumAverage" numFmtId="0">
      <sharedItems containsSemiMixedTypes="0" containsString="0" containsNumber="1" minValue="0" maxValue="102.902066283605"/>
    </cacheField>
    <cacheField name="SummaryHalfWidth" numFmtId="0">
      <sharedItems containsSemiMixedTypes="0" containsString="0" containsNumber="1" minValue="0" maxValue="4.2398640284824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97834085648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">
  <r>
    <x v="0"/>
    <s v="2025-03-22 23:28:40"/>
    <n v="1"/>
    <x v="0"/>
    <x v="0"/>
    <x v="0"/>
    <n v="0"/>
    <n v="0"/>
    <n v="0"/>
    <n v="0"/>
    <n v="57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"/>
    <x v="0"/>
    <x v="0"/>
    <x v="0"/>
    <n v="0"/>
    <n v="0"/>
    <n v="0"/>
    <n v="0"/>
    <n v="56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"/>
    <x v="0"/>
    <x v="0"/>
    <x v="0"/>
    <n v="0"/>
    <n v="0"/>
    <n v="0"/>
    <n v="0"/>
    <n v="510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"/>
    <x v="0"/>
    <x v="0"/>
    <x v="0"/>
    <n v="0"/>
    <n v="0"/>
    <n v="0"/>
    <n v="0"/>
    <n v="544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5"/>
    <x v="0"/>
    <x v="0"/>
    <x v="0"/>
    <n v="0"/>
    <n v="0"/>
    <n v="0"/>
    <n v="0"/>
    <n v="54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6"/>
    <x v="0"/>
    <x v="0"/>
    <x v="0"/>
    <n v="0"/>
    <n v="0"/>
    <n v="0"/>
    <n v="0"/>
    <n v="594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7"/>
    <x v="0"/>
    <x v="0"/>
    <x v="0"/>
    <n v="0"/>
    <n v="0"/>
    <n v="0"/>
    <n v="0"/>
    <n v="58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8"/>
    <x v="0"/>
    <x v="0"/>
    <x v="0"/>
    <n v="0"/>
    <n v="0"/>
    <n v="0"/>
    <n v="0"/>
    <n v="531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9"/>
    <x v="0"/>
    <x v="0"/>
    <x v="0"/>
    <n v="0"/>
    <n v="0"/>
    <n v="0"/>
    <n v="0"/>
    <n v="56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0"/>
    <x v="0"/>
    <x v="0"/>
    <x v="0"/>
    <n v="0"/>
    <n v="0"/>
    <n v="0"/>
    <n v="0"/>
    <n v="563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1"/>
    <x v="0"/>
    <x v="0"/>
    <x v="0"/>
    <n v="0"/>
    <n v="0"/>
    <n v="0"/>
    <n v="0"/>
    <n v="58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2"/>
    <x v="0"/>
    <x v="0"/>
    <x v="0"/>
    <n v="0"/>
    <n v="0"/>
    <n v="0"/>
    <n v="0"/>
    <n v="584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3"/>
    <x v="0"/>
    <x v="0"/>
    <x v="0"/>
    <n v="0"/>
    <n v="0"/>
    <n v="0"/>
    <n v="0"/>
    <n v="579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4"/>
    <x v="0"/>
    <x v="0"/>
    <x v="0"/>
    <n v="0"/>
    <n v="0"/>
    <n v="0"/>
    <n v="0"/>
    <n v="54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5"/>
    <x v="0"/>
    <x v="0"/>
    <x v="0"/>
    <n v="0"/>
    <n v="0"/>
    <n v="0"/>
    <n v="0"/>
    <n v="560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6"/>
    <x v="0"/>
    <x v="0"/>
    <x v="0"/>
    <n v="0"/>
    <n v="0"/>
    <n v="0"/>
    <n v="0"/>
    <n v="55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7"/>
    <x v="0"/>
    <x v="0"/>
    <x v="0"/>
    <n v="0"/>
    <n v="0"/>
    <n v="0"/>
    <n v="0"/>
    <n v="569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8"/>
    <x v="0"/>
    <x v="0"/>
    <x v="0"/>
    <n v="0"/>
    <n v="0"/>
    <n v="0"/>
    <n v="0"/>
    <n v="553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9"/>
    <x v="0"/>
    <x v="0"/>
    <x v="0"/>
    <n v="0"/>
    <n v="0"/>
    <n v="0"/>
    <n v="0"/>
    <n v="573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0"/>
    <x v="0"/>
    <x v="0"/>
    <x v="0"/>
    <n v="0"/>
    <n v="0"/>
    <n v="0"/>
    <n v="0"/>
    <n v="589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1"/>
    <x v="0"/>
    <x v="0"/>
    <x v="0"/>
    <n v="0"/>
    <n v="0"/>
    <n v="0"/>
    <n v="0"/>
    <n v="57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2"/>
    <x v="0"/>
    <x v="0"/>
    <x v="0"/>
    <n v="0"/>
    <n v="0"/>
    <n v="0"/>
    <n v="0"/>
    <n v="563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3"/>
    <x v="0"/>
    <x v="0"/>
    <x v="0"/>
    <n v="0"/>
    <n v="0"/>
    <n v="0"/>
    <n v="0"/>
    <n v="55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4"/>
    <x v="0"/>
    <x v="0"/>
    <x v="0"/>
    <n v="0"/>
    <n v="0"/>
    <n v="0"/>
    <n v="0"/>
    <n v="58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5"/>
    <x v="0"/>
    <x v="0"/>
    <x v="0"/>
    <n v="0"/>
    <n v="0"/>
    <n v="0"/>
    <n v="0"/>
    <n v="60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6"/>
    <x v="0"/>
    <x v="0"/>
    <x v="0"/>
    <n v="0"/>
    <n v="0"/>
    <n v="0"/>
    <n v="0"/>
    <n v="591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7"/>
    <x v="0"/>
    <x v="0"/>
    <x v="0"/>
    <n v="0"/>
    <n v="0"/>
    <n v="0"/>
    <n v="0"/>
    <n v="535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8"/>
    <x v="0"/>
    <x v="0"/>
    <x v="0"/>
    <n v="0"/>
    <n v="0"/>
    <n v="0"/>
    <n v="0"/>
    <n v="55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29"/>
    <x v="0"/>
    <x v="0"/>
    <x v="0"/>
    <n v="0"/>
    <n v="0"/>
    <n v="0"/>
    <n v="0"/>
    <n v="61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0"/>
    <x v="0"/>
    <x v="0"/>
    <x v="0"/>
    <n v="0"/>
    <n v="0"/>
    <n v="0"/>
    <n v="0"/>
    <n v="576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1"/>
    <x v="0"/>
    <x v="0"/>
    <x v="0"/>
    <n v="0"/>
    <n v="0"/>
    <n v="0"/>
    <n v="0"/>
    <n v="576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2"/>
    <x v="0"/>
    <x v="0"/>
    <x v="0"/>
    <n v="0"/>
    <n v="0"/>
    <n v="0"/>
    <n v="0"/>
    <n v="55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3"/>
    <x v="0"/>
    <x v="0"/>
    <x v="0"/>
    <n v="0"/>
    <n v="0"/>
    <n v="0"/>
    <n v="0"/>
    <n v="570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4"/>
    <x v="0"/>
    <x v="0"/>
    <x v="0"/>
    <n v="0"/>
    <n v="0"/>
    <n v="0"/>
    <n v="0"/>
    <n v="58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5"/>
    <x v="0"/>
    <x v="0"/>
    <x v="0"/>
    <n v="0"/>
    <n v="0"/>
    <n v="0"/>
    <n v="0"/>
    <n v="601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6"/>
    <x v="0"/>
    <x v="0"/>
    <x v="0"/>
    <n v="0"/>
    <n v="0"/>
    <n v="0"/>
    <n v="0"/>
    <n v="549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7"/>
    <x v="0"/>
    <x v="0"/>
    <x v="0"/>
    <n v="0"/>
    <n v="0"/>
    <n v="0"/>
    <n v="0"/>
    <n v="536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8"/>
    <x v="0"/>
    <x v="0"/>
    <x v="0"/>
    <n v="0"/>
    <n v="0"/>
    <n v="0"/>
    <n v="0"/>
    <n v="593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39"/>
    <x v="0"/>
    <x v="0"/>
    <x v="0"/>
    <n v="0"/>
    <n v="0"/>
    <n v="0"/>
    <n v="0"/>
    <n v="586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0"/>
    <x v="0"/>
    <x v="0"/>
    <x v="0"/>
    <n v="0"/>
    <n v="0"/>
    <n v="0"/>
    <n v="0"/>
    <n v="50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1"/>
    <x v="0"/>
    <x v="0"/>
    <x v="0"/>
    <n v="0"/>
    <n v="0"/>
    <n v="0"/>
    <n v="0"/>
    <n v="54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2"/>
    <x v="0"/>
    <x v="0"/>
    <x v="0"/>
    <n v="0"/>
    <n v="0"/>
    <n v="0"/>
    <n v="0"/>
    <n v="54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3"/>
    <x v="0"/>
    <x v="0"/>
    <x v="0"/>
    <n v="0"/>
    <n v="0"/>
    <n v="0"/>
    <n v="0"/>
    <n v="532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4"/>
    <x v="0"/>
    <x v="0"/>
    <x v="0"/>
    <n v="0"/>
    <n v="0"/>
    <n v="0"/>
    <n v="0"/>
    <n v="56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5"/>
    <x v="0"/>
    <x v="0"/>
    <x v="0"/>
    <n v="0"/>
    <n v="0"/>
    <n v="0"/>
    <n v="0"/>
    <n v="579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6"/>
    <x v="0"/>
    <x v="0"/>
    <x v="0"/>
    <n v="0"/>
    <n v="0"/>
    <n v="0"/>
    <n v="0"/>
    <n v="620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7"/>
    <x v="0"/>
    <x v="0"/>
    <x v="0"/>
    <n v="0"/>
    <n v="0"/>
    <n v="0"/>
    <n v="0"/>
    <n v="559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8"/>
    <x v="0"/>
    <x v="0"/>
    <x v="0"/>
    <n v="0"/>
    <n v="0"/>
    <n v="0"/>
    <n v="0"/>
    <n v="548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49"/>
    <x v="0"/>
    <x v="0"/>
    <x v="0"/>
    <n v="0"/>
    <n v="0"/>
    <n v="0"/>
    <n v="0"/>
    <n v="545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50"/>
    <x v="0"/>
    <x v="0"/>
    <x v="0"/>
    <n v="0"/>
    <n v="0"/>
    <n v="0"/>
    <n v="0"/>
    <n v="577"/>
    <s v="Unnamed ProjectQueue Bicycle A.QueueWaiting TimeQueue"/>
    <n v="50"/>
    <n v="0"/>
    <n v="0"/>
    <n v="0.95"/>
    <n v="0"/>
    <n v="0"/>
    <n v="0"/>
    <n v="0"/>
    <n v="0"/>
    <n v="566.12"/>
    <n v="0"/>
    <n v="50"/>
    <n v="1"/>
  </r>
  <r>
    <x v="0"/>
    <s v="2025-03-22 23:28:40"/>
    <n v="1"/>
    <x v="1"/>
    <x v="0"/>
    <x v="0"/>
    <n v="0"/>
    <n v="0"/>
    <n v="0"/>
    <n v="0"/>
    <n v="546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"/>
    <x v="1"/>
    <x v="0"/>
    <x v="0"/>
    <n v="0"/>
    <n v="0"/>
    <n v="0"/>
    <n v="0"/>
    <n v="510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"/>
    <x v="1"/>
    <x v="0"/>
    <x v="0"/>
    <n v="0"/>
    <n v="0"/>
    <n v="0"/>
    <n v="0"/>
    <n v="547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"/>
    <x v="1"/>
    <x v="0"/>
    <x v="0"/>
    <n v="0"/>
    <n v="0"/>
    <n v="0"/>
    <n v="0"/>
    <n v="559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5"/>
    <x v="1"/>
    <x v="0"/>
    <x v="0"/>
    <n v="0"/>
    <n v="0"/>
    <n v="0"/>
    <n v="0"/>
    <n v="58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6"/>
    <x v="1"/>
    <x v="0"/>
    <x v="0"/>
    <n v="0"/>
    <n v="0"/>
    <n v="0"/>
    <n v="0"/>
    <n v="608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7"/>
    <x v="1"/>
    <x v="0"/>
    <x v="0"/>
    <n v="0"/>
    <n v="0"/>
    <n v="0"/>
    <n v="0"/>
    <n v="507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8"/>
    <x v="1"/>
    <x v="0"/>
    <x v="0"/>
    <n v="0"/>
    <n v="0"/>
    <n v="0"/>
    <n v="0"/>
    <n v="52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9"/>
    <x v="1"/>
    <x v="0"/>
    <x v="0"/>
    <n v="0"/>
    <n v="0"/>
    <n v="0"/>
    <n v="0"/>
    <n v="620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0"/>
    <x v="1"/>
    <x v="0"/>
    <x v="0"/>
    <n v="0"/>
    <n v="0"/>
    <n v="0"/>
    <n v="0"/>
    <n v="596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1"/>
    <x v="1"/>
    <x v="0"/>
    <x v="0"/>
    <n v="0"/>
    <n v="0"/>
    <n v="0"/>
    <n v="0"/>
    <n v="609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2"/>
    <x v="1"/>
    <x v="0"/>
    <x v="0"/>
    <n v="0"/>
    <n v="0"/>
    <n v="0"/>
    <n v="0"/>
    <n v="573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3"/>
    <x v="1"/>
    <x v="0"/>
    <x v="0"/>
    <n v="0"/>
    <n v="0"/>
    <n v="0"/>
    <n v="0"/>
    <n v="592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4"/>
    <x v="1"/>
    <x v="0"/>
    <x v="0"/>
    <n v="0"/>
    <n v="0"/>
    <n v="0"/>
    <n v="0"/>
    <n v="51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5"/>
    <x v="1"/>
    <x v="0"/>
    <x v="0"/>
    <n v="0"/>
    <n v="0"/>
    <n v="0"/>
    <n v="0"/>
    <n v="56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6"/>
    <x v="1"/>
    <x v="0"/>
    <x v="0"/>
    <n v="0"/>
    <n v="0"/>
    <n v="0"/>
    <n v="0"/>
    <n v="54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7"/>
    <x v="1"/>
    <x v="0"/>
    <x v="0"/>
    <n v="0"/>
    <n v="0"/>
    <n v="0"/>
    <n v="0"/>
    <n v="59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8"/>
    <x v="1"/>
    <x v="0"/>
    <x v="0"/>
    <n v="0"/>
    <n v="0"/>
    <n v="0"/>
    <n v="0"/>
    <n v="589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9"/>
    <x v="1"/>
    <x v="0"/>
    <x v="0"/>
    <n v="0"/>
    <n v="0"/>
    <n v="0"/>
    <n v="0"/>
    <n v="55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0"/>
    <x v="1"/>
    <x v="0"/>
    <x v="0"/>
    <n v="0"/>
    <n v="0"/>
    <n v="0"/>
    <n v="0"/>
    <n v="60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1"/>
    <x v="1"/>
    <x v="0"/>
    <x v="0"/>
    <n v="0"/>
    <n v="0"/>
    <n v="0"/>
    <n v="0"/>
    <n v="585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2"/>
    <x v="1"/>
    <x v="0"/>
    <x v="0"/>
    <n v="0"/>
    <n v="0"/>
    <n v="0"/>
    <n v="0"/>
    <n v="518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3"/>
    <x v="1"/>
    <x v="0"/>
    <x v="0"/>
    <n v="0"/>
    <n v="0"/>
    <n v="0"/>
    <n v="0"/>
    <n v="590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4"/>
    <x v="1"/>
    <x v="0"/>
    <x v="0"/>
    <n v="0"/>
    <n v="0"/>
    <n v="0"/>
    <n v="0"/>
    <n v="590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5"/>
    <x v="1"/>
    <x v="0"/>
    <x v="0"/>
    <n v="0"/>
    <n v="0"/>
    <n v="0"/>
    <n v="0"/>
    <n v="61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6"/>
    <x v="1"/>
    <x v="0"/>
    <x v="0"/>
    <n v="0"/>
    <n v="0"/>
    <n v="0"/>
    <n v="0"/>
    <n v="50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7"/>
    <x v="1"/>
    <x v="0"/>
    <x v="0"/>
    <n v="0"/>
    <n v="0"/>
    <n v="0"/>
    <n v="0"/>
    <n v="537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8"/>
    <x v="1"/>
    <x v="0"/>
    <x v="0"/>
    <n v="0"/>
    <n v="0"/>
    <n v="0"/>
    <n v="0"/>
    <n v="535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29"/>
    <x v="1"/>
    <x v="0"/>
    <x v="0"/>
    <n v="0"/>
    <n v="0"/>
    <n v="0"/>
    <n v="0"/>
    <n v="572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0"/>
    <x v="1"/>
    <x v="0"/>
    <x v="0"/>
    <n v="0"/>
    <n v="0"/>
    <n v="0"/>
    <n v="0"/>
    <n v="505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1"/>
    <x v="1"/>
    <x v="0"/>
    <x v="0"/>
    <n v="0"/>
    <n v="0"/>
    <n v="0"/>
    <n v="0"/>
    <n v="555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2"/>
    <x v="1"/>
    <x v="0"/>
    <x v="0"/>
    <n v="0"/>
    <n v="0"/>
    <n v="0"/>
    <n v="0"/>
    <n v="518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3"/>
    <x v="1"/>
    <x v="0"/>
    <x v="0"/>
    <n v="0"/>
    <n v="0"/>
    <n v="0"/>
    <n v="0"/>
    <n v="576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4"/>
    <x v="1"/>
    <x v="0"/>
    <x v="0"/>
    <n v="0"/>
    <n v="0"/>
    <n v="0"/>
    <n v="0"/>
    <n v="561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5"/>
    <x v="1"/>
    <x v="0"/>
    <x v="0"/>
    <n v="0"/>
    <n v="0"/>
    <n v="0"/>
    <n v="0"/>
    <n v="623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6"/>
    <x v="1"/>
    <x v="0"/>
    <x v="0"/>
    <n v="0"/>
    <n v="0"/>
    <n v="0"/>
    <n v="0"/>
    <n v="562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7"/>
    <x v="1"/>
    <x v="0"/>
    <x v="0"/>
    <n v="0"/>
    <n v="0"/>
    <n v="0"/>
    <n v="0"/>
    <n v="550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8"/>
    <x v="1"/>
    <x v="0"/>
    <x v="0"/>
    <n v="0"/>
    <n v="0"/>
    <n v="0"/>
    <n v="0"/>
    <n v="602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39"/>
    <x v="1"/>
    <x v="0"/>
    <x v="0"/>
    <n v="0"/>
    <n v="0"/>
    <n v="0"/>
    <n v="0"/>
    <n v="603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0"/>
    <x v="1"/>
    <x v="0"/>
    <x v="0"/>
    <n v="0"/>
    <n v="0"/>
    <n v="0"/>
    <n v="0"/>
    <n v="566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1"/>
    <x v="1"/>
    <x v="0"/>
    <x v="0"/>
    <n v="0"/>
    <n v="0"/>
    <n v="0"/>
    <n v="0"/>
    <n v="546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2"/>
    <x v="1"/>
    <x v="0"/>
    <x v="0"/>
    <n v="0"/>
    <n v="0"/>
    <n v="0"/>
    <n v="0"/>
    <n v="532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3"/>
    <x v="1"/>
    <x v="0"/>
    <x v="0"/>
    <n v="0"/>
    <n v="0"/>
    <n v="0"/>
    <n v="0"/>
    <n v="560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4"/>
    <x v="1"/>
    <x v="0"/>
    <x v="0"/>
    <n v="0"/>
    <n v="0"/>
    <n v="0"/>
    <n v="0"/>
    <n v="54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5"/>
    <x v="1"/>
    <x v="0"/>
    <x v="0"/>
    <n v="0"/>
    <n v="0"/>
    <n v="0"/>
    <n v="0"/>
    <n v="605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6"/>
    <x v="1"/>
    <x v="0"/>
    <x v="0"/>
    <n v="0"/>
    <n v="0"/>
    <n v="0"/>
    <n v="0"/>
    <n v="595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7"/>
    <x v="1"/>
    <x v="0"/>
    <x v="0"/>
    <n v="0"/>
    <n v="0"/>
    <n v="0"/>
    <n v="0"/>
    <n v="57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8"/>
    <x v="1"/>
    <x v="0"/>
    <x v="0"/>
    <n v="0"/>
    <n v="0"/>
    <n v="0"/>
    <n v="0"/>
    <n v="49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49"/>
    <x v="1"/>
    <x v="0"/>
    <x v="0"/>
    <n v="0"/>
    <n v="0"/>
    <n v="0"/>
    <n v="0"/>
    <n v="572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50"/>
    <x v="1"/>
    <x v="0"/>
    <x v="0"/>
    <n v="0"/>
    <n v="0"/>
    <n v="0"/>
    <n v="0"/>
    <n v="564"/>
    <s v="Unnamed ProjectQueue Bicycle B.QueueWaiting TimeQueue"/>
    <n v="50"/>
    <n v="0"/>
    <n v="0"/>
    <n v="0.95"/>
    <n v="0"/>
    <n v="0"/>
    <n v="0"/>
    <n v="0"/>
    <n v="0"/>
    <n v="563.44000000000005"/>
    <n v="0"/>
    <n v="50"/>
    <n v="1"/>
  </r>
  <r>
    <x v="0"/>
    <s v="2025-03-22 23:28:40"/>
    <n v="1"/>
    <x v="2"/>
    <x v="0"/>
    <x v="0"/>
    <n v="0"/>
    <n v="0"/>
    <n v="0"/>
    <n v="0"/>
    <n v="542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"/>
    <x v="2"/>
    <x v="0"/>
    <x v="0"/>
    <n v="0"/>
    <n v="0"/>
    <n v="0"/>
    <n v="0"/>
    <n v="527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"/>
    <x v="2"/>
    <x v="0"/>
    <x v="0"/>
    <n v="0"/>
    <n v="0"/>
    <n v="0"/>
    <n v="0"/>
    <n v="483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"/>
    <x v="2"/>
    <x v="0"/>
    <x v="0"/>
    <n v="0"/>
    <n v="0"/>
    <n v="0"/>
    <n v="0"/>
    <n v="492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5"/>
    <x v="2"/>
    <x v="0"/>
    <x v="0"/>
    <n v="0"/>
    <n v="0"/>
    <n v="0"/>
    <n v="0"/>
    <n v="553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6"/>
    <x v="2"/>
    <x v="0"/>
    <x v="0"/>
    <n v="0"/>
    <n v="0"/>
    <n v="0"/>
    <n v="0"/>
    <n v="614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7"/>
    <x v="2"/>
    <x v="0"/>
    <x v="0"/>
    <n v="0"/>
    <n v="0"/>
    <n v="0"/>
    <n v="0"/>
    <n v="530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8"/>
    <x v="2"/>
    <x v="0"/>
    <x v="0"/>
    <n v="0"/>
    <n v="0"/>
    <n v="0"/>
    <n v="0"/>
    <n v="464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9"/>
    <x v="2"/>
    <x v="0"/>
    <x v="0"/>
    <n v="0"/>
    <n v="0"/>
    <n v="0"/>
    <n v="0"/>
    <n v="58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0"/>
    <x v="2"/>
    <x v="0"/>
    <x v="0"/>
    <n v="0"/>
    <n v="0"/>
    <n v="0"/>
    <n v="0"/>
    <n v="619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1"/>
    <x v="2"/>
    <x v="0"/>
    <x v="0"/>
    <n v="0"/>
    <n v="0"/>
    <n v="0"/>
    <n v="0"/>
    <n v="566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2"/>
    <x v="2"/>
    <x v="0"/>
    <x v="0"/>
    <n v="0"/>
    <n v="0"/>
    <n v="0"/>
    <n v="0"/>
    <n v="48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3"/>
    <x v="2"/>
    <x v="0"/>
    <x v="0"/>
    <n v="0"/>
    <n v="0"/>
    <n v="0"/>
    <n v="0"/>
    <n v="523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4"/>
    <x v="2"/>
    <x v="0"/>
    <x v="0"/>
    <n v="0"/>
    <n v="0"/>
    <n v="0"/>
    <n v="0"/>
    <n v="521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5"/>
    <x v="2"/>
    <x v="0"/>
    <x v="0"/>
    <n v="0"/>
    <n v="0"/>
    <n v="0"/>
    <n v="0"/>
    <n v="559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6"/>
    <x v="2"/>
    <x v="0"/>
    <x v="0"/>
    <n v="0"/>
    <n v="0"/>
    <n v="0"/>
    <n v="0"/>
    <n v="45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7"/>
    <x v="2"/>
    <x v="0"/>
    <x v="0"/>
    <n v="0"/>
    <n v="0"/>
    <n v="0"/>
    <n v="0"/>
    <n v="54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8"/>
    <x v="2"/>
    <x v="0"/>
    <x v="0"/>
    <n v="0"/>
    <n v="0"/>
    <n v="0"/>
    <n v="0"/>
    <n v="614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9"/>
    <x v="2"/>
    <x v="0"/>
    <x v="0"/>
    <n v="0"/>
    <n v="0"/>
    <n v="0"/>
    <n v="0"/>
    <n v="543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0"/>
    <x v="2"/>
    <x v="0"/>
    <x v="0"/>
    <n v="0"/>
    <n v="0"/>
    <n v="0"/>
    <n v="0"/>
    <n v="61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1"/>
    <x v="2"/>
    <x v="0"/>
    <x v="0"/>
    <n v="0"/>
    <n v="0"/>
    <n v="0"/>
    <n v="0"/>
    <n v="513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2"/>
    <x v="2"/>
    <x v="0"/>
    <x v="0"/>
    <n v="0"/>
    <n v="0"/>
    <n v="0"/>
    <n v="0"/>
    <n v="53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3"/>
    <x v="2"/>
    <x v="0"/>
    <x v="0"/>
    <n v="0"/>
    <n v="0"/>
    <n v="0"/>
    <n v="0"/>
    <n v="572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4"/>
    <x v="2"/>
    <x v="0"/>
    <x v="0"/>
    <n v="0"/>
    <n v="0"/>
    <n v="0"/>
    <n v="0"/>
    <n v="537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5"/>
    <x v="2"/>
    <x v="0"/>
    <x v="0"/>
    <n v="0"/>
    <n v="0"/>
    <n v="0"/>
    <n v="0"/>
    <n v="590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6"/>
    <x v="2"/>
    <x v="0"/>
    <x v="0"/>
    <n v="0"/>
    <n v="0"/>
    <n v="0"/>
    <n v="0"/>
    <n v="519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7"/>
    <x v="2"/>
    <x v="0"/>
    <x v="0"/>
    <n v="0"/>
    <n v="0"/>
    <n v="0"/>
    <n v="0"/>
    <n v="51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8"/>
    <x v="2"/>
    <x v="0"/>
    <x v="0"/>
    <n v="0"/>
    <n v="0"/>
    <n v="0"/>
    <n v="0"/>
    <n v="473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29"/>
    <x v="2"/>
    <x v="0"/>
    <x v="0"/>
    <n v="0"/>
    <n v="0"/>
    <n v="0"/>
    <n v="0"/>
    <n v="586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0"/>
    <x v="2"/>
    <x v="0"/>
    <x v="0"/>
    <n v="0"/>
    <n v="0"/>
    <n v="0"/>
    <n v="0"/>
    <n v="529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1"/>
    <x v="2"/>
    <x v="0"/>
    <x v="0"/>
    <n v="0"/>
    <n v="0"/>
    <n v="0"/>
    <n v="0"/>
    <n v="57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2"/>
    <x v="2"/>
    <x v="0"/>
    <x v="0"/>
    <n v="0"/>
    <n v="0"/>
    <n v="0"/>
    <n v="0"/>
    <n v="540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3"/>
    <x v="2"/>
    <x v="0"/>
    <x v="0"/>
    <n v="0"/>
    <n v="0"/>
    <n v="0"/>
    <n v="0"/>
    <n v="55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4"/>
    <x v="2"/>
    <x v="0"/>
    <x v="0"/>
    <n v="0"/>
    <n v="0"/>
    <n v="0"/>
    <n v="0"/>
    <n v="566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5"/>
    <x v="2"/>
    <x v="0"/>
    <x v="0"/>
    <n v="0"/>
    <n v="0"/>
    <n v="0"/>
    <n v="0"/>
    <n v="546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6"/>
    <x v="2"/>
    <x v="0"/>
    <x v="0"/>
    <n v="0"/>
    <n v="0"/>
    <n v="0"/>
    <n v="0"/>
    <n v="564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7"/>
    <x v="2"/>
    <x v="0"/>
    <x v="0"/>
    <n v="0"/>
    <n v="0"/>
    <n v="0"/>
    <n v="0"/>
    <n v="534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8"/>
    <x v="2"/>
    <x v="0"/>
    <x v="0"/>
    <n v="0"/>
    <n v="0"/>
    <n v="0"/>
    <n v="0"/>
    <n v="60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39"/>
    <x v="2"/>
    <x v="0"/>
    <x v="0"/>
    <n v="0"/>
    <n v="0"/>
    <n v="0"/>
    <n v="0"/>
    <n v="48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0"/>
    <x v="2"/>
    <x v="0"/>
    <x v="0"/>
    <n v="0"/>
    <n v="0"/>
    <n v="0"/>
    <n v="0"/>
    <n v="58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1"/>
    <x v="2"/>
    <x v="0"/>
    <x v="0"/>
    <n v="0"/>
    <n v="0"/>
    <n v="0"/>
    <n v="0"/>
    <n v="450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2"/>
    <x v="2"/>
    <x v="0"/>
    <x v="0"/>
    <n v="0"/>
    <n v="0"/>
    <n v="0"/>
    <n v="0"/>
    <n v="501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3"/>
    <x v="2"/>
    <x v="0"/>
    <x v="0"/>
    <n v="0"/>
    <n v="0"/>
    <n v="0"/>
    <n v="0"/>
    <n v="55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4"/>
    <x v="2"/>
    <x v="0"/>
    <x v="0"/>
    <n v="0"/>
    <n v="0"/>
    <n v="0"/>
    <n v="0"/>
    <n v="507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5"/>
    <x v="2"/>
    <x v="0"/>
    <x v="0"/>
    <n v="0"/>
    <n v="0"/>
    <n v="0"/>
    <n v="0"/>
    <n v="52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6"/>
    <x v="2"/>
    <x v="0"/>
    <x v="0"/>
    <n v="0"/>
    <n v="0"/>
    <n v="0"/>
    <n v="0"/>
    <n v="558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7"/>
    <x v="2"/>
    <x v="0"/>
    <x v="0"/>
    <n v="0"/>
    <n v="0"/>
    <n v="0"/>
    <n v="0"/>
    <n v="520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8"/>
    <x v="2"/>
    <x v="0"/>
    <x v="0"/>
    <n v="0"/>
    <n v="0"/>
    <n v="0"/>
    <n v="0"/>
    <n v="525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49"/>
    <x v="2"/>
    <x v="0"/>
    <x v="0"/>
    <n v="0"/>
    <n v="0"/>
    <n v="0"/>
    <n v="0"/>
    <n v="571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50"/>
    <x v="2"/>
    <x v="0"/>
    <x v="0"/>
    <n v="0"/>
    <n v="0"/>
    <n v="0"/>
    <n v="0"/>
    <n v="561"/>
    <s v="Unnamed ProjectQueue Bicycle C.QueueWaiting TimeQueue"/>
    <n v="50"/>
    <n v="0"/>
    <n v="0"/>
    <n v="0.95"/>
    <n v="0"/>
    <n v="0"/>
    <n v="0"/>
    <n v="0"/>
    <n v="0"/>
    <n v="541.12"/>
    <n v="0"/>
    <n v="50"/>
    <n v="1"/>
  </r>
  <r>
    <x v="0"/>
    <s v="2025-03-22 23:28:40"/>
    <n v="1"/>
    <x v="3"/>
    <x v="0"/>
    <x v="0"/>
    <n v="0"/>
    <n v="0"/>
    <n v="0"/>
    <n v="0"/>
    <n v="54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"/>
    <x v="3"/>
    <x v="0"/>
    <x v="0"/>
    <n v="0"/>
    <n v="0"/>
    <n v="0"/>
    <n v="0"/>
    <n v="556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"/>
    <x v="3"/>
    <x v="0"/>
    <x v="0"/>
    <n v="0"/>
    <n v="0"/>
    <n v="0"/>
    <n v="0"/>
    <n v="526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"/>
    <x v="3"/>
    <x v="0"/>
    <x v="0"/>
    <n v="0"/>
    <n v="0"/>
    <n v="0"/>
    <n v="0"/>
    <n v="502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5"/>
    <x v="3"/>
    <x v="0"/>
    <x v="0"/>
    <n v="0"/>
    <n v="0"/>
    <n v="0"/>
    <n v="0"/>
    <n v="54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6"/>
    <x v="3"/>
    <x v="0"/>
    <x v="0"/>
    <n v="0"/>
    <n v="0"/>
    <n v="0"/>
    <n v="0"/>
    <n v="582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7"/>
    <x v="3"/>
    <x v="0"/>
    <x v="0"/>
    <n v="0"/>
    <n v="0"/>
    <n v="0"/>
    <n v="0"/>
    <n v="56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8"/>
    <x v="3"/>
    <x v="0"/>
    <x v="0"/>
    <n v="0"/>
    <n v="0"/>
    <n v="0"/>
    <n v="0"/>
    <n v="506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9"/>
    <x v="3"/>
    <x v="0"/>
    <x v="0"/>
    <n v="0"/>
    <n v="0"/>
    <n v="0"/>
    <n v="0"/>
    <n v="521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0"/>
    <x v="3"/>
    <x v="0"/>
    <x v="0"/>
    <n v="0"/>
    <n v="0"/>
    <n v="0"/>
    <n v="0"/>
    <n v="54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1"/>
    <x v="3"/>
    <x v="0"/>
    <x v="0"/>
    <n v="0"/>
    <n v="0"/>
    <n v="0"/>
    <n v="0"/>
    <n v="585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2"/>
    <x v="3"/>
    <x v="0"/>
    <x v="0"/>
    <n v="0"/>
    <n v="0"/>
    <n v="0"/>
    <n v="0"/>
    <n v="52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3"/>
    <x v="3"/>
    <x v="0"/>
    <x v="0"/>
    <n v="0"/>
    <n v="0"/>
    <n v="0"/>
    <n v="0"/>
    <n v="55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4"/>
    <x v="3"/>
    <x v="0"/>
    <x v="0"/>
    <n v="0"/>
    <n v="0"/>
    <n v="0"/>
    <n v="0"/>
    <n v="559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5"/>
    <x v="3"/>
    <x v="0"/>
    <x v="0"/>
    <n v="0"/>
    <n v="0"/>
    <n v="0"/>
    <n v="0"/>
    <n v="55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6"/>
    <x v="3"/>
    <x v="0"/>
    <x v="0"/>
    <n v="0"/>
    <n v="0"/>
    <n v="0"/>
    <n v="0"/>
    <n v="50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7"/>
    <x v="3"/>
    <x v="0"/>
    <x v="0"/>
    <n v="0"/>
    <n v="0"/>
    <n v="0"/>
    <n v="0"/>
    <n v="566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8"/>
    <x v="3"/>
    <x v="0"/>
    <x v="0"/>
    <n v="0"/>
    <n v="0"/>
    <n v="0"/>
    <n v="0"/>
    <n v="53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9"/>
    <x v="3"/>
    <x v="0"/>
    <x v="0"/>
    <n v="0"/>
    <n v="0"/>
    <n v="0"/>
    <n v="0"/>
    <n v="56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0"/>
    <x v="3"/>
    <x v="0"/>
    <x v="0"/>
    <n v="0"/>
    <n v="0"/>
    <n v="0"/>
    <n v="0"/>
    <n v="568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1"/>
    <x v="3"/>
    <x v="0"/>
    <x v="0"/>
    <n v="0"/>
    <n v="0"/>
    <n v="0"/>
    <n v="0"/>
    <n v="54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2"/>
    <x v="3"/>
    <x v="0"/>
    <x v="0"/>
    <n v="0"/>
    <n v="0"/>
    <n v="0"/>
    <n v="0"/>
    <n v="54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3"/>
    <x v="3"/>
    <x v="0"/>
    <x v="0"/>
    <n v="0"/>
    <n v="0"/>
    <n v="0"/>
    <n v="0"/>
    <n v="563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4"/>
    <x v="3"/>
    <x v="0"/>
    <x v="0"/>
    <n v="0"/>
    <n v="0"/>
    <n v="0"/>
    <n v="0"/>
    <n v="581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5"/>
    <x v="3"/>
    <x v="0"/>
    <x v="0"/>
    <n v="0"/>
    <n v="0"/>
    <n v="0"/>
    <n v="0"/>
    <n v="59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6"/>
    <x v="3"/>
    <x v="0"/>
    <x v="0"/>
    <n v="0"/>
    <n v="0"/>
    <n v="0"/>
    <n v="0"/>
    <n v="558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7"/>
    <x v="3"/>
    <x v="0"/>
    <x v="0"/>
    <n v="0"/>
    <n v="0"/>
    <n v="0"/>
    <n v="0"/>
    <n v="523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8"/>
    <x v="3"/>
    <x v="0"/>
    <x v="0"/>
    <n v="0"/>
    <n v="0"/>
    <n v="0"/>
    <n v="0"/>
    <n v="51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29"/>
    <x v="3"/>
    <x v="0"/>
    <x v="0"/>
    <n v="0"/>
    <n v="0"/>
    <n v="0"/>
    <n v="0"/>
    <n v="588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0"/>
    <x v="3"/>
    <x v="0"/>
    <x v="0"/>
    <n v="0"/>
    <n v="0"/>
    <n v="0"/>
    <n v="0"/>
    <n v="57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1"/>
    <x v="3"/>
    <x v="0"/>
    <x v="0"/>
    <n v="0"/>
    <n v="0"/>
    <n v="0"/>
    <n v="0"/>
    <n v="549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2"/>
    <x v="3"/>
    <x v="0"/>
    <x v="0"/>
    <n v="0"/>
    <n v="0"/>
    <n v="0"/>
    <n v="0"/>
    <n v="559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3"/>
    <x v="3"/>
    <x v="0"/>
    <x v="0"/>
    <n v="0"/>
    <n v="0"/>
    <n v="0"/>
    <n v="0"/>
    <n v="543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4"/>
    <x v="3"/>
    <x v="0"/>
    <x v="0"/>
    <n v="0"/>
    <n v="0"/>
    <n v="0"/>
    <n v="0"/>
    <n v="57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5"/>
    <x v="3"/>
    <x v="0"/>
    <x v="0"/>
    <n v="0"/>
    <n v="0"/>
    <n v="0"/>
    <n v="0"/>
    <n v="55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6"/>
    <x v="3"/>
    <x v="0"/>
    <x v="0"/>
    <n v="0"/>
    <n v="0"/>
    <n v="0"/>
    <n v="0"/>
    <n v="51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7"/>
    <x v="3"/>
    <x v="0"/>
    <x v="0"/>
    <n v="0"/>
    <n v="0"/>
    <n v="0"/>
    <n v="0"/>
    <n v="50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8"/>
    <x v="3"/>
    <x v="0"/>
    <x v="0"/>
    <n v="0"/>
    <n v="0"/>
    <n v="0"/>
    <n v="0"/>
    <n v="58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39"/>
    <x v="3"/>
    <x v="0"/>
    <x v="0"/>
    <n v="0"/>
    <n v="0"/>
    <n v="0"/>
    <n v="0"/>
    <n v="51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0"/>
    <x v="3"/>
    <x v="0"/>
    <x v="0"/>
    <n v="0"/>
    <n v="0"/>
    <n v="0"/>
    <n v="0"/>
    <n v="453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1"/>
    <x v="3"/>
    <x v="0"/>
    <x v="0"/>
    <n v="0"/>
    <n v="0"/>
    <n v="0"/>
    <n v="0"/>
    <n v="488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2"/>
    <x v="3"/>
    <x v="0"/>
    <x v="0"/>
    <n v="0"/>
    <n v="0"/>
    <n v="0"/>
    <n v="0"/>
    <n v="523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3"/>
    <x v="3"/>
    <x v="0"/>
    <x v="0"/>
    <n v="0"/>
    <n v="0"/>
    <n v="0"/>
    <n v="0"/>
    <n v="585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4"/>
    <x v="3"/>
    <x v="0"/>
    <x v="0"/>
    <n v="0"/>
    <n v="0"/>
    <n v="0"/>
    <n v="0"/>
    <n v="530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5"/>
    <x v="3"/>
    <x v="0"/>
    <x v="0"/>
    <n v="0"/>
    <n v="0"/>
    <n v="0"/>
    <n v="0"/>
    <n v="544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6"/>
    <x v="3"/>
    <x v="0"/>
    <x v="0"/>
    <n v="0"/>
    <n v="0"/>
    <n v="0"/>
    <n v="0"/>
    <n v="598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7"/>
    <x v="3"/>
    <x v="0"/>
    <x v="0"/>
    <n v="0"/>
    <n v="0"/>
    <n v="0"/>
    <n v="0"/>
    <n v="557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8"/>
    <x v="3"/>
    <x v="0"/>
    <x v="0"/>
    <n v="0"/>
    <n v="0"/>
    <n v="0"/>
    <n v="0"/>
    <n v="551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49"/>
    <x v="3"/>
    <x v="0"/>
    <x v="0"/>
    <n v="0"/>
    <n v="0"/>
    <n v="0"/>
    <n v="0"/>
    <n v="511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50"/>
    <x v="3"/>
    <x v="0"/>
    <x v="0"/>
    <n v="0"/>
    <n v="0"/>
    <n v="0"/>
    <n v="0"/>
    <n v="571"/>
    <s v="Unnamed ProjectQueue Bicycle D.QueueWaiting TimeQueue"/>
    <n v="50"/>
    <n v="0"/>
    <n v="0"/>
    <n v="0.95"/>
    <n v="0"/>
    <n v="0"/>
    <n v="0"/>
    <n v="0"/>
    <n v="0"/>
    <n v="545.6"/>
    <n v="0"/>
    <n v="50"/>
    <n v="1"/>
  </r>
  <r>
    <x v="0"/>
    <s v="2025-03-22 23:28:40"/>
    <n v="1"/>
    <x v="4"/>
    <x v="0"/>
    <x v="0"/>
    <n v="0"/>
    <n v="0"/>
    <n v="0"/>
    <n v="0"/>
    <n v="544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"/>
    <x v="4"/>
    <x v="0"/>
    <x v="0"/>
    <n v="25.0863108007925"/>
    <n v="3E+20"/>
    <n v="0"/>
    <n v="98.344688457029207"/>
    <n v="555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"/>
    <x v="4"/>
    <x v="0"/>
    <x v="0"/>
    <n v="53.839244484964098"/>
    <n v="3E+20"/>
    <n v="0"/>
    <n v="199.8029613718"/>
    <n v="510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"/>
    <x v="4"/>
    <x v="0"/>
    <x v="0"/>
    <n v="2.3332684614563899"/>
    <n v="3E+20"/>
    <n v="0"/>
    <n v="63.8878232651929"/>
    <n v="501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5"/>
    <x v="4"/>
    <x v="0"/>
    <x v="0"/>
    <n v="9.57378364790031"/>
    <n v="3E+20"/>
    <n v="0"/>
    <n v="96.020770468159"/>
    <n v="539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6"/>
    <x v="4"/>
    <x v="0"/>
    <x v="0"/>
    <n v="2.6962385259572001"/>
    <n v="3E+20"/>
    <n v="0"/>
    <n v="51.1237281719647"/>
    <n v="580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7"/>
    <x v="4"/>
    <x v="0"/>
    <x v="0"/>
    <n v="1.5164563963676599E-2"/>
    <n v="3E+20"/>
    <n v="0"/>
    <n v="4.1271906521554502"/>
    <n v="56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8"/>
    <x v="4"/>
    <x v="0"/>
    <x v="0"/>
    <n v="0.31069672836617102"/>
    <n v="3E+20"/>
    <n v="0"/>
    <n v="13.7016535659368"/>
    <n v="506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9"/>
    <x v="4"/>
    <x v="0"/>
    <x v="0"/>
    <n v="0.14296324894253201"/>
    <n v="3E+20"/>
    <n v="0"/>
    <n v="12.3013263439239"/>
    <n v="521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0"/>
    <x v="4"/>
    <x v="0"/>
    <x v="0"/>
    <n v="1.92757439654346"/>
    <n v="3E+20"/>
    <n v="0"/>
    <n v="36.490513146399401"/>
    <n v="543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1"/>
    <x v="4"/>
    <x v="0"/>
    <x v="0"/>
    <n v="7.3487406141894099E-2"/>
    <n v="3E+20"/>
    <n v="0"/>
    <n v="12.1842032601333"/>
    <n v="582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2"/>
    <x v="4"/>
    <x v="0"/>
    <x v="0"/>
    <n v="0.15678350318503401"/>
    <n v="3E+20"/>
    <n v="0"/>
    <n v="19.7555706692938"/>
    <n v="519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3"/>
    <x v="4"/>
    <x v="0"/>
    <x v="0"/>
    <n v="3.8705900710778597E-2"/>
    <n v="3E+20"/>
    <n v="0"/>
    <n v="11.037744121656999"/>
    <n v="550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4"/>
    <x v="4"/>
    <x v="0"/>
    <x v="0"/>
    <n v="10.6374516819908"/>
    <n v="3E+20"/>
    <n v="0"/>
    <n v="84.027991031111895"/>
    <n v="54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5"/>
    <x v="4"/>
    <x v="0"/>
    <x v="0"/>
    <n v="0.67471571688584797"/>
    <n v="3E+20"/>
    <n v="0"/>
    <n v="22.559900172760301"/>
    <n v="550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6"/>
    <x v="4"/>
    <x v="0"/>
    <x v="0"/>
    <n v="2.2366603444123698E-3"/>
    <n v="3E+20"/>
    <n v="0"/>
    <n v="1.1250401532394201"/>
    <n v="503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7"/>
    <x v="4"/>
    <x v="0"/>
    <x v="0"/>
    <n v="2.96345575018447E-2"/>
    <n v="3E+20"/>
    <n v="0"/>
    <n v="6.77904866251854"/>
    <n v="566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8"/>
    <x v="4"/>
    <x v="0"/>
    <x v="0"/>
    <n v="0.11077674948633701"/>
    <n v="3E+20"/>
    <n v="0"/>
    <n v="11.4037350872381"/>
    <n v="529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9"/>
    <x v="4"/>
    <x v="0"/>
    <x v="0"/>
    <n v="5.5457077684651397"/>
    <n v="3E+20"/>
    <n v="0"/>
    <n v="67.437608213460393"/>
    <n v="563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0"/>
    <x v="4"/>
    <x v="0"/>
    <x v="0"/>
    <n v="21.561832433656999"/>
    <n v="3E+20"/>
    <n v="0"/>
    <n v="97.907791008773401"/>
    <n v="56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1"/>
    <x v="4"/>
    <x v="0"/>
    <x v="0"/>
    <n v="0.638115810958093"/>
    <n v="3E+20"/>
    <n v="0"/>
    <n v="16.8810268393242"/>
    <n v="546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2"/>
    <x v="4"/>
    <x v="0"/>
    <x v="0"/>
    <n v="0"/>
    <n v="0"/>
    <n v="0"/>
    <n v="0"/>
    <n v="54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3"/>
    <x v="4"/>
    <x v="0"/>
    <x v="0"/>
    <n v="147.54638400017501"/>
    <n v="3E+20"/>
    <n v="0"/>
    <n v="309.99361754327998"/>
    <n v="55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4"/>
    <x v="4"/>
    <x v="0"/>
    <x v="0"/>
    <n v="6.9430698477686903"/>
    <n v="3E+20"/>
    <n v="0"/>
    <n v="53.050046131311298"/>
    <n v="580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5"/>
    <x v="4"/>
    <x v="0"/>
    <x v="0"/>
    <n v="0"/>
    <n v="0"/>
    <n v="0"/>
    <n v="0"/>
    <n v="58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6"/>
    <x v="4"/>
    <x v="0"/>
    <x v="0"/>
    <n v="0.14078943798976401"/>
    <n v="3E+20"/>
    <n v="0"/>
    <n v="20.228911326239398"/>
    <n v="555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7"/>
    <x v="4"/>
    <x v="0"/>
    <x v="0"/>
    <n v="0"/>
    <n v="0"/>
    <n v="0"/>
    <n v="0"/>
    <n v="521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8"/>
    <x v="4"/>
    <x v="0"/>
    <x v="0"/>
    <n v="0"/>
    <n v="0"/>
    <n v="0"/>
    <n v="0"/>
    <n v="50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29"/>
    <x v="4"/>
    <x v="0"/>
    <x v="0"/>
    <n v="0.25402626904388298"/>
    <n v="3E+20"/>
    <n v="0"/>
    <n v="18.6367039369892"/>
    <n v="58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0"/>
    <x v="4"/>
    <x v="0"/>
    <x v="0"/>
    <n v="65.020242135771298"/>
    <n v="3E+20"/>
    <n v="0"/>
    <n v="152.67263759377499"/>
    <n v="576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1"/>
    <x v="4"/>
    <x v="0"/>
    <x v="0"/>
    <n v="0.80408528359161702"/>
    <n v="0.82459387270162998"/>
    <n v="0"/>
    <n v="18.0343635590683"/>
    <n v="54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2"/>
    <x v="4"/>
    <x v="0"/>
    <x v="0"/>
    <n v="3.1609263366210198"/>
    <n v="3E+20"/>
    <n v="0"/>
    <n v="38.616023348865397"/>
    <n v="55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3"/>
    <x v="4"/>
    <x v="0"/>
    <x v="0"/>
    <n v="0.40656623150715299"/>
    <n v="3E+20"/>
    <n v="0"/>
    <n v="27.220683180479099"/>
    <n v="542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4"/>
    <x v="4"/>
    <x v="0"/>
    <x v="0"/>
    <n v="0"/>
    <n v="0"/>
    <n v="0"/>
    <n v="0"/>
    <n v="574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5"/>
    <x v="4"/>
    <x v="0"/>
    <x v="0"/>
    <n v="0.171404578090704"/>
    <n v="0.195296743447262"/>
    <n v="0"/>
    <n v="7.6292405527977998"/>
    <n v="554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6"/>
    <x v="4"/>
    <x v="0"/>
    <x v="0"/>
    <n v="1.09860374471621E-2"/>
    <n v="3E+20"/>
    <n v="0"/>
    <n v="4.2081060157499897"/>
    <n v="51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7"/>
    <x v="4"/>
    <x v="0"/>
    <x v="0"/>
    <n v="3.4508104703202601E-3"/>
    <n v="3E+20"/>
    <n v="0"/>
    <n v="0.81881457026065596"/>
    <n v="503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8"/>
    <x v="4"/>
    <x v="0"/>
    <x v="0"/>
    <n v="5.8803504356458397E-2"/>
    <n v="3E+20"/>
    <n v="0"/>
    <n v="6.2752798116989199"/>
    <n v="584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39"/>
    <x v="4"/>
    <x v="0"/>
    <x v="0"/>
    <n v="0.72004944587019104"/>
    <n v="3E+20"/>
    <n v="0"/>
    <n v="20.221908511507699"/>
    <n v="51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0"/>
    <x v="4"/>
    <x v="0"/>
    <x v="0"/>
    <n v="7.5753349033828004"/>
    <n v="3E+20"/>
    <n v="0"/>
    <n v="44.212378274922003"/>
    <n v="453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1"/>
    <x v="4"/>
    <x v="0"/>
    <x v="0"/>
    <n v="1.65038951079386"/>
    <n v="3E+20"/>
    <n v="0"/>
    <n v="28.367646853636799"/>
    <n v="48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2"/>
    <x v="4"/>
    <x v="0"/>
    <x v="0"/>
    <n v="1.97576208127502E-3"/>
    <n v="3E+20"/>
    <n v="0"/>
    <n v="1.02937204434429"/>
    <n v="521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3"/>
    <x v="4"/>
    <x v="0"/>
    <x v="0"/>
    <n v="108.07913409437499"/>
    <n v="3E+20"/>
    <n v="0"/>
    <n v="241.62439333428301"/>
    <n v="532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4"/>
    <x v="4"/>
    <x v="0"/>
    <x v="0"/>
    <n v="0"/>
    <n v="0"/>
    <n v="0"/>
    <n v="0"/>
    <n v="52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5"/>
    <x v="4"/>
    <x v="0"/>
    <x v="0"/>
    <n v="9.4221637656721704"/>
    <n v="3E+20"/>
    <n v="0"/>
    <n v="76.376207351680804"/>
    <n v="542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6"/>
    <x v="4"/>
    <x v="0"/>
    <x v="0"/>
    <n v="4.33846115455193E-2"/>
    <n v="3E+20"/>
    <n v="0"/>
    <n v="10.9738152628611"/>
    <n v="597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7"/>
    <x v="4"/>
    <x v="0"/>
    <x v="0"/>
    <n v="63.164222274872699"/>
    <n v="3E+20"/>
    <n v="0"/>
    <n v="141.79311922212801"/>
    <n v="555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8"/>
    <x v="4"/>
    <x v="0"/>
    <x v="0"/>
    <n v="5.2020055429473597"/>
    <n v="3E+20"/>
    <n v="0"/>
    <n v="39.417752948520999"/>
    <n v="548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49"/>
    <x v="4"/>
    <x v="0"/>
    <x v="0"/>
    <n v="4.7770466555753698E-2"/>
    <n v="3E+20"/>
    <n v="0"/>
    <n v="14.527859575666699"/>
    <n v="511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50"/>
    <x v="4"/>
    <x v="0"/>
    <x v="0"/>
    <n v="2.94451274057506"/>
    <n v="3E+20"/>
    <n v="0"/>
    <n v="27.448776333202801"/>
    <n v="569"/>
    <s v="Unnamed ProjectQueue for Docking at A.QueueWaiting TimeQueue"/>
    <n v="50"/>
    <n v="11.175327412794363"/>
    <n v="28.540760910048576"/>
    <n v="0.95"/>
    <n v="8.1111945040912481"/>
    <n v="0"/>
    <n v="147.54638400017501"/>
    <n v="0"/>
    <n v="309.99361754327998"/>
    <n v="542.98"/>
    <n v="8.1111945040912481"/>
    <n v="50"/>
    <n v="1"/>
  </r>
  <r>
    <x v="0"/>
    <s v="2025-03-22 23:28:40"/>
    <n v="1"/>
    <x v="5"/>
    <x v="0"/>
    <x v="0"/>
    <n v="40.750758417583697"/>
    <n v="3E+20"/>
    <n v="0"/>
    <n v="134.91731097626001"/>
    <n v="546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"/>
    <x v="5"/>
    <x v="0"/>
    <x v="0"/>
    <n v="25.9382682069926"/>
    <n v="3E+20"/>
    <n v="0"/>
    <n v="191.856268017698"/>
    <n v="510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"/>
    <x v="5"/>
    <x v="0"/>
    <x v="0"/>
    <n v="0.52490255581437195"/>
    <n v="3E+20"/>
    <n v="0"/>
    <n v="15.1725106760146"/>
    <n v="507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"/>
    <x v="5"/>
    <x v="0"/>
    <x v="0"/>
    <n v="0.24751721730910201"/>
    <n v="3E+20"/>
    <n v="0"/>
    <n v="19.208994530528599"/>
    <n v="54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5"/>
    <x v="5"/>
    <x v="0"/>
    <x v="0"/>
    <n v="2.8662175262434801E-3"/>
    <n v="3E+20"/>
    <n v="0"/>
    <n v="1.54775746417148"/>
    <n v="540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6"/>
    <x v="5"/>
    <x v="0"/>
    <x v="0"/>
    <n v="2.2701293118959202E-3"/>
    <n v="3E+20"/>
    <n v="0"/>
    <n v="1.3484568112661699"/>
    <n v="594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7"/>
    <x v="5"/>
    <x v="0"/>
    <x v="0"/>
    <n v="144.483656057704"/>
    <n v="3E+20"/>
    <n v="0"/>
    <n v="324.94546178450298"/>
    <n v="507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8"/>
    <x v="5"/>
    <x v="0"/>
    <x v="0"/>
    <n v="18.092632285609401"/>
    <n v="3E+20"/>
    <n v="0"/>
    <n v="84.263290673879993"/>
    <n v="524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9"/>
    <x v="5"/>
    <x v="0"/>
    <x v="0"/>
    <n v="0"/>
    <n v="0"/>
    <n v="0"/>
    <n v="0"/>
    <n v="565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0"/>
    <x v="5"/>
    <x v="0"/>
    <x v="0"/>
    <n v="2.0827901537836702E-2"/>
    <n v="3E+20"/>
    <n v="0"/>
    <n v="5.69945049198272"/>
    <n v="56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1"/>
    <x v="5"/>
    <x v="0"/>
    <x v="0"/>
    <n v="17.278949670155999"/>
    <n v="3E+20"/>
    <n v="0"/>
    <n v="110.179469834242"/>
    <n v="58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2"/>
    <x v="5"/>
    <x v="0"/>
    <x v="0"/>
    <n v="18.614008289527501"/>
    <n v="3E+20"/>
    <n v="0"/>
    <n v="78.263106883196102"/>
    <n v="573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3"/>
    <x v="5"/>
    <x v="0"/>
    <x v="0"/>
    <n v="84.166795417825796"/>
    <n v="3E+20"/>
    <n v="0"/>
    <n v="233.21055645392499"/>
    <n v="576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4"/>
    <x v="5"/>
    <x v="0"/>
    <x v="0"/>
    <n v="91.504089033688103"/>
    <n v="3E+20"/>
    <n v="0"/>
    <n v="231.36783293183601"/>
    <n v="514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5"/>
    <x v="5"/>
    <x v="0"/>
    <x v="0"/>
    <n v="2.8195804505134001"/>
    <n v="3E+20"/>
    <n v="0"/>
    <n v="35.034097436036497"/>
    <n v="559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6"/>
    <x v="5"/>
    <x v="0"/>
    <x v="0"/>
    <n v="78.771969173380498"/>
    <n v="3E+20"/>
    <n v="0"/>
    <n v="215.497608664859"/>
    <n v="54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7"/>
    <x v="5"/>
    <x v="0"/>
    <x v="0"/>
    <n v="0.482045717174857"/>
    <n v="3E+20"/>
    <n v="0"/>
    <n v="20.5008175075134"/>
    <n v="569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8"/>
    <x v="5"/>
    <x v="0"/>
    <x v="0"/>
    <n v="3.5369232507539698"/>
    <n v="3E+20"/>
    <n v="0"/>
    <n v="56.590262138493003"/>
    <n v="553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9"/>
    <x v="5"/>
    <x v="0"/>
    <x v="0"/>
    <n v="63.045027110807602"/>
    <n v="3E+20"/>
    <n v="0"/>
    <n v="136.88903264662801"/>
    <n v="55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0"/>
    <x v="5"/>
    <x v="0"/>
    <x v="0"/>
    <n v="1.5774370019587699E-2"/>
    <n v="3E+20"/>
    <n v="0"/>
    <n v="5.3554631786100302"/>
    <n v="587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1"/>
    <x v="5"/>
    <x v="0"/>
    <x v="0"/>
    <n v="20.559384779545301"/>
    <n v="3E+20"/>
    <n v="0"/>
    <n v="122.690546976896"/>
    <n v="577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2"/>
    <x v="5"/>
    <x v="0"/>
    <x v="0"/>
    <n v="101.090965431546"/>
    <n v="3E+20"/>
    <n v="0"/>
    <n v="178.26922590876799"/>
    <n v="518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3"/>
    <x v="5"/>
    <x v="0"/>
    <x v="0"/>
    <n v="0"/>
    <n v="0"/>
    <n v="0"/>
    <n v="0"/>
    <n v="556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4"/>
    <x v="5"/>
    <x v="0"/>
    <x v="0"/>
    <n v="0"/>
    <n v="0"/>
    <n v="0"/>
    <n v="0"/>
    <n v="580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5"/>
    <x v="5"/>
    <x v="0"/>
    <x v="0"/>
    <n v="0.96855562162113495"/>
    <n v="1.2850990074245801"/>
    <n v="0"/>
    <n v="33.816337576576501"/>
    <n v="607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6"/>
    <x v="5"/>
    <x v="0"/>
    <x v="0"/>
    <n v="184.584786754118"/>
    <n v="3E+20"/>
    <n v="0"/>
    <n v="330.22742130715898"/>
    <n v="50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7"/>
    <x v="5"/>
    <x v="0"/>
    <x v="0"/>
    <n v="24.639667530514298"/>
    <n v="3E+20"/>
    <n v="0"/>
    <n v="83.556176645492798"/>
    <n v="533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8"/>
    <x v="5"/>
    <x v="0"/>
    <x v="0"/>
    <n v="7.57226484468754"/>
    <n v="3E+20"/>
    <n v="0"/>
    <n v="65.3397487921725"/>
    <n v="535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29"/>
    <x v="5"/>
    <x v="0"/>
    <x v="0"/>
    <n v="17.295180277519702"/>
    <n v="3E+20"/>
    <n v="0"/>
    <n v="136.94588233469199"/>
    <n v="572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0"/>
    <x v="5"/>
    <x v="0"/>
    <x v="0"/>
    <n v="47.820078309459198"/>
    <n v="3E+20"/>
    <n v="0"/>
    <n v="254.05029037364301"/>
    <n v="505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1"/>
    <x v="5"/>
    <x v="0"/>
    <x v="0"/>
    <n v="49.042564486092303"/>
    <n v="3E+20"/>
    <n v="0"/>
    <n v="139.63294538635199"/>
    <n v="555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2"/>
    <x v="5"/>
    <x v="0"/>
    <x v="0"/>
    <n v="119.54676342596299"/>
    <n v="3E+20"/>
    <n v="0"/>
    <n v="236.64751158794201"/>
    <n v="518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3"/>
    <x v="5"/>
    <x v="0"/>
    <x v="0"/>
    <n v="0.13398719188876099"/>
    <n v="0.18926872974308401"/>
    <n v="0"/>
    <n v="11.719700832007"/>
    <n v="566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4"/>
    <x v="5"/>
    <x v="0"/>
    <x v="0"/>
    <n v="41.6608962160633"/>
    <n v="3E+20"/>
    <n v="0"/>
    <n v="135.08824851404799"/>
    <n v="56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5"/>
    <x v="5"/>
    <x v="0"/>
    <x v="0"/>
    <n v="22.864134835468899"/>
    <n v="3E+20"/>
    <n v="0"/>
    <n v="95.235020066715194"/>
    <n v="599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6"/>
    <x v="5"/>
    <x v="0"/>
    <x v="0"/>
    <n v="3.0594752270531801E-2"/>
    <n v="3E+20"/>
    <n v="0"/>
    <n v="12.393803078049899"/>
    <n v="547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7"/>
    <x v="5"/>
    <x v="0"/>
    <x v="0"/>
    <n v="0.63065979625132795"/>
    <n v="3E+20"/>
    <n v="0"/>
    <n v="28.421922595097602"/>
    <n v="536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8"/>
    <x v="5"/>
    <x v="0"/>
    <x v="0"/>
    <n v="65.012632283367907"/>
    <n v="3E+20"/>
    <n v="0"/>
    <n v="193.76338168677401"/>
    <n v="590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39"/>
    <x v="5"/>
    <x v="0"/>
    <x v="0"/>
    <n v="81.913055701822103"/>
    <n v="3E+20"/>
    <n v="0"/>
    <n v="233.752068949668"/>
    <n v="585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0"/>
    <x v="5"/>
    <x v="0"/>
    <x v="0"/>
    <n v="7.7711342290940899E-2"/>
    <n v="0.107163211049794"/>
    <n v="0"/>
    <n v="11.717071908689499"/>
    <n v="502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1"/>
    <x v="5"/>
    <x v="0"/>
    <x v="0"/>
    <n v="44.4359110540058"/>
    <n v="3E+20"/>
    <n v="0"/>
    <n v="166.58813796739699"/>
    <n v="541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2"/>
    <x v="5"/>
    <x v="0"/>
    <x v="0"/>
    <n v="133.27384172387201"/>
    <n v="3E+20"/>
    <n v="0"/>
    <n v="262.62595740827999"/>
    <n v="532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3"/>
    <x v="5"/>
    <x v="0"/>
    <x v="0"/>
    <n v="0.100824886954265"/>
    <n v="3E+20"/>
    <n v="0"/>
    <n v="8.0572869099794406"/>
    <n v="529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4"/>
    <x v="5"/>
    <x v="0"/>
    <x v="0"/>
    <n v="135.59674574837001"/>
    <n v="3E+20"/>
    <n v="0"/>
    <n v="296.12425214962502"/>
    <n v="544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5"/>
    <x v="5"/>
    <x v="0"/>
    <x v="0"/>
    <n v="6.4413762104494801E-2"/>
    <n v="3E+20"/>
    <n v="0"/>
    <n v="7.8744952015931799"/>
    <n v="576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6"/>
    <x v="5"/>
    <x v="0"/>
    <x v="0"/>
    <n v="42.7576461260199"/>
    <n v="3E+20"/>
    <n v="0"/>
    <n v="138.449759667167"/>
    <n v="595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7"/>
    <x v="5"/>
    <x v="0"/>
    <x v="0"/>
    <n v="7.4814092463907897E-2"/>
    <n v="0.14705329193623101"/>
    <n v="0"/>
    <n v="13.2506035153265"/>
    <n v="558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8"/>
    <x v="5"/>
    <x v="0"/>
    <x v="0"/>
    <n v="132.32296825862699"/>
    <n v="3E+20"/>
    <n v="0"/>
    <n v="227.19513789036"/>
    <n v="494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49"/>
    <x v="5"/>
    <x v="0"/>
    <x v="0"/>
    <n v="13.6192394219498"/>
    <n v="3E+20"/>
    <n v="0"/>
    <n v="90.785648611796006"/>
    <n v="543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50"/>
    <x v="5"/>
    <x v="0"/>
    <x v="0"/>
    <n v="69.656015161142307"/>
    <n v="3E+20"/>
    <n v="0"/>
    <n v="198.42111778431601"/>
    <n v="564"/>
    <s v="Unnamed ProjectQueue for Docking at B.QueueWaiting TimeQueue"/>
    <n v="50"/>
    <n v="38.952903305784723"/>
    <n v="48.303329399206255"/>
    <n v="0.95"/>
    <n v="13.727654325228857"/>
    <n v="0"/>
    <n v="184.584786754118"/>
    <n v="0"/>
    <n v="330.22742130715898"/>
    <n v="550.36"/>
    <n v="13.727654325228857"/>
    <n v="50"/>
    <n v="1"/>
  </r>
  <r>
    <x v="0"/>
    <s v="2025-03-22 23:28:40"/>
    <n v="1"/>
    <x v="6"/>
    <x v="0"/>
    <x v="0"/>
    <n v="19.9278603531728"/>
    <n v="3E+20"/>
    <n v="0"/>
    <n v="108.479049143764"/>
    <n v="542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"/>
    <x v="6"/>
    <x v="0"/>
    <x v="0"/>
    <n v="4.6581134128016997"/>
    <n v="3E+20"/>
    <n v="0"/>
    <n v="47.371696847495201"/>
    <n v="509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"/>
    <x v="6"/>
    <x v="0"/>
    <x v="0"/>
    <n v="106.037259547673"/>
    <n v="3E+20"/>
    <n v="0"/>
    <n v="217.225637355841"/>
    <n v="48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"/>
    <x v="6"/>
    <x v="0"/>
    <x v="0"/>
    <n v="134.44315161642999"/>
    <n v="3E+20"/>
    <n v="0"/>
    <n v="230.07635426370001"/>
    <n v="492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5"/>
    <x v="6"/>
    <x v="0"/>
    <x v="0"/>
    <n v="82.881045585938793"/>
    <n v="3E+20"/>
    <n v="0"/>
    <n v="221.17558788925001"/>
    <n v="55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6"/>
    <x v="6"/>
    <x v="0"/>
    <x v="0"/>
    <n v="1.00893865404783"/>
    <n v="3E+20"/>
    <n v="0"/>
    <n v="21.631818728086099"/>
    <n v="60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7"/>
    <x v="6"/>
    <x v="0"/>
    <x v="0"/>
    <n v="11.2127951741834"/>
    <n v="3E+20"/>
    <n v="0"/>
    <n v="66.547959146392898"/>
    <n v="50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8"/>
    <x v="6"/>
    <x v="0"/>
    <x v="0"/>
    <n v="219.113737291864"/>
    <n v="3E+20"/>
    <n v="0"/>
    <n v="374.21698857487002"/>
    <n v="464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9"/>
    <x v="6"/>
    <x v="0"/>
    <x v="0"/>
    <n v="105.25163663999599"/>
    <n v="3E+20"/>
    <n v="0"/>
    <n v="221.328156605826"/>
    <n v="58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0"/>
    <x v="6"/>
    <x v="0"/>
    <x v="0"/>
    <n v="3.2873323524583902"/>
    <n v="3E+20"/>
    <n v="0"/>
    <n v="51.356971646297701"/>
    <n v="594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1"/>
    <x v="6"/>
    <x v="0"/>
    <x v="0"/>
    <n v="179.49616557869999"/>
    <n v="3E+20"/>
    <n v="0"/>
    <n v="384.33785462031102"/>
    <n v="566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2"/>
    <x v="6"/>
    <x v="0"/>
    <x v="0"/>
    <n v="199.962835081213"/>
    <n v="3E+20"/>
    <n v="0"/>
    <n v="345.40948409356002"/>
    <n v="48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3"/>
    <x v="6"/>
    <x v="0"/>
    <x v="0"/>
    <n v="61.098979079419898"/>
    <n v="3E+20"/>
    <n v="0"/>
    <n v="274.013825453869"/>
    <n v="52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4"/>
    <x v="6"/>
    <x v="0"/>
    <x v="0"/>
    <n v="4.3775475169010898"/>
    <n v="3E+20"/>
    <n v="0"/>
    <n v="46.693457806594402"/>
    <n v="51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5"/>
    <x v="6"/>
    <x v="0"/>
    <x v="0"/>
    <n v="41.922367449236702"/>
    <n v="3E+20"/>
    <n v="0"/>
    <n v="121.888443435138"/>
    <n v="559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6"/>
    <x v="6"/>
    <x v="0"/>
    <x v="0"/>
    <n v="79.254321601272196"/>
    <n v="3E+20"/>
    <n v="0"/>
    <n v="332.44614430994199"/>
    <n v="458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7"/>
    <x v="6"/>
    <x v="0"/>
    <x v="0"/>
    <n v="84.714145370547399"/>
    <n v="3E+20"/>
    <n v="0"/>
    <n v="194.53438719502699"/>
    <n v="548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8"/>
    <x v="6"/>
    <x v="0"/>
    <x v="0"/>
    <n v="0.25122952287886602"/>
    <n v="0.39630032480643501"/>
    <n v="0"/>
    <n v="14.6327143727648"/>
    <n v="586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9"/>
    <x v="6"/>
    <x v="0"/>
    <x v="0"/>
    <n v="27.6902988622282"/>
    <n v="3E+20"/>
    <n v="0"/>
    <n v="148.42677311817599"/>
    <n v="54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0"/>
    <x v="6"/>
    <x v="0"/>
    <x v="0"/>
    <n v="2.5319456352393601E-2"/>
    <n v="3E+20"/>
    <n v="0"/>
    <n v="5.6573667227590203"/>
    <n v="601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1"/>
    <x v="6"/>
    <x v="0"/>
    <x v="0"/>
    <n v="73.393575461837699"/>
    <n v="3E+20"/>
    <n v="0"/>
    <n v="237.246833187346"/>
    <n v="51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2"/>
    <x v="6"/>
    <x v="0"/>
    <x v="0"/>
    <n v="2.0791870301291699"/>
    <n v="3E+20"/>
    <n v="0"/>
    <n v="30.310667960709001"/>
    <n v="517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3"/>
    <x v="6"/>
    <x v="0"/>
    <x v="0"/>
    <n v="2.8879032191270602"/>
    <n v="3E+20"/>
    <n v="0"/>
    <n v="62.601597564053897"/>
    <n v="572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4"/>
    <x v="6"/>
    <x v="0"/>
    <x v="0"/>
    <n v="118.611690410553"/>
    <n v="3E+20"/>
    <n v="0"/>
    <n v="230.74423445600399"/>
    <n v="537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5"/>
    <x v="6"/>
    <x v="0"/>
    <x v="0"/>
    <n v="81.279688833226302"/>
    <n v="3E+20"/>
    <n v="0"/>
    <n v="148.98632427855301"/>
    <n v="590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6"/>
    <x v="6"/>
    <x v="0"/>
    <x v="0"/>
    <n v="0.36993523403800999"/>
    <n v="3E+20"/>
    <n v="0"/>
    <n v="17.692376441779299"/>
    <n v="499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7"/>
    <x v="6"/>
    <x v="0"/>
    <x v="0"/>
    <n v="57.844700189977203"/>
    <n v="3E+20"/>
    <n v="0"/>
    <n v="149.91788839293301"/>
    <n v="518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8"/>
    <x v="6"/>
    <x v="0"/>
    <x v="0"/>
    <n v="128.552293051985"/>
    <n v="3E+20"/>
    <n v="0"/>
    <n v="300.19314521743797"/>
    <n v="47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29"/>
    <x v="6"/>
    <x v="0"/>
    <x v="0"/>
    <n v="29.560152272172001"/>
    <n v="3E+20"/>
    <n v="0"/>
    <n v="108.043540020679"/>
    <n v="570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0"/>
    <x v="6"/>
    <x v="0"/>
    <x v="0"/>
    <n v="0.11669830169331"/>
    <n v="3E+20"/>
    <n v="0"/>
    <n v="12.3734162427758"/>
    <n v="50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1"/>
    <x v="6"/>
    <x v="0"/>
    <x v="0"/>
    <n v="0"/>
    <n v="0"/>
    <n v="0"/>
    <n v="0"/>
    <n v="552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2"/>
    <x v="6"/>
    <x v="0"/>
    <x v="0"/>
    <n v="0.12674341239585599"/>
    <n v="3E+20"/>
    <n v="0"/>
    <n v="13.6733818913742"/>
    <n v="51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3"/>
    <x v="6"/>
    <x v="0"/>
    <x v="0"/>
    <n v="85.1621156021925"/>
    <n v="3E+20"/>
    <n v="0"/>
    <n v="202.01383849981599"/>
    <n v="55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4"/>
    <x v="6"/>
    <x v="0"/>
    <x v="0"/>
    <n v="5.3011035454397"/>
    <n v="3E+20"/>
    <n v="0"/>
    <n v="65.019544606313303"/>
    <n v="559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5"/>
    <x v="6"/>
    <x v="0"/>
    <x v="0"/>
    <n v="67.3580666919745"/>
    <n v="3E+20"/>
    <n v="0"/>
    <n v="275.37299623808701"/>
    <n v="546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6"/>
    <x v="6"/>
    <x v="0"/>
    <x v="0"/>
    <n v="8.9496016061266204"/>
    <n v="3E+20"/>
    <n v="0"/>
    <n v="66.102317523760306"/>
    <n v="559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7"/>
    <x v="6"/>
    <x v="0"/>
    <x v="0"/>
    <n v="5.2264249086283803"/>
    <n v="3E+20"/>
    <n v="0"/>
    <n v="47.930226661616402"/>
    <n v="534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8"/>
    <x v="6"/>
    <x v="0"/>
    <x v="0"/>
    <n v="4.1914905162214701E-3"/>
    <n v="0"/>
    <n v="0"/>
    <n v="2.5148943097328802"/>
    <n v="600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39"/>
    <x v="6"/>
    <x v="0"/>
    <x v="0"/>
    <n v="42.176542529533897"/>
    <n v="3E+20"/>
    <n v="0"/>
    <n v="346.71248980443102"/>
    <n v="48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0"/>
    <x v="6"/>
    <x v="0"/>
    <x v="0"/>
    <n v="15.9678437726472"/>
    <n v="3E+20"/>
    <n v="0"/>
    <n v="80.818439235935003"/>
    <n v="56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1"/>
    <x v="6"/>
    <x v="0"/>
    <x v="0"/>
    <n v="107.59321579656999"/>
    <n v="3E+20"/>
    <n v="0"/>
    <n v="296.66440058360803"/>
    <n v="450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2"/>
    <x v="6"/>
    <x v="0"/>
    <x v="0"/>
    <n v="14.9684443337855"/>
    <n v="3E+20"/>
    <n v="0"/>
    <n v="82.704529935121101"/>
    <n v="501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3"/>
    <x v="6"/>
    <x v="0"/>
    <x v="0"/>
    <n v="0.301848301847917"/>
    <n v="3E+20"/>
    <n v="0"/>
    <n v="21.389846973862401"/>
    <n v="555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4"/>
    <x v="6"/>
    <x v="0"/>
    <x v="0"/>
    <n v="14.2589880100714"/>
    <n v="3E+20"/>
    <n v="0"/>
    <n v="129.855834234209"/>
    <n v="507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5"/>
    <x v="6"/>
    <x v="0"/>
    <x v="0"/>
    <n v="139.818646946901"/>
    <n v="3E+20"/>
    <n v="0"/>
    <n v="275.85579944076397"/>
    <n v="528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6"/>
    <x v="6"/>
    <x v="0"/>
    <x v="0"/>
    <n v="86.201747774253207"/>
    <n v="3E+20"/>
    <n v="0"/>
    <n v="157.01496201281799"/>
    <n v="558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7"/>
    <x v="6"/>
    <x v="0"/>
    <x v="0"/>
    <n v="53.408265384374403"/>
    <n v="3E+20"/>
    <n v="0"/>
    <n v="160.508762122907"/>
    <n v="520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8"/>
    <x v="6"/>
    <x v="0"/>
    <x v="0"/>
    <n v="0.15000937213249699"/>
    <n v="3E+20"/>
    <n v="0"/>
    <n v="9.3276388466983509"/>
    <n v="493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49"/>
    <x v="6"/>
    <x v="0"/>
    <x v="0"/>
    <n v="0.199378250352619"/>
    <n v="3E+20"/>
    <n v="0"/>
    <n v="7.9691976817107397"/>
    <n v="571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50"/>
    <x v="6"/>
    <x v="0"/>
    <x v="0"/>
    <n v="32.747550629361001"/>
    <n v="3E+20"/>
    <n v="0"/>
    <n v="187.64432943432601"/>
    <n v="560"/>
    <s v="Unnamed ProjectQueue for Docking at C.QueueWaiting TimeQueue"/>
    <n v="50"/>
    <n v="50.824632650223165"/>
    <n v="57.552485645404253"/>
    <n v="0.95"/>
    <n v="16.356235446387018"/>
    <n v="0"/>
    <n v="219.113737291864"/>
    <n v="0"/>
    <n v="384.33785462031102"/>
    <n v="534.29999999999995"/>
    <n v="16.356235446387018"/>
    <n v="50"/>
    <n v="1"/>
  </r>
  <r>
    <x v="0"/>
    <s v="2025-03-22 23:28:40"/>
    <n v="1"/>
    <x v="7"/>
    <x v="0"/>
    <x v="0"/>
    <n v="11.2253557830637"/>
    <n v="3E+20"/>
    <n v="0"/>
    <n v="85.671254225865596"/>
    <n v="541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"/>
    <x v="7"/>
    <x v="0"/>
    <x v="0"/>
    <n v="1.172409798291"/>
    <n v="3E+20"/>
    <n v="0"/>
    <n v="21.7787575826374"/>
    <n v="52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"/>
    <x v="7"/>
    <x v="0"/>
    <x v="0"/>
    <n v="3.03263013636017"/>
    <n v="3E+20"/>
    <n v="0"/>
    <n v="47.247584638715303"/>
    <n v="481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"/>
    <x v="7"/>
    <x v="0"/>
    <x v="0"/>
    <n v="0.33893512316246599"/>
    <n v="3E+20"/>
    <n v="0"/>
    <n v="11.077219917569201"/>
    <n v="491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5"/>
    <x v="7"/>
    <x v="0"/>
    <x v="0"/>
    <n v="3.2340370029126002"/>
    <n v="3E+20"/>
    <n v="0"/>
    <n v="31.139217915442298"/>
    <n v="54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6"/>
    <x v="7"/>
    <x v="0"/>
    <x v="0"/>
    <n v="79.511079148315702"/>
    <n v="3E+20"/>
    <n v="0"/>
    <n v="202.09687479487201"/>
    <n v="582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7"/>
    <x v="7"/>
    <x v="0"/>
    <x v="0"/>
    <n v="0"/>
    <n v="0"/>
    <n v="0"/>
    <n v="0"/>
    <n v="529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8"/>
    <x v="7"/>
    <x v="0"/>
    <x v="0"/>
    <n v="0"/>
    <n v="0"/>
    <n v="0"/>
    <n v="0"/>
    <n v="458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9"/>
    <x v="7"/>
    <x v="0"/>
    <x v="0"/>
    <n v="33.932104768787397"/>
    <n v="3E+20"/>
    <n v="0"/>
    <n v="136.87073580248699"/>
    <n v="521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0"/>
    <x v="7"/>
    <x v="0"/>
    <x v="0"/>
    <n v="135.607654620994"/>
    <n v="3E+20"/>
    <n v="0"/>
    <n v="316.41291664680301"/>
    <n v="544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1"/>
    <x v="7"/>
    <x v="0"/>
    <x v="0"/>
    <n v="1.4662634432649301E-2"/>
    <n v="3E+20"/>
    <n v="0"/>
    <n v="5.1378229866296197"/>
    <n v="56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2"/>
    <x v="7"/>
    <x v="0"/>
    <x v="0"/>
    <n v="1.3636778406266E-2"/>
    <n v="3E+20"/>
    <n v="0"/>
    <n v="6.0359808733344398"/>
    <n v="48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3"/>
    <x v="7"/>
    <x v="0"/>
    <x v="0"/>
    <n v="3.57230338967086E-3"/>
    <n v="3E+20"/>
    <n v="0"/>
    <n v="1.8647423694081899"/>
    <n v="522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4"/>
    <x v="7"/>
    <x v="0"/>
    <x v="0"/>
    <n v="4.3663690321017697E-2"/>
    <n v="3E+20"/>
    <n v="0"/>
    <n v="7.1831208850586297"/>
    <n v="52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5"/>
    <x v="7"/>
    <x v="0"/>
    <x v="0"/>
    <n v="3.02918562565088"/>
    <n v="3E+20"/>
    <n v="0"/>
    <n v="34.6477422354574"/>
    <n v="55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6"/>
    <x v="7"/>
    <x v="0"/>
    <x v="0"/>
    <n v="2.97750260806816E-2"/>
    <n v="3E+20"/>
    <n v="0"/>
    <n v="7.3358778088037697"/>
    <n v="457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7"/>
    <x v="7"/>
    <x v="0"/>
    <x v="0"/>
    <n v="23.988009233983099"/>
    <n v="3E+20"/>
    <n v="0"/>
    <n v="106.98963566716699"/>
    <n v="547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8"/>
    <x v="7"/>
    <x v="0"/>
    <x v="0"/>
    <n v="154.88526703072799"/>
    <n v="3E+20"/>
    <n v="0"/>
    <n v="279.25302619865897"/>
    <n v="53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9"/>
    <x v="7"/>
    <x v="0"/>
    <x v="0"/>
    <n v="4.3957629696532399E-2"/>
    <n v="6.5606005415298194E-2"/>
    <n v="0"/>
    <n v="5.0987467227044201"/>
    <n v="543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0"/>
    <x v="7"/>
    <x v="0"/>
    <x v="0"/>
    <n v="110.80095370260401"/>
    <n v="3E+20"/>
    <n v="0"/>
    <n v="239.26535043298401"/>
    <n v="568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1"/>
    <x v="7"/>
    <x v="0"/>
    <x v="0"/>
    <n v="1.5357447814941401"/>
    <n v="3E+20"/>
    <n v="0"/>
    <n v="41.219860287043602"/>
    <n v="51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2"/>
    <x v="7"/>
    <x v="0"/>
    <x v="0"/>
    <n v="1.6992395976527399"/>
    <n v="3E+20"/>
    <n v="0"/>
    <n v="31.614147904251201"/>
    <n v="533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3"/>
    <x v="7"/>
    <x v="0"/>
    <x v="0"/>
    <n v="7.9396560293638698"/>
    <n v="3E+20"/>
    <n v="0"/>
    <n v="68.031019940502304"/>
    <n v="563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4"/>
    <x v="7"/>
    <x v="0"/>
    <x v="0"/>
    <n v="9.9746720192853198E-4"/>
    <n v="3E+20"/>
    <n v="0"/>
    <n v="0.53563988743562196"/>
    <n v="537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5"/>
    <x v="7"/>
    <x v="0"/>
    <x v="0"/>
    <n v="25.548357625871201"/>
    <n v="3E+20"/>
    <n v="0"/>
    <n v="161.774985613376"/>
    <n v="587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6"/>
    <x v="7"/>
    <x v="0"/>
    <x v="0"/>
    <n v="0"/>
    <n v="0"/>
    <n v="0"/>
    <n v="0"/>
    <n v="516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7"/>
    <x v="7"/>
    <x v="0"/>
    <x v="0"/>
    <n v="3.12912416464619"/>
    <n v="3E+20"/>
    <n v="0"/>
    <n v="40.133923566589097"/>
    <n v="517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8"/>
    <x v="7"/>
    <x v="0"/>
    <x v="0"/>
    <n v="0.26170546387937199"/>
    <n v="0.38189851112172901"/>
    <n v="0"/>
    <n v="13.755726331173699"/>
    <n v="47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29"/>
    <x v="7"/>
    <x v="0"/>
    <x v="0"/>
    <n v="4.7701356012458298"/>
    <n v="3E+20"/>
    <n v="0"/>
    <n v="55.320638443641201"/>
    <n v="58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0"/>
    <x v="7"/>
    <x v="0"/>
    <x v="0"/>
    <n v="0.36674792823396901"/>
    <n v="0.55950840580197803"/>
    <n v="0"/>
    <n v="21.312639549194198"/>
    <n v="526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1"/>
    <x v="7"/>
    <x v="0"/>
    <x v="0"/>
    <n v="66.781747181466002"/>
    <n v="3E+20"/>
    <n v="0"/>
    <n v="196.57598242237901"/>
    <n v="549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2"/>
    <x v="7"/>
    <x v="0"/>
    <x v="0"/>
    <n v="1.0535511627948399E-3"/>
    <n v="3E+20"/>
    <n v="0"/>
    <n v="0.56681052558362299"/>
    <n v="538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3"/>
    <x v="7"/>
    <x v="0"/>
    <x v="0"/>
    <n v="9.0480477423483698"/>
    <n v="3E+20"/>
    <n v="0"/>
    <n v="70.836726891508107"/>
    <n v="543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4"/>
    <x v="7"/>
    <x v="0"/>
    <x v="0"/>
    <n v="9.4419547506273602"/>
    <n v="3E+20"/>
    <n v="0"/>
    <n v="49.688184816606402"/>
    <n v="56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5"/>
    <x v="7"/>
    <x v="0"/>
    <x v="0"/>
    <n v="1.0322572270613"/>
    <n v="3E+20"/>
    <n v="0"/>
    <n v="26.2954640814858"/>
    <n v="54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6"/>
    <x v="7"/>
    <x v="0"/>
    <x v="0"/>
    <n v="126.110778329789"/>
    <n v="3E+20"/>
    <n v="0"/>
    <n v="236.94723379475101"/>
    <n v="517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7"/>
    <x v="7"/>
    <x v="0"/>
    <x v="0"/>
    <n v="108.022245587236"/>
    <n v="3E+20"/>
    <n v="0"/>
    <n v="229.85384272398201"/>
    <n v="504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8"/>
    <x v="7"/>
    <x v="0"/>
    <x v="0"/>
    <n v="49.5687593424434"/>
    <n v="3E+20"/>
    <n v="0"/>
    <n v="120.03634758966"/>
    <n v="584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39"/>
    <x v="7"/>
    <x v="0"/>
    <x v="0"/>
    <n v="2.3300632758822401E-3"/>
    <n v="3E+20"/>
    <n v="0"/>
    <n v="0.55111154483952896"/>
    <n v="483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0"/>
    <x v="7"/>
    <x v="0"/>
    <x v="0"/>
    <n v="122.771563769228"/>
    <n v="3E+20"/>
    <n v="0"/>
    <n v="462.25630926871901"/>
    <n v="453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1"/>
    <x v="7"/>
    <x v="0"/>
    <x v="0"/>
    <n v="0.12426213658546"/>
    <n v="3E+20"/>
    <n v="0"/>
    <n v="10.2794751355716"/>
    <n v="45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2"/>
    <x v="7"/>
    <x v="0"/>
    <x v="0"/>
    <n v="0.39035586652424398"/>
    <n v="3E+20"/>
    <n v="0"/>
    <n v="17.010025621343399"/>
    <n v="499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3"/>
    <x v="7"/>
    <x v="0"/>
    <x v="0"/>
    <n v="0.49205552269254998"/>
    <n v="3E+20"/>
    <n v="0"/>
    <n v="20.953744360680499"/>
    <n v="552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4"/>
    <x v="7"/>
    <x v="0"/>
    <x v="0"/>
    <n v="0.16956439327381001"/>
    <n v="0.22600984010287301"/>
    <n v="0"/>
    <n v="9.7689325909976805"/>
    <n v="50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5"/>
    <x v="7"/>
    <x v="0"/>
    <x v="0"/>
    <n v="2.4986910876189001"/>
    <n v="3E+20"/>
    <n v="0"/>
    <n v="43.971834222052301"/>
    <n v="524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6"/>
    <x v="7"/>
    <x v="0"/>
    <x v="0"/>
    <n v="6.4376408144432198E-2"/>
    <n v="3E+20"/>
    <n v="0"/>
    <n v="10.3700699169079"/>
    <n v="555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7"/>
    <x v="7"/>
    <x v="0"/>
    <x v="0"/>
    <n v="0.153380816010351"/>
    <n v="3E+20"/>
    <n v="0"/>
    <n v="12.095901500120201"/>
    <n v="519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8"/>
    <x v="7"/>
    <x v="0"/>
    <x v="0"/>
    <n v="0.122895889839715"/>
    <n v="3E+20"/>
    <n v="0"/>
    <n v="11.1558723091467"/>
    <n v="52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49"/>
    <x v="7"/>
    <x v="0"/>
    <x v="0"/>
    <n v="106.83355851858001"/>
    <n v="3E+20"/>
    <n v="0"/>
    <n v="285.487385792444"/>
    <n v="511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50"/>
    <x v="7"/>
    <x v="0"/>
    <x v="0"/>
    <n v="0.14274921602928001"/>
    <n v="3E+20"/>
    <n v="0"/>
    <n v="13.371451956855299"/>
    <n v="560"/>
    <s v="Unnamed ProjectQueue for Docking at D.QueueWaiting TimeQueue"/>
    <n v="50"/>
    <n v="24.198624521934118"/>
    <n v="44.145091099328894"/>
    <n v="0.95"/>
    <n v="12.545896076001801"/>
    <n v="0"/>
    <n v="154.88526703072799"/>
    <n v="0"/>
    <n v="462.25630926871901"/>
    <n v="526.28"/>
    <n v="12.545896076001801"/>
    <n v="50"/>
    <n v="1"/>
  </r>
  <r>
    <x v="0"/>
    <s v="2025-03-22 23:28:40"/>
    <n v="1"/>
    <x v="8"/>
    <x v="1"/>
    <x v="1"/>
    <n v="0"/>
    <n v="0"/>
    <n v="0"/>
    <n v="0"/>
    <n v="692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"/>
    <x v="8"/>
    <x v="2"/>
    <x v="1"/>
    <n v="118.465396306461"/>
    <n v="1.9076761548621"/>
    <n v="64.305278892697601"/>
    <n v="187.13107854005801"/>
    <n v="692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"/>
    <x v="8"/>
    <x v="3"/>
    <x v="1"/>
    <n v="190.31702643268801"/>
    <n v="3E+20"/>
    <n v="79.827822628032393"/>
    <n v="388.73330205316398"/>
    <n v="692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"/>
    <x v="8"/>
    <x v="4"/>
    <x v="1"/>
    <n v="19.752279368772498"/>
    <n v="0.62303367978319901"/>
    <n v="6.9189393323833901"/>
    <n v="48.524443063083801"/>
    <n v="692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"/>
    <x v="8"/>
    <x v="5"/>
    <x v="1"/>
    <n v="0"/>
    <n v="0"/>
    <n v="0"/>
    <n v="0"/>
    <n v="692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"/>
    <x v="8"/>
    <x v="6"/>
    <x v="1"/>
    <n v="52.099350757453998"/>
    <n v="3E+20"/>
    <n v="0"/>
    <n v="189.02734486536201"/>
    <n v="692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"/>
    <x v="8"/>
    <x v="1"/>
    <x v="1"/>
    <n v="0"/>
    <n v="0"/>
    <n v="0"/>
    <n v="0"/>
    <n v="66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"/>
    <x v="8"/>
    <x v="2"/>
    <x v="1"/>
    <n v="118.562809100659"/>
    <n v="1.7361958095866801"/>
    <n v="55.773522793583801"/>
    <n v="173.11840589936199"/>
    <n v="66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"/>
    <x v="8"/>
    <x v="3"/>
    <x v="1"/>
    <n v="179.863083236368"/>
    <n v="3E+20"/>
    <n v="82.175437616857593"/>
    <n v="365.97568442113601"/>
    <n v="66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"/>
    <x v="8"/>
    <x v="4"/>
    <x v="1"/>
    <n v="19.700011899004298"/>
    <n v="0.59968770730430998"/>
    <n v="6.61068877610683"/>
    <n v="46.7798398862817"/>
    <n v="66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"/>
    <x v="8"/>
    <x v="5"/>
    <x v="1"/>
    <n v="0"/>
    <n v="0"/>
    <n v="0"/>
    <n v="0"/>
    <n v="66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"/>
    <x v="8"/>
    <x v="6"/>
    <x v="1"/>
    <n v="41.600262236705198"/>
    <n v="3E+20"/>
    <n v="0"/>
    <n v="191.856268017698"/>
    <n v="66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"/>
    <x v="8"/>
    <x v="1"/>
    <x v="1"/>
    <n v="0"/>
    <n v="0"/>
    <n v="0"/>
    <n v="0"/>
    <n v="62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"/>
    <x v="8"/>
    <x v="2"/>
    <x v="1"/>
    <n v="117.191625821298"/>
    <n v="2.20142344016078"/>
    <n v="66.588698394028398"/>
    <n v="175.877967910064"/>
    <n v="62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"/>
    <x v="8"/>
    <x v="3"/>
    <x v="1"/>
    <n v="251.359891846279"/>
    <n v="3E+20"/>
    <n v="85.361118965420005"/>
    <n v="550.38404454841998"/>
    <n v="62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"/>
    <x v="8"/>
    <x v="4"/>
    <x v="1"/>
    <n v="19.1857398398508"/>
    <n v="0.57250769421116798"/>
    <n v="6.6397826729214602"/>
    <n v="45.659324848129501"/>
    <n v="62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"/>
    <x v="8"/>
    <x v="5"/>
    <x v="1"/>
    <n v="0"/>
    <n v="0"/>
    <n v="0"/>
    <n v="0"/>
    <n v="62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"/>
    <x v="8"/>
    <x v="6"/>
    <x v="1"/>
    <n v="114.98252618513099"/>
    <n v="3E+20"/>
    <n v="0"/>
    <n v="382.26122678645902"/>
    <n v="62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"/>
    <x v="8"/>
    <x v="1"/>
    <x v="1"/>
    <n v="0"/>
    <n v="0"/>
    <n v="0"/>
    <n v="0"/>
    <n v="644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"/>
    <x v="8"/>
    <x v="2"/>
    <x v="1"/>
    <n v="116.877699464787"/>
    <n v="2.5382984370725001"/>
    <n v="64.795746725124303"/>
    <n v="177.34257810323001"/>
    <n v="644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"/>
    <x v="8"/>
    <x v="3"/>
    <x v="1"/>
    <n v="237.02236533279299"/>
    <n v="3E+20"/>
    <n v="75.738103637758201"/>
    <n v="419.57622927480702"/>
    <n v="644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"/>
    <x v="8"/>
    <x v="4"/>
    <x v="1"/>
    <n v="19.625109419236701"/>
    <n v="0.67673935011503195"/>
    <n v="6.4051840405065796"/>
    <n v="49.133216198834397"/>
    <n v="644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"/>
    <x v="8"/>
    <x v="5"/>
    <x v="1"/>
    <n v="0"/>
    <n v="0"/>
    <n v="0"/>
    <n v="0"/>
    <n v="644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"/>
    <x v="8"/>
    <x v="6"/>
    <x v="1"/>
    <n v="100.51955644877"/>
    <n v="3E+20"/>
    <n v="0"/>
    <n v="230.07635426370001"/>
    <n v="644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5"/>
    <x v="8"/>
    <x v="1"/>
    <x v="1"/>
    <n v="0"/>
    <n v="0"/>
    <n v="0"/>
    <n v="0"/>
    <n v="691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5"/>
    <x v="8"/>
    <x v="2"/>
    <x v="1"/>
    <n v="119.13871888067"/>
    <n v="2.5820515981077201"/>
    <n v="68.735364694904803"/>
    <n v="188.12068151584799"/>
    <n v="691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5"/>
    <x v="8"/>
    <x v="3"/>
    <x v="1"/>
    <n v="207.90699102956901"/>
    <n v="3E+20"/>
    <n v="82.745736993129896"/>
    <n v="399.09983856909099"/>
    <n v="691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5"/>
    <x v="8"/>
    <x v="4"/>
    <x v="1"/>
    <n v="20.011148830794099"/>
    <n v="0.72071183989690202"/>
    <n v="6.9847956078670004"/>
    <n v="48.981613974225397"/>
    <n v="691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5"/>
    <x v="8"/>
    <x v="5"/>
    <x v="1"/>
    <n v="0"/>
    <n v="0"/>
    <n v="0"/>
    <n v="0"/>
    <n v="691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5"/>
    <x v="8"/>
    <x v="6"/>
    <x v="1"/>
    <n v="68.757123318104107"/>
    <n v="3E+20"/>
    <n v="0"/>
    <n v="221.17558788925001"/>
    <n v="691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6"/>
    <x v="8"/>
    <x v="1"/>
    <x v="1"/>
    <n v="0"/>
    <n v="0"/>
    <n v="0"/>
    <n v="0"/>
    <n v="75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6"/>
    <x v="8"/>
    <x v="2"/>
    <x v="1"/>
    <n v="119.124985720422"/>
    <n v="2.3526318128281098"/>
    <n v="68.282368224566099"/>
    <n v="180.80109216877301"/>
    <n v="75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6"/>
    <x v="8"/>
    <x v="3"/>
    <x v="1"/>
    <n v="199.98364501063199"/>
    <n v="3E+20"/>
    <n v="78.979775942843304"/>
    <n v="392.00720497628799"/>
    <n v="75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6"/>
    <x v="8"/>
    <x v="4"/>
    <x v="1"/>
    <n v="20.1872707445347"/>
    <n v="0.70798489699179601"/>
    <n v="6.4358235587569697"/>
    <n v="46.9345749654209"/>
    <n v="75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6"/>
    <x v="8"/>
    <x v="5"/>
    <x v="1"/>
    <n v="0"/>
    <n v="0"/>
    <n v="0"/>
    <n v="0"/>
    <n v="75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6"/>
    <x v="8"/>
    <x v="6"/>
    <x v="1"/>
    <n v="60.671388545675399"/>
    <n v="3E+20"/>
    <n v="0"/>
    <n v="202.09687479487201"/>
    <n v="75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7"/>
    <x v="8"/>
    <x v="1"/>
    <x v="1"/>
    <n v="0"/>
    <n v="0"/>
    <n v="0"/>
    <n v="0"/>
    <n v="646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7"/>
    <x v="8"/>
    <x v="2"/>
    <x v="1"/>
    <n v="119.07388127106999"/>
    <n v="2.1367369083583498"/>
    <n v="65.387044020491302"/>
    <n v="182.86796713253199"/>
    <n v="646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7"/>
    <x v="8"/>
    <x v="3"/>
    <x v="1"/>
    <n v="251.14555951615301"/>
    <n v="3E+20"/>
    <n v="76.814296563962102"/>
    <n v="532.27288183817495"/>
    <n v="646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7"/>
    <x v="8"/>
    <x v="4"/>
    <x v="1"/>
    <n v="19.7717970964854"/>
    <n v="0.60360951544889596"/>
    <n v="6.17047927606166"/>
    <n v="46.801600636132697"/>
    <n v="646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7"/>
    <x v="8"/>
    <x v="5"/>
    <x v="1"/>
    <n v="0"/>
    <n v="0"/>
    <n v="0"/>
    <n v="0"/>
    <n v="646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7"/>
    <x v="8"/>
    <x v="6"/>
    <x v="1"/>
    <n v="112.299881148598"/>
    <n v="3E+20"/>
    <n v="0"/>
    <n v="328.58818610327398"/>
    <n v="646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8"/>
    <x v="8"/>
    <x v="1"/>
    <x v="1"/>
    <n v="0"/>
    <n v="0"/>
    <n v="0"/>
    <n v="0"/>
    <n v="604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8"/>
    <x v="8"/>
    <x v="2"/>
    <x v="1"/>
    <n v="119.794651622469"/>
    <n v="2.21693346468729"/>
    <n v="62.326898195698398"/>
    <n v="185.33754611805"/>
    <n v="604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8"/>
    <x v="8"/>
    <x v="3"/>
    <x v="1"/>
    <n v="310.30313247646598"/>
    <n v="3E+20"/>
    <n v="87.441616143834594"/>
    <n v="573.88916232737301"/>
    <n v="604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8"/>
    <x v="8"/>
    <x v="4"/>
    <x v="1"/>
    <n v="19.727596343660199"/>
    <n v="0.68389839975958999"/>
    <n v="6.4336773261618401"/>
    <n v="43.961258818506103"/>
    <n v="604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8"/>
    <x v="8"/>
    <x v="5"/>
    <x v="1"/>
    <n v="0"/>
    <n v="0"/>
    <n v="0"/>
    <n v="0"/>
    <n v="604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8"/>
    <x v="8"/>
    <x v="6"/>
    <x v="1"/>
    <n v="170.78088451033599"/>
    <n v="3E+20"/>
    <n v="0"/>
    <n v="374.21698857487002"/>
    <n v="604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9"/>
    <x v="8"/>
    <x v="1"/>
    <x v="1"/>
    <n v="0"/>
    <n v="0"/>
    <n v="0"/>
    <n v="0"/>
    <n v="690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9"/>
    <x v="8"/>
    <x v="2"/>
    <x v="1"/>
    <n v="117.47406087389"/>
    <n v="3.1535754482704399"/>
    <n v="66.505207334200605"/>
    <n v="175.02157583913601"/>
    <n v="690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9"/>
    <x v="8"/>
    <x v="3"/>
    <x v="1"/>
    <n v="231.67224244617299"/>
    <n v="3E+20"/>
    <n v="77.070313483282206"/>
    <n v="477.59322432393401"/>
    <n v="690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9"/>
    <x v="8"/>
    <x v="4"/>
    <x v="1"/>
    <n v="19.317788033833601"/>
    <n v="0.831117001296938"/>
    <n v="6.5128936988189698"/>
    <n v="45.871374936334597"/>
    <n v="690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9"/>
    <x v="8"/>
    <x v="5"/>
    <x v="1"/>
    <n v="0"/>
    <n v="0"/>
    <n v="0"/>
    <n v="0"/>
    <n v="690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9"/>
    <x v="8"/>
    <x v="6"/>
    <x v="1"/>
    <n v="94.880393538449496"/>
    <n v="3E+20"/>
    <n v="0"/>
    <n v="305.26659843210803"/>
    <n v="690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0"/>
    <x v="8"/>
    <x v="1"/>
    <x v="1"/>
    <n v="0"/>
    <n v="0"/>
    <n v="0"/>
    <n v="0"/>
    <n v="684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0"/>
    <x v="8"/>
    <x v="2"/>
    <x v="1"/>
    <n v="120.96999642105099"/>
    <n v="2.9123485249476002"/>
    <n v="63.8727441641919"/>
    <n v="181.02517675400799"/>
    <n v="684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0"/>
    <x v="8"/>
    <x v="3"/>
    <x v="1"/>
    <n v="245.61915582760599"/>
    <n v="3E+20"/>
    <n v="78.602217611358498"/>
    <n v="495.07707144000199"/>
    <n v="684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0"/>
    <x v="8"/>
    <x v="4"/>
    <x v="1"/>
    <n v="20.394968411887699"/>
    <n v="0.73195335123226501"/>
    <n v="6.3247151865591604"/>
    <n v="48.490415554400002"/>
    <n v="684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0"/>
    <x v="8"/>
    <x v="5"/>
    <x v="1"/>
    <n v="0"/>
    <n v="0"/>
    <n v="0"/>
    <n v="0"/>
    <n v="684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0"/>
    <x v="8"/>
    <x v="6"/>
    <x v="1"/>
    <n v="104.254190994667"/>
    <n v="3E+20"/>
    <n v="0"/>
    <n v="309.66509442683002"/>
    <n v="684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1"/>
    <x v="8"/>
    <x v="1"/>
    <x v="1"/>
    <n v="0"/>
    <n v="0"/>
    <n v="0"/>
    <n v="0"/>
    <n v="711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1"/>
    <x v="8"/>
    <x v="2"/>
    <x v="1"/>
    <n v="120.11031242827499"/>
    <n v="3E+20"/>
    <n v="68.649533460405095"/>
    <n v="197.74559710935799"/>
    <n v="711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1"/>
    <x v="8"/>
    <x v="3"/>
    <x v="1"/>
    <n v="290.56997253725098"/>
    <n v="3E+20"/>
    <n v="84.179866962103702"/>
    <n v="578.45344411336998"/>
    <n v="711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1"/>
    <x v="8"/>
    <x v="4"/>
    <x v="1"/>
    <n v="19.9464324242314"/>
    <n v="3E+20"/>
    <n v="6.8207630405845503"/>
    <n v="45.751961676044601"/>
    <n v="711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1"/>
    <x v="8"/>
    <x v="5"/>
    <x v="1"/>
    <n v="0"/>
    <n v="0"/>
    <n v="0"/>
    <n v="0"/>
    <n v="711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1"/>
    <x v="8"/>
    <x v="6"/>
    <x v="1"/>
    <n v="150.513227684745"/>
    <n v="3E+20"/>
    <n v="0"/>
    <n v="384.33785462031102"/>
    <n v="711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2"/>
    <x v="8"/>
    <x v="1"/>
    <x v="1"/>
    <n v="0"/>
    <n v="0"/>
    <n v="0"/>
    <n v="0"/>
    <n v="630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2"/>
    <x v="8"/>
    <x v="2"/>
    <x v="1"/>
    <n v="119.151834442736"/>
    <n v="2.2399680107889801"/>
    <n v="65.490382758864399"/>
    <n v="179.50928143839101"/>
    <n v="630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2"/>
    <x v="8"/>
    <x v="3"/>
    <x v="1"/>
    <n v="293.41839952916098"/>
    <n v="3E+20"/>
    <n v="77.454434062929707"/>
    <n v="549.68327264793004"/>
    <n v="630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2"/>
    <x v="8"/>
    <x v="4"/>
    <x v="1"/>
    <n v="19.909954427589099"/>
    <n v="0.61498473011486199"/>
    <n v="6.2985781245251902"/>
    <n v="49.362660051701098"/>
    <n v="630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2"/>
    <x v="8"/>
    <x v="5"/>
    <x v="1"/>
    <n v="0"/>
    <n v="0"/>
    <n v="0"/>
    <n v="0"/>
    <n v="630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2"/>
    <x v="8"/>
    <x v="6"/>
    <x v="1"/>
    <n v="154.35661065883599"/>
    <n v="3E+20"/>
    <n v="0"/>
    <n v="344.96799655823202"/>
    <n v="630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3"/>
    <x v="8"/>
    <x v="1"/>
    <x v="1"/>
    <n v="0"/>
    <n v="0"/>
    <n v="0"/>
    <n v="0"/>
    <n v="692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3"/>
    <x v="8"/>
    <x v="2"/>
    <x v="1"/>
    <n v="118.57138214649601"/>
    <n v="2.4017931930315402"/>
    <n v="69.712460745400605"/>
    <n v="179.65711262864201"/>
    <n v="692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3"/>
    <x v="8"/>
    <x v="3"/>
    <x v="1"/>
    <n v="247.07932086758899"/>
    <n v="3E+20"/>
    <n v="81.574468076109994"/>
    <n v="462.89909384501101"/>
    <n v="692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3"/>
    <x v="8"/>
    <x v="4"/>
    <x v="1"/>
    <n v="19.5104921979834"/>
    <n v="0.53249543256656195"/>
    <n v="6.4320908651291102"/>
    <n v="45.465153026744503"/>
    <n v="692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3"/>
    <x v="8"/>
    <x v="5"/>
    <x v="1"/>
    <n v="0"/>
    <n v="0"/>
    <n v="0"/>
    <n v="0"/>
    <n v="692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3"/>
    <x v="8"/>
    <x v="6"/>
    <x v="1"/>
    <n v="108.99744652311"/>
    <n v="3E+20"/>
    <n v="0"/>
    <n v="277.99019132507402"/>
    <n v="692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4"/>
    <x v="8"/>
    <x v="1"/>
    <x v="1"/>
    <n v="0"/>
    <n v="0"/>
    <n v="0"/>
    <n v="0"/>
    <n v="657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4"/>
    <x v="8"/>
    <x v="2"/>
    <x v="1"/>
    <n v="120.03042788281699"/>
    <n v="2.5625549890714598"/>
    <n v="66.165639369207597"/>
    <n v="185.81487152372401"/>
    <n v="657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4"/>
    <x v="8"/>
    <x v="3"/>
    <x v="1"/>
    <n v="216.75552107296801"/>
    <n v="3E+20"/>
    <n v="78.586904161414694"/>
    <n v="418.28541947884997"/>
    <n v="657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4"/>
    <x v="8"/>
    <x v="4"/>
    <x v="1"/>
    <n v="19.858079467324401"/>
    <n v="0.69965999583720795"/>
    <n v="6.3573713106353598"/>
    <n v="49.056558246680702"/>
    <n v="657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4"/>
    <x v="8"/>
    <x v="5"/>
    <x v="1"/>
    <n v="0"/>
    <n v="0"/>
    <n v="0"/>
    <n v="0"/>
    <n v="657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4"/>
    <x v="8"/>
    <x v="6"/>
    <x v="1"/>
    <n v="76.867013722825803"/>
    <n v="3E+20"/>
    <n v="0"/>
    <n v="242.268578686502"/>
    <n v="657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5"/>
    <x v="8"/>
    <x v="1"/>
    <x v="1"/>
    <n v="0"/>
    <n v="0"/>
    <n v="0"/>
    <n v="0"/>
    <n v="720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5"/>
    <x v="8"/>
    <x v="2"/>
    <x v="1"/>
    <n v="119.279356332444"/>
    <n v="2.37112885882798"/>
    <n v="67.642818179068897"/>
    <n v="174.49205113158899"/>
    <n v="720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5"/>
    <x v="8"/>
    <x v="3"/>
    <x v="1"/>
    <n v="176.63374267103799"/>
    <n v="3E+20"/>
    <n v="82.091557653208199"/>
    <n v="299.95700522225002"/>
    <n v="720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5"/>
    <x v="8"/>
    <x v="4"/>
    <x v="1"/>
    <n v="20.118442392473899"/>
    <n v="0.66377211694739102"/>
    <n v="6.1770272166434896"/>
    <n v="48.191495309676299"/>
    <n v="720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5"/>
    <x v="8"/>
    <x v="5"/>
    <x v="1"/>
    <n v="0"/>
    <n v="0"/>
    <n v="0"/>
    <n v="0"/>
    <n v="720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5"/>
    <x v="8"/>
    <x v="6"/>
    <x v="1"/>
    <n v="37.235943946119903"/>
    <n v="3E+20"/>
    <n v="0"/>
    <n v="124.23344201340301"/>
    <n v="720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6"/>
    <x v="8"/>
    <x v="1"/>
    <x v="1"/>
    <n v="0"/>
    <n v="0"/>
    <n v="0"/>
    <n v="0"/>
    <n v="615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6"/>
    <x v="8"/>
    <x v="2"/>
    <x v="1"/>
    <n v="118.767566440698"/>
    <n v="2.1706173520162602"/>
    <n v="66.980850507290796"/>
    <n v="181.84815564697001"/>
    <n v="615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6"/>
    <x v="8"/>
    <x v="3"/>
    <x v="1"/>
    <n v="249.22068306211199"/>
    <n v="3E+20"/>
    <n v="78.089224236627203"/>
    <n v="614.80430735241805"/>
    <n v="615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6"/>
    <x v="8"/>
    <x v="4"/>
    <x v="1"/>
    <n v="19.1753932585017"/>
    <n v="0.59076752688315004"/>
    <n v="6.2930766132839198"/>
    <n v="45.544495076124299"/>
    <n v="615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6"/>
    <x v="8"/>
    <x v="5"/>
    <x v="1"/>
    <n v="0"/>
    <n v="0"/>
    <n v="0"/>
    <n v="0"/>
    <n v="615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6"/>
    <x v="8"/>
    <x v="6"/>
    <x v="1"/>
    <n v="111.277723362912"/>
    <n v="3E+20"/>
    <n v="0"/>
    <n v="448.68154005813699"/>
    <n v="615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7"/>
    <x v="8"/>
    <x v="1"/>
    <x v="1"/>
    <n v="0"/>
    <n v="0"/>
    <n v="0"/>
    <n v="0"/>
    <n v="725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7"/>
    <x v="8"/>
    <x v="2"/>
    <x v="1"/>
    <n v="117.909485579728"/>
    <n v="1.91448483635476"/>
    <n v="66.0545300244614"/>
    <n v="184.61049055483701"/>
    <n v="725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7"/>
    <x v="8"/>
    <x v="3"/>
    <x v="1"/>
    <n v="217.438586567378"/>
    <n v="3E+20"/>
    <n v="75.428241446466004"/>
    <n v="416.68218833082898"/>
    <n v="725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7"/>
    <x v="8"/>
    <x v="4"/>
    <x v="1"/>
    <n v="19.302314192897899"/>
    <n v="0.60842306456268602"/>
    <n v="6.1672364138917102"/>
    <n v="49.959821430489797"/>
    <n v="725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7"/>
    <x v="8"/>
    <x v="5"/>
    <x v="1"/>
    <n v="0"/>
    <n v="0"/>
    <n v="0"/>
    <n v="0"/>
    <n v="725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7"/>
    <x v="8"/>
    <x v="6"/>
    <x v="1"/>
    <n v="80.226786794752201"/>
    <n v="3E+20"/>
    <n v="0"/>
    <n v="234.05466103860499"/>
    <n v="725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8"/>
    <x v="8"/>
    <x v="1"/>
    <x v="1"/>
    <n v="0"/>
    <n v="0"/>
    <n v="0"/>
    <n v="0"/>
    <n v="67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8"/>
    <x v="8"/>
    <x v="2"/>
    <x v="1"/>
    <n v="120.304752252206"/>
    <n v="2.7338618951604001"/>
    <n v="64.560417183795394"/>
    <n v="184.62013791941001"/>
    <n v="67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8"/>
    <x v="8"/>
    <x v="3"/>
    <x v="1"/>
    <n v="257.80037980943098"/>
    <n v="3E+20"/>
    <n v="77.721495514437294"/>
    <n v="460.88218775094299"/>
    <n v="67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8"/>
    <x v="8"/>
    <x v="4"/>
    <x v="1"/>
    <n v="20.292117170998502"/>
    <n v="0.59012323792505506"/>
    <n v="6.3855611341298699"/>
    <n v="47.169386922329302"/>
    <n v="67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8"/>
    <x v="8"/>
    <x v="5"/>
    <x v="1"/>
    <n v="0"/>
    <n v="0"/>
    <n v="0"/>
    <n v="0"/>
    <n v="67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8"/>
    <x v="8"/>
    <x v="6"/>
    <x v="1"/>
    <n v="117.20351038622699"/>
    <n v="3E+20"/>
    <n v="0"/>
    <n v="279.25302619865897"/>
    <n v="67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19"/>
    <x v="8"/>
    <x v="1"/>
    <x v="1"/>
    <n v="0"/>
    <n v="0"/>
    <n v="0"/>
    <n v="0"/>
    <n v="703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9"/>
    <x v="8"/>
    <x v="2"/>
    <x v="1"/>
    <n v="119.328543268833"/>
    <n v="2.5142545580314599"/>
    <n v="69.427091560708405"/>
    <n v="186.13261675717001"/>
    <n v="703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19"/>
    <x v="8"/>
    <x v="3"/>
    <x v="1"/>
    <n v="211.388411331128"/>
    <n v="3E+20"/>
    <n v="81.306615562234597"/>
    <n v="433.56628888048999"/>
    <n v="703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19"/>
    <x v="8"/>
    <x v="4"/>
    <x v="1"/>
    <n v="19.9615710393138"/>
    <n v="0.64716666653579402"/>
    <n v="6.3039204330257199"/>
    <n v="49.298440497491796"/>
    <n v="703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19"/>
    <x v="8"/>
    <x v="5"/>
    <x v="1"/>
    <n v="0"/>
    <n v="0"/>
    <n v="0"/>
    <n v="0"/>
    <n v="703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19"/>
    <x v="8"/>
    <x v="6"/>
    <x v="1"/>
    <n v="72.098297022981399"/>
    <n v="3E+20"/>
    <n v="0"/>
    <n v="251.790645700901"/>
    <n v="703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0"/>
    <x v="8"/>
    <x v="1"/>
    <x v="1"/>
    <n v="0"/>
    <n v="0"/>
    <n v="0"/>
    <n v="0"/>
    <n v="739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0"/>
    <x v="8"/>
    <x v="2"/>
    <x v="1"/>
    <n v="120.22573538236701"/>
    <n v="2.7249327099052101"/>
    <n v="70.094765556965498"/>
    <n v="176.992173364705"/>
    <n v="739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0"/>
    <x v="8"/>
    <x v="3"/>
    <x v="1"/>
    <n v="239.49099530860201"/>
    <n v="3E+20"/>
    <n v="82.504215032168503"/>
    <n v="434.65012471515797"/>
    <n v="739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0"/>
    <x v="8"/>
    <x v="4"/>
    <x v="1"/>
    <n v="20.076776142013799"/>
    <n v="0.70632243390694005"/>
    <n v="6.2314824230007799"/>
    <n v="47.068232822823603"/>
    <n v="739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0"/>
    <x v="8"/>
    <x v="5"/>
    <x v="1"/>
    <n v="0"/>
    <n v="0"/>
    <n v="0"/>
    <n v="0"/>
    <n v="739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0"/>
    <x v="8"/>
    <x v="6"/>
    <x v="1"/>
    <n v="99.188483784221006"/>
    <n v="3E+20"/>
    <n v="0"/>
    <n v="239.26535043298401"/>
    <n v="739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1"/>
    <x v="8"/>
    <x v="1"/>
    <x v="1"/>
    <n v="0"/>
    <n v="0"/>
    <n v="0"/>
    <n v="0"/>
    <n v="66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1"/>
    <x v="8"/>
    <x v="2"/>
    <x v="1"/>
    <n v="118.795090627096"/>
    <n v="3.31883247934234"/>
    <n v="61.8182533090473"/>
    <n v="184.38591593714099"/>
    <n v="66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1"/>
    <x v="8"/>
    <x v="3"/>
    <x v="1"/>
    <n v="207.938470115082"/>
    <n v="3E+20"/>
    <n v="76.227519657636194"/>
    <n v="430.49466761867598"/>
    <n v="66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1"/>
    <x v="8"/>
    <x v="4"/>
    <x v="1"/>
    <n v="19.622235699156199"/>
    <n v="0.689091424687439"/>
    <n v="6.3641917764990401"/>
    <n v="48.948187754240102"/>
    <n v="66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1"/>
    <x v="8"/>
    <x v="5"/>
    <x v="1"/>
    <n v="0"/>
    <n v="0"/>
    <n v="0"/>
    <n v="0"/>
    <n v="66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1"/>
    <x v="8"/>
    <x v="6"/>
    <x v="1"/>
    <n v="69.521143788829306"/>
    <n v="3E+20"/>
    <n v="0"/>
    <n v="237.246833187346"/>
    <n v="66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2"/>
    <x v="8"/>
    <x v="1"/>
    <x v="1"/>
    <n v="0"/>
    <n v="0"/>
    <n v="0"/>
    <n v="0"/>
    <n v="656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2"/>
    <x v="8"/>
    <x v="2"/>
    <x v="1"/>
    <n v="120.087838467669"/>
    <n v="2.1307026113668899"/>
    <n v="65.049196974873098"/>
    <n v="186.961454027766"/>
    <n v="656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2"/>
    <x v="8"/>
    <x v="3"/>
    <x v="1"/>
    <n v="218.77168500566299"/>
    <n v="3E+20"/>
    <n v="89.229613078671207"/>
    <n v="375.19809239837502"/>
    <n v="656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2"/>
    <x v="8"/>
    <x v="4"/>
    <x v="1"/>
    <n v="19.942848918262399"/>
    <n v="0.65310000773111598"/>
    <n v="6.3316083392979898"/>
    <n v="49.2359512710159"/>
    <n v="656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2"/>
    <x v="8"/>
    <x v="5"/>
    <x v="1"/>
    <n v="0"/>
    <n v="0"/>
    <n v="0"/>
    <n v="0"/>
    <n v="656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2"/>
    <x v="8"/>
    <x v="6"/>
    <x v="1"/>
    <n v="78.7409976197319"/>
    <n v="3E+20"/>
    <n v="0"/>
    <n v="178.26922590876799"/>
    <n v="656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3"/>
    <x v="8"/>
    <x v="1"/>
    <x v="1"/>
    <n v="0"/>
    <n v="0"/>
    <n v="0"/>
    <n v="0"/>
    <n v="702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3"/>
    <x v="8"/>
    <x v="2"/>
    <x v="1"/>
    <n v="121.279055923125"/>
    <n v="2.3558385897444301"/>
    <n v="64.467614716155396"/>
    <n v="189.528965012062"/>
    <n v="702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3"/>
    <x v="8"/>
    <x v="3"/>
    <x v="1"/>
    <n v="263.409879927139"/>
    <n v="3E+20"/>
    <n v="81.395542908188901"/>
    <n v="499.124507313631"/>
    <n v="702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3"/>
    <x v="8"/>
    <x v="4"/>
    <x v="1"/>
    <n v="19.816650599941799"/>
    <n v="0.53819711937288695"/>
    <n v="7.0849959497420496"/>
    <n v="45.308274696824597"/>
    <n v="702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3"/>
    <x v="8"/>
    <x v="5"/>
    <x v="1"/>
    <n v="0"/>
    <n v="0"/>
    <n v="0"/>
    <n v="0"/>
    <n v="702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3"/>
    <x v="8"/>
    <x v="6"/>
    <x v="1"/>
    <n v="122.31417340407199"/>
    <n v="3E+20"/>
    <n v="0"/>
    <n v="309.99361754327998"/>
    <n v="702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4"/>
    <x v="8"/>
    <x v="1"/>
    <x v="1"/>
    <n v="0"/>
    <n v="0"/>
    <n v="0"/>
    <n v="0"/>
    <n v="714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4"/>
    <x v="8"/>
    <x v="2"/>
    <x v="1"/>
    <n v="118.653847115956"/>
    <n v="2.1174044644641601"/>
    <n v="65.225799822623699"/>
    <n v="186.85986911904101"/>
    <n v="714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4"/>
    <x v="8"/>
    <x v="3"/>
    <x v="1"/>
    <n v="229.24871813427399"/>
    <n v="3E+20"/>
    <n v="74.823945578616801"/>
    <n v="395.81936213911001"/>
    <n v="714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4"/>
    <x v="8"/>
    <x v="4"/>
    <x v="1"/>
    <n v="19.3769000610361"/>
    <n v="0.51533133901955297"/>
    <n v="6.5626361959327797"/>
    <n v="47.217423786643799"/>
    <n v="714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4"/>
    <x v="8"/>
    <x v="5"/>
    <x v="1"/>
    <n v="0"/>
    <n v="0"/>
    <n v="0"/>
    <n v="0"/>
    <n v="714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4"/>
    <x v="8"/>
    <x v="6"/>
    <x v="1"/>
    <n v="91.217970957281196"/>
    <n v="3E+20"/>
    <n v="0"/>
    <n v="213.80195266644"/>
    <n v="714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5"/>
    <x v="8"/>
    <x v="1"/>
    <x v="1"/>
    <n v="0"/>
    <n v="0"/>
    <n v="0"/>
    <n v="0"/>
    <n v="763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5"/>
    <x v="8"/>
    <x v="2"/>
    <x v="1"/>
    <n v="116.869916756062"/>
    <n v="3E+20"/>
    <n v="57.821945225000803"/>
    <n v="170.98931121975701"/>
    <n v="763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5"/>
    <x v="8"/>
    <x v="3"/>
    <x v="1"/>
    <n v="216.859014513289"/>
    <n v="3E+20"/>
    <n v="78.5377460502948"/>
    <n v="443.86489609069503"/>
    <n v="763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5"/>
    <x v="8"/>
    <x v="4"/>
    <x v="1"/>
    <n v="19.410165532815899"/>
    <n v="0.63576808188211598"/>
    <n v="6.2133880291064498"/>
    <n v="43.005037051867902"/>
    <n v="763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5"/>
    <x v="8"/>
    <x v="5"/>
    <x v="1"/>
    <n v="0"/>
    <n v="0"/>
    <n v="0"/>
    <n v="0"/>
    <n v="763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5"/>
    <x v="8"/>
    <x v="6"/>
    <x v="1"/>
    <n v="80.5789322244121"/>
    <n v="3E+20"/>
    <n v="0"/>
    <n v="270.74494987572803"/>
    <n v="763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6"/>
    <x v="8"/>
    <x v="1"/>
    <x v="1"/>
    <n v="0"/>
    <n v="0"/>
    <n v="0"/>
    <n v="0"/>
    <n v="635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6"/>
    <x v="8"/>
    <x v="2"/>
    <x v="1"/>
    <n v="120.276670534505"/>
    <n v="2.5259511345321601"/>
    <n v="69.286164137728505"/>
    <n v="184.10362628047301"/>
    <n v="635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6"/>
    <x v="8"/>
    <x v="3"/>
    <x v="1"/>
    <n v="276.72718856036198"/>
    <n v="3E+20"/>
    <n v="81.216765553228399"/>
    <n v="526.28488029392702"/>
    <n v="635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6"/>
    <x v="8"/>
    <x v="4"/>
    <x v="1"/>
    <n v="20.060097599535599"/>
    <n v="3E+20"/>
    <n v="6.2347179731511897"/>
    <n v="48.473569860123"/>
    <n v="635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6"/>
    <x v="8"/>
    <x v="5"/>
    <x v="1"/>
    <n v="0"/>
    <n v="0"/>
    <n v="0"/>
    <n v="0"/>
    <n v="635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6"/>
    <x v="8"/>
    <x v="6"/>
    <x v="1"/>
    <n v="136.39042042632099"/>
    <n v="3E+20"/>
    <n v="0"/>
    <n v="337.44948817678699"/>
    <n v="635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7"/>
    <x v="8"/>
    <x v="1"/>
    <x v="1"/>
    <n v="0"/>
    <n v="0"/>
    <n v="0"/>
    <n v="0"/>
    <n v="687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7"/>
    <x v="8"/>
    <x v="2"/>
    <x v="1"/>
    <n v="117.37443862410301"/>
    <n v="2.29039902643816"/>
    <n v="67.972339271558596"/>
    <n v="179.46786672615301"/>
    <n v="687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7"/>
    <x v="8"/>
    <x v="3"/>
    <x v="1"/>
    <n v="200.12183474872299"/>
    <n v="3E+20"/>
    <n v="82.895947033269294"/>
    <n v="408.65801871533301"/>
    <n v="687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7"/>
    <x v="8"/>
    <x v="4"/>
    <x v="1"/>
    <n v="19.3483257852976"/>
    <n v="0.65080458849974099"/>
    <n v="6.0857684617147898"/>
    <n v="45.936029196522703"/>
    <n v="687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7"/>
    <x v="8"/>
    <x v="5"/>
    <x v="1"/>
    <n v="0"/>
    <n v="0"/>
    <n v="0"/>
    <n v="0"/>
    <n v="687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7"/>
    <x v="8"/>
    <x v="6"/>
    <x v="1"/>
    <n v="63.399070339323004"/>
    <n v="3E+20"/>
    <n v="0"/>
    <n v="224.45290861097101"/>
    <n v="687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8"/>
    <x v="8"/>
    <x v="1"/>
    <x v="1"/>
    <n v="0"/>
    <n v="0"/>
    <n v="0"/>
    <n v="0"/>
    <n v="619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8"/>
    <x v="8"/>
    <x v="2"/>
    <x v="1"/>
    <n v="120.489109403188"/>
    <n v="2.16347963598133"/>
    <n v="64.486919191958094"/>
    <n v="174.95603360426901"/>
    <n v="619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8"/>
    <x v="8"/>
    <x v="3"/>
    <x v="1"/>
    <n v="236.12286651208899"/>
    <n v="3E+20"/>
    <n v="81.960940287664201"/>
    <n v="478.31389571263799"/>
    <n v="619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8"/>
    <x v="8"/>
    <x v="4"/>
    <x v="1"/>
    <n v="19.8247790341469"/>
    <n v="0.66077986890556195"/>
    <n v="6.0540217345149898"/>
    <n v="45.175791776348802"/>
    <n v="619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8"/>
    <x v="8"/>
    <x v="5"/>
    <x v="1"/>
    <n v="0"/>
    <n v="0"/>
    <n v="0"/>
    <n v="0"/>
    <n v="619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8"/>
    <x v="8"/>
    <x v="6"/>
    <x v="1"/>
    <n v="95.808978074753796"/>
    <n v="3E+20"/>
    <n v="0"/>
    <n v="295.473857395653"/>
    <n v="619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29"/>
    <x v="8"/>
    <x v="1"/>
    <x v="1"/>
    <n v="0"/>
    <n v="0"/>
    <n v="0"/>
    <n v="0"/>
    <n v="720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9"/>
    <x v="8"/>
    <x v="2"/>
    <x v="1"/>
    <n v="121.010770460506"/>
    <n v="2.2263748661525602"/>
    <n v="66.446650578609507"/>
    <n v="183.67048435353999"/>
    <n v="720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29"/>
    <x v="8"/>
    <x v="3"/>
    <x v="1"/>
    <n v="179.257469034357"/>
    <n v="3E+20"/>
    <n v="80.492445044732705"/>
    <n v="352.043730645773"/>
    <n v="720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29"/>
    <x v="8"/>
    <x v="4"/>
    <x v="1"/>
    <n v="20.6416816415399"/>
    <n v="0.54418848566354106"/>
    <n v="6.5650554691313801"/>
    <n v="49.725447453694201"/>
    <n v="720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29"/>
    <x v="8"/>
    <x v="5"/>
    <x v="1"/>
    <n v="0"/>
    <n v="0"/>
    <n v="0"/>
    <n v="0"/>
    <n v="720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29"/>
    <x v="8"/>
    <x v="6"/>
    <x v="1"/>
    <n v="37.605016932311301"/>
    <n v="3E+20"/>
    <n v="0"/>
    <n v="161.701042598079"/>
    <n v="720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0"/>
    <x v="8"/>
    <x v="1"/>
    <x v="1"/>
    <n v="0"/>
    <n v="0"/>
    <n v="0"/>
    <n v="0"/>
    <n v="665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0"/>
    <x v="8"/>
    <x v="2"/>
    <x v="1"/>
    <n v="119.087031121249"/>
    <n v="1.94613478558138"/>
    <n v="65.851928793812604"/>
    <n v="177.72261596835401"/>
    <n v="665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0"/>
    <x v="8"/>
    <x v="3"/>
    <x v="1"/>
    <n v="224.87232048307899"/>
    <n v="3E+20"/>
    <n v="87.119932001411001"/>
    <n v="439.732261843895"/>
    <n v="665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0"/>
    <x v="8"/>
    <x v="4"/>
    <x v="1"/>
    <n v="19.500690025822401"/>
    <n v="0.71403779881383"/>
    <n v="6.5262565923683296"/>
    <n v="45.065180479667802"/>
    <n v="665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0"/>
    <x v="8"/>
    <x v="5"/>
    <x v="1"/>
    <n v="0"/>
    <n v="0"/>
    <n v="0"/>
    <n v="0"/>
    <n v="665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0"/>
    <x v="8"/>
    <x v="6"/>
    <x v="1"/>
    <n v="86.284599336007602"/>
    <n v="3E+20"/>
    <n v="0"/>
    <n v="262.68348169158298"/>
    <n v="665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1"/>
    <x v="8"/>
    <x v="1"/>
    <x v="1"/>
    <n v="0"/>
    <n v="0"/>
    <n v="0"/>
    <n v="0"/>
    <n v="711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1"/>
    <x v="8"/>
    <x v="2"/>
    <x v="1"/>
    <n v="118.725501129783"/>
    <n v="2.3093484651798302"/>
    <n v="70.555169088084995"/>
    <n v="181.085422538497"/>
    <n v="711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1"/>
    <x v="8"/>
    <x v="3"/>
    <x v="1"/>
    <n v="224.29854140950101"/>
    <n v="3E+20"/>
    <n v="82.632947449804206"/>
    <n v="433.30711179808299"/>
    <n v="711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1"/>
    <x v="8"/>
    <x v="4"/>
    <x v="1"/>
    <n v="19.599240031929099"/>
    <n v="0.563298699015229"/>
    <n v="6.2442055443186701"/>
    <n v="47.048369612859297"/>
    <n v="711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1"/>
    <x v="8"/>
    <x v="5"/>
    <x v="1"/>
    <n v="0"/>
    <n v="0"/>
    <n v="0"/>
    <n v="0"/>
    <n v="711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1"/>
    <x v="8"/>
    <x v="6"/>
    <x v="1"/>
    <n v="85.973800247788802"/>
    <n v="3E+20"/>
    <n v="0"/>
    <n v="251.62494895204699"/>
    <n v="711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2"/>
    <x v="8"/>
    <x v="1"/>
    <x v="1"/>
    <n v="0"/>
    <n v="0"/>
    <n v="0"/>
    <n v="0"/>
    <n v="661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2"/>
    <x v="8"/>
    <x v="2"/>
    <x v="1"/>
    <n v="118.276512897307"/>
    <n v="3.1110987620930799"/>
    <n v="67.543912986026498"/>
    <n v="189.02677711234099"/>
    <n v="661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2"/>
    <x v="8"/>
    <x v="3"/>
    <x v="1"/>
    <n v="224.08221909877901"/>
    <n v="3E+20"/>
    <n v="84.791237093748506"/>
    <n v="456.37034214030803"/>
    <n v="661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2"/>
    <x v="8"/>
    <x v="4"/>
    <x v="1"/>
    <n v="19.780509394054199"/>
    <n v="0.76142317494901102"/>
    <n v="6.2815717063495402"/>
    <n v="47.106005529175299"/>
    <n v="661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2"/>
    <x v="8"/>
    <x v="5"/>
    <x v="1"/>
    <n v="0"/>
    <n v="0"/>
    <n v="0"/>
    <n v="0"/>
    <n v="661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2"/>
    <x v="8"/>
    <x v="6"/>
    <x v="1"/>
    <n v="86.025196807417103"/>
    <n v="3E+20"/>
    <n v="0"/>
    <n v="265.920663660466"/>
    <n v="661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3"/>
    <x v="8"/>
    <x v="1"/>
    <x v="1"/>
    <n v="0"/>
    <n v="0"/>
    <n v="0"/>
    <n v="0"/>
    <n v="706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3"/>
    <x v="8"/>
    <x v="2"/>
    <x v="1"/>
    <n v="118.857397983037"/>
    <n v="3E+20"/>
    <n v="70.220736570471004"/>
    <n v="182.17520851162601"/>
    <n v="706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3"/>
    <x v="8"/>
    <x v="3"/>
    <x v="1"/>
    <n v="210.478632489577"/>
    <n v="3E+20"/>
    <n v="84.132565615244403"/>
    <n v="394.28833613246599"/>
    <n v="706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3"/>
    <x v="8"/>
    <x v="4"/>
    <x v="1"/>
    <n v="19.848848081806199"/>
    <n v="0.55783533640046201"/>
    <n v="6.3146531232687302"/>
    <n v="46.673210845192699"/>
    <n v="706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3"/>
    <x v="8"/>
    <x v="5"/>
    <x v="1"/>
    <n v="0"/>
    <n v="0"/>
    <n v="0"/>
    <n v="0"/>
    <n v="706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3"/>
    <x v="8"/>
    <x v="6"/>
    <x v="1"/>
    <n v="71.772386424733796"/>
    <n v="3E+20"/>
    <n v="0"/>
    <n v="202.01383849981599"/>
    <n v="706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4"/>
    <x v="8"/>
    <x v="1"/>
    <x v="1"/>
    <n v="0"/>
    <n v="0"/>
    <n v="0"/>
    <n v="0"/>
    <n v="736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4"/>
    <x v="8"/>
    <x v="2"/>
    <x v="1"/>
    <n v="118.98719277283401"/>
    <n v="2.4717240241614"/>
    <n v="67.015641559940804"/>
    <n v="181.38449194509499"/>
    <n v="736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4"/>
    <x v="8"/>
    <x v="3"/>
    <x v="1"/>
    <n v="179.81785842290699"/>
    <n v="3E+20"/>
    <n v="84.587767195130695"/>
    <n v="315.109371740499"/>
    <n v="736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4"/>
    <x v="8"/>
    <x v="4"/>
    <x v="1"/>
    <n v="19.745095004487901"/>
    <n v="0.63475487000912501"/>
    <n v="6.3923437899341602"/>
    <n v="47.941658871560897"/>
    <n v="736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4"/>
    <x v="8"/>
    <x v="5"/>
    <x v="1"/>
    <n v="0"/>
    <n v="0"/>
    <n v="0"/>
    <n v="0"/>
    <n v="736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4"/>
    <x v="8"/>
    <x v="6"/>
    <x v="1"/>
    <n v="41.085570645584703"/>
    <n v="3E+20"/>
    <n v="0"/>
    <n v="148.60561344156801"/>
    <n v="736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5"/>
    <x v="8"/>
    <x v="1"/>
    <x v="1"/>
    <n v="0"/>
    <n v="0"/>
    <n v="0"/>
    <n v="0"/>
    <n v="697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5"/>
    <x v="8"/>
    <x v="2"/>
    <x v="1"/>
    <n v="120.006885669558"/>
    <n v="2.1939492291704901"/>
    <n v="62.532594458140899"/>
    <n v="176.176906855841"/>
    <n v="697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5"/>
    <x v="8"/>
    <x v="3"/>
    <x v="1"/>
    <n v="206.21737498418099"/>
    <n v="3E+20"/>
    <n v="81.798178346135501"/>
    <n v="464.11820268684801"/>
    <n v="697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5"/>
    <x v="8"/>
    <x v="4"/>
    <x v="1"/>
    <n v="20.018477298843901"/>
    <n v="0.66217239076450696"/>
    <n v="6.3630247582189599"/>
    <n v="42.173595535022102"/>
    <n v="697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5"/>
    <x v="8"/>
    <x v="5"/>
    <x v="1"/>
    <n v="0"/>
    <n v="0"/>
    <n v="0"/>
    <n v="0"/>
    <n v="697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5"/>
    <x v="8"/>
    <x v="6"/>
    <x v="1"/>
    <n v="66.192012015779497"/>
    <n v="3E+20"/>
    <n v="0"/>
    <n v="269.86996387460198"/>
    <n v="697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6"/>
    <x v="8"/>
    <x v="1"/>
    <x v="1"/>
    <n v="0"/>
    <n v="0"/>
    <n v="0"/>
    <n v="0"/>
    <n v="67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6"/>
    <x v="8"/>
    <x v="2"/>
    <x v="1"/>
    <n v="119.97704031029301"/>
    <n v="2.6396158968679599"/>
    <n v="71.471358180897496"/>
    <n v="192.18606306735299"/>
    <n v="67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6"/>
    <x v="8"/>
    <x v="3"/>
    <x v="1"/>
    <n v="240.20845322990999"/>
    <n v="3E+20"/>
    <n v="80.996853911189206"/>
    <n v="436.47566208105502"/>
    <n v="67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6"/>
    <x v="8"/>
    <x v="4"/>
    <x v="1"/>
    <n v="20.06706722234"/>
    <n v="0.65993404102628705"/>
    <n v="6.2953735661956198"/>
    <n v="49.242904896648497"/>
    <n v="67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6"/>
    <x v="8"/>
    <x v="5"/>
    <x v="1"/>
    <n v="0"/>
    <n v="0"/>
    <n v="0"/>
    <n v="0"/>
    <n v="67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6"/>
    <x v="8"/>
    <x v="6"/>
    <x v="1"/>
    <n v="100.164345697276"/>
    <n v="3E+20"/>
    <n v="0"/>
    <n v="236.94723379475101"/>
    <n v="67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7"/>
    <x v="8"/>
    <x v="1"/>
    <x v="1"/>
    <n v="0"/>
    <n v="0"/>
    <n v="0"/>
    <n v="0"/>
    <n v="664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7"/>
    <x v="8"/>
    <x v="2"/>
    <x v="1"/>
    <n v="119.070427766324"/>
    <n v="2.98469913089688"/>
    <n v="68.035770533284904"/>
    <n v="180.78036901601999"/>
    <n v="664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7"/>
    <x v="8"/>
    <x v="3"/>
    <x v="1"/>
    <n v="221.31644438774299"/>
    <n v="3E+20"/>
    <n v="77.234855517947807"/>
    <n v="427.58343679133998"/>
    <n v="664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7"/>
    <x v="8"/>
    <x v="4"/>
    <x v="1"/>
    <n v="20.030308165901101"/>
    <n v="3E+20"/>
    <n v="6.4893618952857004"/>
    <n v="43.7787344712833"/>
    <n v="664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7"/>
    <x v="8"/>
    <x v="5"/>
    <x v="1"/>
    <n v="0"/>
    <n v="0"/>
    <n v="0"/>
    <n v="0"/>
    <n v="664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7"/>
    <x v="8"/>
    <x v="6"/>
    <x v="1"/>
    <n v="82.2157084555175"/>
    <n v="3E+20"/>
    <n v="0"/>
    <n v="237.263534930698"/>
    <n v="664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8"/>
    <x v="8"/>
    <x v="1"/>
    <x v="1"/>
    <n v="0"/>
    <n v="0"/>
    <n v="0"/>
    <n v="0"/>
    <n v="760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8"/>
    <x v="8"/>
    <x v="2"/>
    <x v="1"/>
    <n v="118.451696854022"/>
    <n v="2.8570332818649602"/>
    <n v="57.545542839954997"/>
    <n v="184.00818832909101"/>
    <n v="760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8"/>
    <x v="8"/>
    <x v="3"/>
    <x v="1"/>
    <n v="224.73856176480899"/>
    <n v="3E+20"/>
    <n v="79.640207245470705"/>
    <n v="376.25580629637801"/>
    <n v="760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8"/>
    <x v="8"/>
    <x v="4"/>
    <x v="1"/>
    <n v="19.607544806589601"/>
    <n v="0.71760188965163896"/>
    <n v="6.3059258714665098"/>
    <n v="47.888087668657498"/>
    <n v="760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8"/>
    <x v="8"/>
    <x v="5"/>
    <x v="1"/>
    <n v="0"/>
    <n v="0"/>
    <n v="0"/>
    <n v="0"/>
    <n v="760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8"/>
    <x v="8"/>
    <x v="6"/>
    <x v="1"/>
    <n v="86.679320104196805"/>
    <n v="3E+20"/>
    <n v="0"/>
    <n v="193.76338168677401"/>
    <n v="760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39"/>
    <x v="8"/>
    <x v="1"/>
    <x v="1"/>
    <n v="0"/>
    <n v="0"/>
    <n v="0"/>
    <n v="0"/>
    <n v="649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9"/>
    <x v="8"/>
    <x v="2"/>
    <x v="1"/>
    <n v="117.958327634322"/>
    <n v="2.6853947158360598"/>
    <n v="65.437812188505703"/>
    <n v="180.774009245423"/>
    <n v="649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39"/>
    <x v="8"/>
    <x v="3"/>
    <x v="1"/>
    <n v="238.86077873283199"/>
    <n v="3E+20"/>
    <n v="83.4032983375144"/>
    <n v="534.48831590171994"/>
    <n v="649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39"/>
    <x v="8"/>
    <x v="4"/>
    <x v="1"/>
    <n v="19.754827571270098"/>
    <n v="0.78906779444804398"/>
    <n v="6.2870431905877204"/>
    <n v="48.511342852671298"/>
    <n v="649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39"/>
    <x v="8"/>
    <x v="5"/>
    <x v="1"/>
    <n v="0"/>
    <n v="0"/>
    <n v="0"/>
    <n v="0"/>
    <n v="649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39"/>
    <x v="8"/>
    <x v="6"/>
    <x v="1"/>
    <n v="101.14762352724"/>
    <n v="3E+20"/>
    <n v="0"/>
    <n v="369.82550709364699"/>
    <n v="649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0"/>
    <x v="8"/>
    <x v="1"/>
    <x v="1"/>
    <n v="0"/>
    <n v="0"/>
    <n v="0"/>
    <n v="0"/>
    <n v="596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0"/>
    <x v="8"/>
    <x v="2"/>
    <x v="1"/>
    <n v="120.342493935362"/>
    <n v="2.8040066193138098"/>
    <n v="70.399488312825994"/>
    <n v="181.26272440555201"/>
    <n v="596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0"/>
    <x v="8"/>
    <x v="3"/>
    <x v="1"/>
    <n v="247.443897989753"/>
    <n v="3E+20"/>
    <n v="84.268594145474694"/>
    <n v="640.81970303432195"/>
    <n v="596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0"/>
    <x v="8"/>
    <x v="4"/>
    <x v="1"/>
    <n v="20.414978511085302"/>
    <n v="0.71580806505187"/>
    <n v="6.1740702161682703"/>
    <n v="48.124518187370299"/>
    <n v="596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0"/>
    <x v="8"/>
    <x v="5"/>
    <x v="1"/>
    <n v="0"/>
    <n v="0"/>
    <n v="0"/>
    <n v="0"/>
    <n v="596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0"/>
    <x v="8"/>
    <x v="6"/>
    <x v="1"/>
    <n v="106.68642554330501"/>
    <n v="3E+20"/>
    <n v="0"/>
    <n v="458.06693976826199"/>
    <n v="596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1"/>
    <x v="8"/>
    <x v="1"/>
    <x v="1"/>
    <n v="0"/>
    <n v="0"/>
    <n v="0"/>
    <n v="0"/>
    <n v="609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1"/>
    <x v="8"/>
    <x v="2"/>
    <x v="1"/>
    <n v="117.67554856956301"/>
    <n v="2.3183237727114201"/>
    <n v="63.407672968127599"/>
    <n v="183.17356697904299"/>
    <n v="609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1"/>
    <x v="8"/>
    <x v="3"/>
    <x v="1"/>
    <n v="251.790950598595"/>
    <n v="3E+20"/>
    <n v="82.666477871957795"/>
    <n v="536.23420270199904"/>
    <n v="609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1"/>
    <x v="8"/>
    <x v="4"/>
    <x v="1"/>
    <n v="19.437564667950401"/>
    <n v="0.62798267619926296"/>
    <n v="6.3253058245466001"/>
    <n v="45.656303547001997"/>
    <n v="609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1"/>
    <x v="8"/>
    <x v="5"/>
    <x v="1"/>
    <n v="0"/>
    <n v="0"/>
    <n v="0"/>
    <n v="0"/>
    <n v="609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1"/>
    <x v="8"/>
    <x v="6"/>
    <x v="1"/>
    <n v="114.677837361082"/>
    <n v="3E+20"/>
    <n v="0"/>
    <n v="343.682716178845"/>
    <n v="609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2"/>
    <x v="8"/>
    <x v="1"/>
    <x v="1"/>
    <n v="0"/>
    <n v="0"/>
    <n v="0"/>
    <n v="0"/>
    <n v="64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2"/>
    <x v="8"/>
    <x v="2"/>
    <x v="1"/>
    <n v="119.99340660360799"/>
    <n v="2.5574350013240301"/>
    <n v="61.472605124085497"/>
    <n v="180.505482617909"/>
    <n v="64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2"/>
    <x v="8"/>
    <x v="3"/>
    <x v="1"/>
    <n v="255.882681427243"/>
    <n v="3E+20"/>
    <n v="84.320708874198999"/>
    <n v="462.21035861533397"/>
    <n v="64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2"/>
    <x v="8"/>
    <x v="4"/>
    <x v="1"/>
    <n v="19.861426221534"/>
    <n v="0.68001930048699499"/>
    <n v="6.2194313734331699"/>
    <n v="46.5097135969473"/>
    <n v="64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2"/>
    <x v="8"/>
    <x v="5"/>
    <x v="1"/>
    <n v="0"/>
    <n v="0"/>
    <n v="0"/>
    <n v="0"/>
    <n v="64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2"/>
    <x v="8"/>
    <x v="6"/>
    <x v="1"/>
    <n v="116.027848602101"/>
    <n v="3E+20"/>
    <n v="0"/>
    <n v="262.62595740827999"/>
    <n v="64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3"/>
    <x v="8"/>
    <x v="1"/>
    <x v="1"/>
    <n v="0"/>
    <n v="0"/>
    <n v="0"/>
    <n v="0"/>
    <n v="672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3"/>
    <x v="8"/>
    <x v="2"/>
    <x v="1"/>
    <n v="120.730276265029"/>
    <n v="2.0167817029762198"/>
    <n v="62.778872507700001"/>
    <n v="178.10069026100899"/>
    <n v="672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3"/>
    <x v="8"/>
    <x v="3"/>
    <x v="1"/>
    <n v="220.17553864733699"/>
    <n v="3E+20"/>
    <n v="76.295420951115602"/>
    <n v="412.56115010860498"/>
    <n v="672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3"/>
    <x v="8"/>
    <x v="4"/>
    <x v="1"/>
    <n v="20.179829033894599"/>
    <n v="0.59116162913867998"/>
    <n v="6.3566035014671298"/>
    <n v="49.509549746772997"/>
    <n v="672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3"/>
    <x v="8"/>
    <x v="5"/>
    <x v="1"/>
    <n v="0"/>
    <n v="0"/>
    <n v="0"/>
    <n v="0"/>
    <n v="672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3"/>
    <x v="8"/>
    <x v="6"/>
    <x v="1"/>
    <n v="79.265433348413197"/>
    <n v="3E+20"/>
    <n v="0"/>
    <n v="241.62439333428301"/>
    <n v="672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4"/>
    <x v="8"/>
    <x v="1"/>
    <x v="1"/>
    <n v="0"/>
    <n v="0"/>
    <n v="0"/>
    <n v="0"/>
    <n v="663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4"/>
    <x v="8"/>
    <x v="2"/>
    <x v="1"/>
    <n v="119.058562639462"/>
    <n v="3.0140898862944101"/>
    <n v="68.240931639574697"/>
    <n v="181.859562999876"/>
    <n v="663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4"/>
    <x v="8"/>
    <x v="3"/>
    <x v="1"/>
    <n v="251.29730585686599"/>
    <n v="3E+20"/>
    <n v="81.321904557396493"/>
    <n v="466.98434187422902"/>
    <n v="663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4"/>
    <x v="8"/>
    <x v="4"/>
    <x v="1"/>
    <n v="19.636729103567099"/>
    <n v="0.85753808619226002"/>
    <n v="6.2071015790617103"/>
    <n v="47.924301328650998"/>
    <n v="663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4"/>
    <x v="8"/>
    <x v="5"/>
    <x v="1"/>
    <n v="0"/>
    <n v="0"/>
    <n v="0"/>
    <n v="0"/>
    <n v="663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4"/>
    <x v="8"/>
    <x v="6"/>
    <x v="1"/>
    <n v="112.60201411383601"/>
    <n v="3E+20"/>
    <n v="0"/>
    <n v="296.12425214962502"/>
    <n v="663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5"/>
    <x v="8"/>
    <x v="1"/>
    <x v="1"/>
    <n v="0"/>
    <n v="0"/>
    <n v="0"/>
    <n v="0"/>
    <n v="687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5"/>
    <x v="8"/>
    <x v="2"/>
    <x v="1"/>
    <n v="117.709250161611"/>
    <n v="2.1550379385045701"/>
    <n v="70.527141965354303"/>
    <n v="179.021131815709"/>
    <n v="687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5"/>
    <x v="8"/>
    <x v="3"/>
    <x v="1"/>
    <n v="249.10031210110299"/>
    <n v="3E+20"/>
    <n v="81.087900806862507"/>
    <n v="454.39144542031801"/>
    <n v="687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5"/>
    <x v="8"/>
    <x v="4"/>
    <x v="1"/>
    <n v="19.312628049005699"/>
    <n v="0.60808943558515904"/>
    <n v="6.22547746479637"/>
    <n v="46.563098953932197"/>
    <n v="687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5"/>
    <x v="8"/>
    <x v="5"/>
    <x v="1"/>
    <n v="0"/>
    <n v="0"/>
    <n v="0"/>
    <n v="0"/>
    <n v="687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5"/>
    <x v="8"/>
    <x v="6"/>
    <x v="1"/>
    <n v="112.078433890486"/>
    <n v="3E+20"/>
    <n v="0"/>
    <n v="275.85579944076397"/>
    <n v="687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6"/>
    <x v="8"/>
    <x v="1"/>
    <x v="1"/>
    <n v="0"/>
    <n v="0"/>
    <n v="0"/>
    <n v="0"/>
    <n v="729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6"/>
    <x v="8"/>
    <x v="2"/>
    <x v="1"/>
    <n v="118.374330818315"/>
    <n v="2.27261553561855"/>
    <n v="69.742351720392804"/>
    <n v="190.466757715966"/>
    <n v="729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6"/>
    <x v="8"/>
    <x v="3"/>
    <x v="1"/>
    <n v="231.35757337218601"/>
    <n v="3E+20"/>
    <n v="83.201136105451994"/>
    <n v="437.23784152963998"/>
    <n v="729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6"/>
    <x v="8"/>
    <x v="4"/>
    <x v="1"/>
    <n v="19.436559292066701"/>
    <n v="0.66204056802281497"/>
    <n v="6.3053238894841597"/>
    <n v="48.516884875862601"/>
    <n v="729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6"/>
    <x v="8"/>
    <x v="5"/>
    <x v="1"/>
    <n v="0"/>
    <n v="0"/>
    <n v="0"/>
    <n v="0"/>
    <n v="729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6"/>
    <x v="8"/>
    <x v="6"/>
    <x v="1"/>
    <n v="93.546683261804205"/>
    <n v="3E+20"/>
    <n v="0"/>
    <n v="245.235414137513"/>
    <n v="729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7"/>
    <x v="8"/>
    <x v="1"/>
    <x v="1"/>
    <n v="0"/>
    <n v="0"/>
    <n v="0"/>
    <n v="0"/>
    <n v="698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7"/>
    <x v="8"/>
    <x v="2"/>
    <x v="1"/>
    <n v="117.606284041718"/>
    <n v="3.1509128678307401"/>
    <n v="69.092141519117803"/>
    <n v="178.03272586621199"/>
    <n v="698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7"/>
    <x v="8"/>
    <x v="3"/>
    <x v="1"/>
    <n v="224.15281904740201"/>
    <n v="3E+20"/>
    <n v="83.998685503781999"/>
    <n v="420.68116927896"/>
    <n v="698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7"/>
    <x v="8"/>
    <x v="4"/>
    <x v="1"/>
    <n v="19.633763789543998"/>
    <n v="0.85246978157584397"/>
    <n v="6.4777494001939404"/>
    <n v="44.718897745106503"/>
    <n v="698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7"/>
    <x v="8"/>
    <x v="5"/>
    <x v="1"/>
    <n v="0"/>
    <n v="0"/>
    <n v="0"/>
    <n v="0"/>
    <n v="698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7"/>
    <x v="8"/>
    <x v="6"/>
    <x v="1"/>
    <n v="86.912771216139802"/>
    <n v="3E+20"/>
    <n v="0"/>
    <n v="239.131271494001"/>
    <n v="698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8"/>
    <x v="8"/>
    <x v="1"/>
    <x v="1"/>
    <n v="0"/>
    <n v="0"/>
    <n v="0"/>
    <n v="0"/>
    <n v="643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8"/>
    <x v="8"/>
    <x v="2"/>
    <x v="1"/>
    <n v="119.05432272887001"/>
    <n v="2.88947941468109"/>
    <n v="68.977762077258106"/>
    <n v="182.02586768731601"/>
    <n v="643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8"/>
    <x v="8"/>
    <x v="3"/>
    <x v="1"/>
    <n v="237.149841193849"/>
    <n v="3E+20"/>
    <n v="86.086905450153196"/>
    <n v="428.95831268985199"/>
    <n v="643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8"/>
    <x v="8"/>
    <x v="4"/>
    <x v="1"/>
    <n v="19.746350828800001"/>
    <n v="3E+20"/>
    <n v="6.5394603865586296"/>
    <n v="46.446143849393401"/>
    <n v="643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8"/>
    <x v="8"/>
    <x v="5"/>
    <x v="1"/>
    <n v="0"/>
    <n v="0"/>
    <n v="0"/>
    <n v="0"/>
    <n v="643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8"/>
    <x v="8"/>
    <x v="6"/>
    <x v="1"/>
    <n v="98.349167636179899"/>
    <n v="3E+20"/>
    <n v="0"/>
    <n v="243.78465366028101"/>
    <n v="643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49"/>
    <x v="8"/>
    <x v="1"/>
    <x v="1"/>
    <n v="0"/>
    <n v="0"/>
    <n v="0"/>
    <n v="0"/>
    <n v="666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9"/>
    <x v="8"/>
    <x v="2"/>
    <x v="1"/>
    <n v="119.43524077391"/>
    <n v="2.6235422834073101"/>
    <n v="70.483356900975394"/>
    <n v="203.50100513585599"/>
    <n v="666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49"/>
    <x v="8"/>
    <x v="3"/>
    <x v="1"/>
    <n v="227.50517222206301"/>
    <n v="3E+20"/>
    <n v="83.693584716579096"/>
    <n v="471.77651636244099"/>
    <n v="666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49"/>
    <x v="8"/>
    <x v="4"/>
    <x v="1"/>
    <n v="20.148050798596302"/>
    <n v="0.712499386757519"/>
    <n v="6.3202368540256701"/>
    <n v="49.739298736841498"/>
    <n v="666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49"/>
    <x v="8"/>
    <x v="5"/>
    <x v="1"/>
    <n v="0"/>
    <n v="0"/>
    <n v="0"/>
    <n v="0"/>
    <n v="666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49"/>
    <x v="8"/>
    <x v="6"/>
    <x v="1"/>
    <n v="87.921880649555902"/>
    <n v="3E+20"/>
    <n v="0"/>
    <n v="285.487385792444"/>
    <n v="666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  <r>
    <x v="0"/>
    <s v="2025-03-22 23:28:40"/>
    <n v="50"/>
    <x v="8"/>
    <x v="1"/>
    <x v="1"/>
    <n v="0"/>
    <n v="0"/>
    <n v="0"/>
    <n v="0"/>
    <n v="725"/>
    <s v="Unnamed ProjectTouristN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50"/>
    <x v="8"/>
    <x v="2"/>
    <x v="1"/>
    <n v="119.07618919658699"/>
    <n v="2.31736846174925"/>
    <n v="62.517408627981702"/>
    <n v="175.48807257158899"/>
    <n v="725"/>
    <s v="Unnamed ProjectTouristOther TimeEntity"/>
    <n v="50"/>
    <n v="119.072877588487"/>
    <n v="1.1004315823637869"/>
    <n v="0.95"/>
    <n v="0.31273919539597844"/>
    <n v="116.869916756062"/>
    <n v="121.279055923125"/>
    <n v="55.773522793583801"/>
    <n v="203.50100513585599"/>
    <n v="680.04"/>
    <n v="0.31273919539597844"/>
    <n v="50"/>
    <n v="1"/>
  </r>
  <r>
    <x v="0"/>
    <s v="2025-03-22 23:28:40"/>
    <n v="50"/>
    <x v="8"/>
    <x v="3"/>
    <x v="1"/>
    <n v="219.44552162986099"/>
    <n v="3E+20"/>
    <n v="81.181835993462101"/>
    <n v="398.98335890324302"/>
    <n v="725"/>
    <s v="Unnamed ProjectTouristTotal TimeEntity"/>
    <n v="50"/>
    <n v="230.87278063103886"/>
    <n v="28.511985776754724"/>
    <n v="0.95"/>
    <n v="8.1030167016926651"/>
    <n v="176.63374267103799"/>
    <n v="310.30313247646598"/>
    <n v="74.823945578616801"/>
    <n v="640.81970303432195"/>
    <n v="680.04"/>
    <n v="8.1030167016926651"/>
    <n v="50"/>
    <n v="1"/>
  </r>
  <r>
    <x v="0"/>
    <s v="2025-03-22 23:28:40"/>
    <n v="50"/>
    <x v="8"/>
    <x v="4"/>
    <x v="1"/>
    <n v="19.8118190315307"/>
    <n v="0.68791386189723103"/>
    <n v="6.1511951941057497"/>
    <n v="44.338164028177502"/>
    <n v="725"/>
    <s v="Unnamed ProjectTouristTransfer TimeEntity"/>
    <n v="50"/>
    <n v="19.788825490074792"/>
    <n v="0.32957551684388431"/>
    <n v="0.95"/>
    <n v="9.3664325535411846E-2"/>
    <n v="19.1753932585017"/>
    <n v="20.6416816415399"/>
    <n v="6.0540217345149898"/>
    <n v="49.959821430489797"/>
    <n v="680.04"/>
    <n v="9.3664325535411846E-2"/>
    <n v="50"/>
    <n v="1"/>
  </r>
  <r>
    <x v="0"/>
    <s v="2025-03-22 23:28:40"/>
    <n v="50"/>
    <x v="8"/>
    <x v="5"/>
    <x v="1"/>
    <n v="0"/>
    <n v="0"/>
    <n v="0"/>
    <n v="0"/>
    <n v="725"/>
    <s v="Unnamed ProjectTouristVA TimeEntity"/>
    <n v="50"/>
    <n v="0"/>
    <n v="0"/>
    <n v="0.95"/>
    <n v="0"/>
    <n v="0"/>
    <n v="0"/>
    <n v="0"/>
    <n v="0"/>
    <n v="680.04"/>
    <n v="0"/>
    <n v="50"/>
    <n v="1"/>
  </r>
  <r>
    <x v="0"/>
    <s v="2025-03-22 23:28:40"/>
    <n v="50"/>
    <x v="8"/>
    <x v="6"/>
    <x v="1"/>
    <n v="80.557513401743194"/>
    <n v="3E+20"/>
    <n v="0"/>
    <n v="226.636630521184"/>
    <n v="725"/>
    <s v="Unnamed ProjectTouristWait TimeEntity"/>
    <n v="50"/>
    <n v="92.011077552476877"/>
    <n v="28.394716781335426"/>
    <n v="0.95"/>
    <n v="8.0696892219473568"/>
    <n v="37.235943946119903"/>
    <n v="170.78088451033599"/>
    <n v="0"/>
    <n v="458.06693976826199"/>
    <n v="680.04"/>
    <n v="8.0696892219473568"/>
    <n v="5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3-22 23:28:40"/>
    <n v="1"/>
    <x v="0"/>
    <x v="0"/>
    <x v="0"/>
    <n v="692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"/>
    <x v="1"/>
    <x v="1"/>
    <x v="1"/>
    <n v="781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"/>
    <x v="2"/>
    <x v="0"/>
    <x v="1"/>
    <n v="692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"/>
    <x v="0"/>
    <x v="0"/>
    <x v="0"/>
    <n v="66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"/>
    <x v="1"/>
    <x v="1"/>
    <x v="1"/>
    <n v="764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"/>
    <x v="2"/>
    <x v="0"/>
    <x v="1"/>
    <n v="66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"/>
    <x v="0"/>
    <x v="0"/>
    <x v="0"/>
    <n v="62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"/>
    <x v="1"/>
    <x v="1"/>
    <x v="1"/>
    <n v="751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"/>
    <x v="2"/>
    <x v="0"/>
    <x v="1"/>
    <n v="62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"/>
    <x v="0"/>
    <x v="0"/>
    <x v="0"/>
    <n v="644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"/>
    <x v="1"/>
    <x v="1"/>
    <x v="1"/>
    <n v="75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"/>
    <x v="2"/>
    <x v="0"/>
    <x v="1"/>
    <n v="644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5"/>
    <x v="0"/>
    <x v="0"/>
    <x v="0"/>
    <n v="691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5"/>
    <x v="1"/>
    <x v="1"/>
    <x v="1"/>
    <n v="784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5"/>
    <x v="2"/>
    <x v="0"/>
    <x v="1"/>
    <n v="691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6"/>
    <x v="0"/>
    <x v="0"/>
    <x v="0"/>
    <n v="75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6"/>
    <x v="1"/>
    <x v="1"/>
    <x v="1"/>
    <n v="83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6"/>
    <x v="2"/>
    <x v="0"/>
    <x v="1"/>
    <n v="75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7"/>
    <x v="0"/>
    <x v="0"/>
    <x v="0"/>
    <n v="646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7"/>
    <x v="1"/>
    <x v="1"/>
    <x v="1"/>
    <n v="78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7"/>
    <x v="2"/>
    <x v="0"/>
    <x v="1"/>
    <n v="646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8"/>
    <x v="0"/>
    <x v="0"/>
    <x v="0"/>
    <n v="604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8"/>
    <x v="1"/>
    <x v="1"/>
    <x v="1"/>
    <n v="71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8"/>
    <x v="2"/>
    <x v="0"/>
    <x v="1"/>
    <n v="604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9"/>
    <x v="0"/>
    <x v="0"/>
    <x v="0"/>
    <n v="690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9"/>
    <x v="1"/>
    <x v="1"/>
    <x v="1"/>
    <n v="838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9"/>
    <x v="2"/>
    <x v="0"/>
    <x v="1"/>
    <n v="690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0"/>
    <x v="0"/>
    <x v="0"/>
    <x v="0"/>
    <n v="684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0"/>
    <x v="1"/>
    <x v="1"/>
    <x v="1"/>
    <n v="814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0"/>
    <x v="2"/>
    <x v="0"/>
    <x v="1"/>
    <n v="684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1"/>
    <x v="0"/>
    <x v="0"/>
    <x v="0"/>
    <n v="711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1"/>
    <x v="1"/>
    <x v="1"/>
    <x v="1"/>
    <n v="811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1"/>
    <x v="2"/>
    <x v="0"/>
    <x v="1"/>
    <n v="711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2"/>
    <x v="0"/>
    <x v="0"/>
    <x v="0"/>
    <n v="630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2"/>
    <x v="1"/>
    <x v="1"/>
    <x v="1"/>
    <n v="782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2"/>
    <x v="2"/>
    <x v="0"/>
    <x v="1"/>
    <n v="630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3"/>
    <x v="0"/>
    <x v="0"/>
    <x v="0"/>
    <n v="692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3"/>
    <x v="1"/>
    <x v="1"/>
    <x v="1"/>
    <n v="798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3"/>
    <x v="2"/>
    <x v="0"/>
    <x v="1"/>
    <n v="692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4"/>
    <x v="0"/>
    <x v="0"/>
    <x v="0"/>
    <n v="657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4"/>
    <x v="1"/>
    <x v="1"/>
    <x v="1"/>
    <n v="74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4"/>
    <x v="2"/>
    <x v="0"/>
    <x v="1"/>
    <n v="657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5"/>
    <x v="0"/>
    <x v="0"/>
    <x v="0"/>
    <n v="720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5"/>
    <x v="1"/>
    <x v="1"/>
    <x v="1"/>
    <n v="77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5"/>
    <x v="2"/>
    <x v="0"/>
    <x v="1"/>
    <n v="720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6"/>
    <x v="0"/>
    <x v="0"/>
    <x v="0"/>
    <n v="615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6"/>
    <x v="1"/>
    <x v="1"/>
    <x v="1"/>
    <n v="748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6"/>
    <x v="2"/>
    <x v="0"/>
    <x v="1"/>
    <n v="615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7"/>
    <x v="0"/>
    <x v="0"/>
    <x v="0"/>
    <n v="725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7"/>
    <x v="1"/>
    <x v="1"/>
    <x v="1"/>
    <n v="80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7"/>
    <x v="2"/>
    <x v="0"/>
    <x v="1"/>
    <n v="725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8"/>
    <x v="0"/>
    <x v="0"/>
    <x v="0"/>
    <n v="67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8"/>
    <x v="1"/>
    <x v="1"/>
    <x v="1"/>
    <n v="810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8"/>
    <x v="2"/>
    <x v="0"/>
    <x v="1"/>
    <n v="67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19"/>
    <x v="0"/>
    <x v="0"/>
    <x v="0"/>
    <n v="703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19"/>
    <x v="1"/>
    <x v="1"/>
    <x v="1"/>
    <n v="780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19"/>
    <x v="2"/>
    <x v="0"/>
    <x v="1"/>
    <n v="703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0"/>
    <x v="0"/>
    <x v="0"/>
    <x v="0"/>
    <n v="739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0"/>
    <x v="1"/>
    <x v="1"/>
    <x v="1"/>
    <n v="814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0"/>
    <x v="2"/>
    <x v="0"/>
    <x v="1"/>
    <n v="739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1"/>
    <x v="0"/>
    <x v="0"/>
    <x v="0"/>
    <n v="66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1"/>
    <x v="1"/>
    <x v="1"/>
    <x v="1"/>
    <n v="793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1"/>
    <x v="2"/>
    <x v="0"/>
    <x v="1"/>
    <n v="66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2"/>
    <x v="0"/>
    <x v="0"/>
    <x v="0"/>
    <n v="656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2"/>
    <x v="1"/>
    <x v="1"/>
    <x v="1"/>
    <n v="750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2"/>
    <x v="2"/>
    <x v="0"/>
    <x v="1"/>
    <n v="656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3"/>
    <x v="0"/>
    <x v="0"/>
    <x v="0"/>
    <n v="702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3"/>
    <x v="1"/>
    <x v="1"/>
    <x v="1"/>
    <n v="782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3"/>
    <x v="2"/>
    <x v="0"/>
    <x v="1"/>
    <n v="702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4"/>
    <x v="0"/>
    <x v="0"/>
    <x v="0"/>
    <n v="714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4"/>
    <x v="1"/>
    <x v="1"/>
    <x v="1"/>
    <n v="819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4"/>
    <x v="2"/>
    <x v="0"/>
    <x v="1"/>
    <n v="714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5"/>
    <x v="0"/>
    <x v="0"/>
    <x v="0"/>
    <n v="763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5"/>
    <x v="1"/>
    <x v="1"/>
    <x v="1"/>
    <n v="841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5"/>
    <x v="2"/>
    <x v="0"/>
    <x v="1"/>
    <n v="763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6"/>
    <x v="0"/>
    <x v="0"/>
    <x v="0"/>
    <n v="635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6"/>
    <x v="1"/>
    <x v="1"/>
    <x v="1"/>
    <n v="779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6"/>
    <x v="2"/>
    <x v="0"/>
    <x v="1"/>
    <n v="635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7"/>
    <x v="0"/>
    <x v="0"/>
    <x v="0"/>
    <n v="687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7"/>
    <x v="1"/>
    <x v="1"/>
    <x v="1"/>
    <n v="741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7"/>
    <x v="2"/>
    <x v="0"/>
    <x v="1"/>
    <n v="687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8"/>
    <x v="0"/>
    <x v="0"/>
    <x v="0"/>
    <n v="619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8"/>
    <x v="1"/>
    <x v="1"/>
    <x v="1"/>
    <n v="738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8"/>
    <x v="2"/>
    <x v="0"/>
    <x v="1"/>
    <n v="619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29"/>
    <x v="0"/>
    <x v="0"/>
    <x v="0"/>
    <n v="720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29"/>
    <x v="1"/>
    <x v="1"/>
    <x v="1"/>
    <n v="808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29"/>
    <x v="2"/>
    <x v="0"/>
    <x v="1"/>
    <n v="720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0"/>
    <x v="0"/>
    <x v="0"/>
    <x v="0"/>
    <n v="665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0"/>
    <x v="1"/>
    <x v="1"/>
    <x v="1"/>
    <n v="779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0"/>
    <x v="2"/>
    <x v="0"/>
    <x v="1"/>
    <n v="665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1"/>
    <x v="0"/>
    <x v="0"/>
    <x v="0"/>
    <n v="711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1"/>
    <x v="1"/>
    <x v="1"/>
    <x v="1"/>
    <n v="797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1"/>
    <x v="2"/>
    <x v="0"/>
    <x v="1"/>
    <n v="711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2"/>
    <x v="0"/>
    <x v="0"/>
    <x v="0"/>
    <n v="661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2"/>
    <x v="1"/>
    <x v="1"/>
    <x v="1"/>
    <n v="776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2"/>
    <x v="2"/>
    <x v="0"/>
    <x v="1"/>
    <n v="661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3"/>
    <x v="0"/>
    <x v="0"/>
    <x v="0"/>
    <n v="706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3"/>
    <x v="1"/>
    <x v="1"/>
    <x v="1"/>
    <n v="784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3"/>
    <x v="2"/>
    <x v="0"/>
    <x v="1"/>
    <n v="706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4"/>
    <x v="0"/>
    <x v="0"/>
    <x v="0"/>
    <n v="736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4"/>
    <x v="1"/>
    <x v="1"/>
    <x v="1"/>
    <n v="802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4"/>
    <x v="2"/>
    <x v="0"/>
    <x v="1"/>
    <n v="736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5"/>
    <x v="0"/>
    <x v="0"/>
    <x v="0"/>
    <n v="697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5"/>
    <x v="1"/>
    <x v="1"/>
    <x v="1"/>
    <n v="826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5"/>
    <x v="2"/>
    <x v="0"/>
    <x v="1"/>
    <n v="697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6"/>
    <x v="0"/>
    <x v="0"/>
    <x v="0"/>
    <n v="67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6"/>
    <x v="1"/>
    <x v="1"/>
    <x v="1"/>
    <n v="760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6"/>
    <x v="2"/>
    <x v="0"/>
    <x v="1"/>
    <n v="67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7"/>
    <x v="0"/>
    <x v="0"/>
    <x v="0"/>
    <n v="664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7"/>
    <x v="1"/>
    <x v="1"/>
    <x v="1"/>
    <n v="753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7"/>
    <x v="2"/>
    <x v="0"/>
    <x v="1"/>
    <n v="664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8"/>
    <x v="0"/>
    <x v="0"/>
    <x v="0"/>
    <n v="760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8"/>
    <x v="1"/>
    <x v="1"/>
    <x v="1"/>
    <n v="83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8"/>
    <x v="2"/>
    <x v="0"/>
    <x v="1"/>
    <n v="760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39"/>
    <x v="0"/>
    <x v="0"/>
    <x v="0"/>
    <n v="649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39"/>
    <x v="1"/>
    <x v="1"/>
    <x v="1"/>
    <n v="800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39"/>
    <x v="2"/>
    <x v="0"/>
    <x v="1"/>
    <n v="649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0"/>
    <x v="0"/>
    <x v="0"/>
    <x v="0"/>
    <n v="596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0"/>
    <x v="1"/>
    <x v="1"/>
    <x v="1"/>
    <n v="763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0"/>
    <x v="2"/>
    <x v="0"/>
    <x v="1"/>
    <n v="596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1"/>
    <x v="0"/>
    <x v="0"/>
    <x v="0"/>
    <n v="609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1"/>
    <x v="1"/>
    <x v="1"/>
    <x v="1"/>
    <n v="744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1"/>
    <x v="2"/>
    <x v="0"/>
    <x v="1"/>
    <n v="609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2"/>
    <x v="0"/>
    <x v="0"/>
    <x v="0"/>
    <n v="64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2"/>
    <x v="1"/>
    <x v="1"/>
    <x v="1"/>
    <n v="73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2"/>
    <x v="2"/>
    <x v="0"/>
    <x v="1"/>
    <n v="64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3"/>
    <x v="0"/>
    <x v="0"/>
    <x v="0"/>
    <n v="672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3"/>
    <x v="1"/>
    <x v="1"/>
    <x v="1"/>
    <n v="779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3"/>
    <x v="2"/>
    <x v="0"/>
    <x v="1"/>
    <n v="672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4"/>
    <x v="0"/>
    <x v="0"/>
    <x v="0"/>
    <n v="663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4"/>
    <x v="1"/>
    <x v="1"/>
    <x v="1"/>
    <n v="76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4"/>
    <x v="2"/>
    <x v="0"/>
    <x v="1"/>
    <n v="663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5"/>
    <x v="0"/>
    <x v="0"/>
    <x v="0"/>
    <n v="687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5"/>
    <x v="1"/>
    <x v="1"/>
    <x v="1"/>
    <n v="815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5"/>
    <x v="2"/>
    <x v="0"/>
    <x v="1"/>
    <n v="687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6"/>
    <x v="0"/>
    <x v="0"/>
    <x v="0"/>
    <n v="729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6"/>
    <x v="1"/>
    <x v="1"/>
    <x v="1"/>
    <n v="836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6"/>
    <x v="2"/>
    <x v="0"/>
    <x v="1"/>
    <n v="729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7"/>
    <x v="0"/>
    <x v="0"/>
    <x v="0"/>
    <n v="698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7"/>
    <x v="1"/>
    <x v="1"/>
    <x v="1"/>
    <n v="790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7"/>
    <x v="2"/>
    <x v="0"/>
    <x v="1"/>
    <n v="698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8"/>
    <x v="0"/>
    <x v="0"/>
    <x v="0"/>
    <n v="643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8"/>
    <x v="1"/>
    <x v="1"/>
    <x v="1"/>
    <n v="747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8"/>
    <x v="2"/>
    <x v="0"/>
    <x v="1"/>
    <n v="643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49"/>
    <x v="0"/>
    <x v="0"/>
    <x v="0"/>
    <n v="666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49"/>
    <x v="1"/>
    <x v="1"/>
    <x v="1"/>
    <n v="772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49"/>
    <x v="2"/>
    <x v="0"/>
    <x v="1"/>
    <n v="666"/>
    <n v="0"/>
    <s v="Unnamed ProjectTourist.NumberOutNumber OutEntity"/>
    <n v="50"/>
    <n v="680.04"/>
    <n v="41.228561528560341"/>
    <n v="0.95"/>
    <n v="11.717027543029069"/>
    <n v="596"/>
    <n v="763"/>
  </r>
  <r>
    <x v="0"/>
    <s v="2025-03-22 23:28:40"/>
    <n v="50"/>
    <x v="0"/>
    <x v="0"/>
    <x v="0"/>
    <n v="725"/>
    <n v="0"/>
    <s v="Unnamed ProjectSystem.NumberOutNumber OutSystem"/>
    <n v="50"/>
    <n v="680.04"/>
    <n v="41.228561528560341"/>
    <n v="0.95"/>
    <n v="11.717027543029069"/>
    <n v="596"/>
    <n v="763"/>
  </r>
  <r>
    <x v="0"/>
    <s v="2025-03-22 23:28:40"/>
    <n v="50"/>
    <x v="1"/>
    <x v="1"/>
    <x v="1"/>
    <n v="786"/>
    <n v="0"/>
    <s v="Unnamed ProjectTourist.NumberInNumber InEntity"/>
    <n v="50"/>
    <n v="783.7"/>
    <n v="30.785797149374726"/>
    <n v="0.95"/>
    <n v="8.7492267437816995"/>
    <n v="715"/>
    <n v="841"/>
  </r>
  <r>
    <x v="0"/>
    <s v="2025-03-22 23:28:40"/>
    <n v="50"/>
    <x v="2"/>
    <x v="0"/>
    <x v="1"/>
    <n v="725"/>
    <n v="0"/>
    <s v="Unnamed ProjectTourist.NumberOutNumber OutEntity"/>
    <n v="50"/>
    <n v="680.04"/>
    <n v="41.228561528560341"/>
    <n v="0.95"/>
    <n v="11.717027543029069"/>
    <n v="596"/>
    <n v="7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x v="0"/>
    <s v="2025-03-22 23:28:40"/>
    <n v="1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"/>
    <x v="5"/>
    <x v="0"/>
    <x v="0"/>
    <n v="10.7783398635915"/>
    <n v="3E+20"/>
    <n v="0"/>
    <n v="34"/>
    <n v="25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"/>
    <x v="6"/>
    <x v="0"/>
    <x v="0"/>
    <n v="5.0037147502107997"/>
    <n v="3E+20"/>
    <n v="0"/>
    <n v="30"/>
    <n v="2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"/>
    <x v="7"/>
    <x v="0"/>
    <x v="0"/>
    <n v="2.81153586973956"/>
    <n v="2E+20"/>
    <n v="0"/>
    <n v="2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"/>
    <x v="8"/>
    <x v="1"/>
    <x v="1"/>
    <n v="65.921363270599898"/>
    <n v="3E+20"/>
    <n v="0"/>
    <n v="97"/>
    <n v="89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"/>
    <x v="4"/>
    <x v="0"/>
    <x v="0"/>
    <n v="6.4457881918703004"/>
    <n v="3E+20"/>
    <n v="0"/>
    <n v="3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"/>
    <x v="5"/>
    <x v="0"/>
    <x v="0"/>
    <n v="9.0541173630449894"/>
    <n v="3E+20"/>
    <n v="0"/>
    <n v="59"/>
    <n v="57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"/>
    <x v="6"/>
    <x v="0"/>
    <x v="0"/>
    <n v="1.09767579959077"/>
    <n v="2E+20"/>
    <n v="0"/>
    <n v="12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"/>
    <x v="7"/>
    <x v="0"/>
    <x v="0"/>
    <n v="0.28496071486239599"/>
    <n v="2E+20"/>
    <n v="0"/>
    <n v="6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"/>
    <x v="8"/>
    <x v="1"/>
    <x v="1"/>
    <n v="62.819573565301503"/>
    <n v="3E+20"/>
    <n v="0"/>
    <n v="97"/>
    <n v="96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"/>
    <x v="4"/>
    <x v="0"/>
    <x v="0"/>
    <n v="13.0230562536926"/>
    <n v="3E+20"/>
    <n v="0"/>
    <n v="48"/>
    <n v="15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"/>
    <x v="5"/>
    <x v="0"/>
    <x v="0"/>
    <n v="0.12320629435087301"/>
    <n v="2E+20"/>
    <n v="0"/>
    <n v="7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"/>
    <x v="6"/>
    <x v="0"/>
    <x v="0"/>
    <n v="27.258736402581899"/>
    <n v="3E+20"/>
    <n v="0"/>
    <n v="63"/>
    <n v="63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"/>
    <x v="7"/>
    <x v="0"/>
    <x v="0"/>
    <n v="0.67532180351353599"/>
    <n v="2E+20"/>
    <n v="0"/>
    <n v="1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"/>
    <x v="8"/>
    <x v="1"/>
    <x v="1"/>
    <n v="84.8623030031805"/>
    <n v="3E+20"/>
    <n v="0"/>
    <n v="126"/>
    <n v="123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"/>
    <x v="4"/>
    <x v="0"/>
    <x v="0"/>
    <n v="0.54118865703224595"/>
    <n v="2E+20"/>
    <n v="0"/>
    <n v="13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"/>
    <x v="5"/>
    <x v="0"/>
    <x v="0"/>
    <n v="6.1993895631585298E-2"/>
    <n v="2E+20"/>
    <n v="0"/>
    <n v="6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"/>
    <x v="6"/>
    <x v="0"/>
    <x v="0"/>
    <n v="34.036846707370998"/>
    <n v="3E+20"/>
    <n v="0"/>
    <n v="68"/>
    <n v="67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"/>
    <x v="7"/>
    <x v="0"/>
    <x v="0"/>
    <n v="7.7044974755912404E-2"/>
    <n v="2E+20"/>
    <n v="0"/>
    <n v="4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"/>
    <x v="8"/>
    <x v="1"/>
    <x v="1"/>
    <n v="79.225981755891397"/>
    <n v="3E+20"/>
    <n v="0"/>
    <n v="123"/>
    <n v="111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5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5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5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5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5"/>
    <x v="4"/>
    <x v="0"/>
    <x v="0"/>
    <n v="2.38901360473068"/>
    <n v="2E+20"/>
    <n v="0"/>
    <n v="27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5"/>
    <x v="5"/>
    <x v="0"/>
    <x v="0"/>
    <n v="7.16554381560871E-4"/>
    <n v="2E+20"/>
    <n v="0"/>
    <n v="1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5"/>
    <x v="6"/>
    <x v="0"/>
    <x v="0"/>
    <n v="22.0879780290004"/>
    <n v="3E+20"/>
    <n v="0"/>
    <n v="56"/>
    <n v="27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5"/>
    <x v="7"/>
    <x v="0"/>
    <x v="0"/>
    <n v="0.84856154276066098"/>
    <n v="2E+20"/>
    <n v="0"/>
    <n v="10"/>
    <n v="9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5"/>
    <x v="8"/>
    <x v="1"/>
    <x v="1"/>
    <n v="72.829308783335506"/>
    <n v="3E+20"/>
    <n v="0"/>
    <n v="111"/>
    <n v="93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6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6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6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6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6"/>
    <x v="4"/>
    <x v="0"/>
    <x v="0"/>
    <n v="0.72398997456257996"/>
    <n v="2E+20"/>
    <n v="0"/>
    <n v="15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6"/>
    <x v="5"/>
    <x v="0"/>
    <x v="0"/>
    <n v="6.2428556077137598E-4"/>
    <n v="2E+20"/>
    <n v="0"/>
    <n v="1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6"/>
    <x v="6"/>
    <x v="0"/>
    <x v="0"/>
    <n v="0.28259624337913702"/>
    <n v="2E+20"/>
    <n v="0"/>
    <n v="7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6"/>
    <x v="7"/>
    <x v="0"/>
    <x v="0"/>
    <n v="22.328191986373401"/>
    <n v="3E+20"/>
    <n v="0"/>
    <n v="57"/>
    <n v="31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6"/>
    <x v="8"/>
    <x v="1"/>
    <x v="1"/>
    <n v="74.909530253311303"/>
    <n v="3E+20"/>
    <n v="0"/>
    <n v="119"/>
    <n v="77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7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7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7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7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7"/>
    <x v="4"/>
    <x v="0"/>
    <x v="0"/>
    <n v="3.9806980404650796E-3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7"/>
    <x v="5"/>
    <x v="0"/>
    <x v="0"/>
    <n v="39.876847274153199"/>
    <n v="3E+20"/>
    <n v="0"/>
    <n v="91"/>
    <n v="81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7"/>
    <x v="6"/>
    <x v="0"/>
    <x v="0"/>
    <n v="2.61112776509919"/>
    <n v="3E+20"/>
    <n v="0"/>
    <n v="16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7"/>
    <x v="7"/>
    <x v="0"/>
    <x v="0"/>
    <n v="0"/>
    <n v="2E+20"/>
    <n v="0"/>
    <n v="0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7"/>
    <x v="8"/>
    <x v="1"/>
    <x v="1"/>
    <n v="88.985408774407603"/>
    <n v="3E+20"/>
    <n v="0"/>
    <n v="147"/>
    <n v="139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8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8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8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8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8"/>
    <x v="4"/>
    <x v="0"/>
    <x v="0"/>
    <n v="7.2783585441334495E-2"/>
    <n v="2E+20"/>
    <n v="0"/>
    <n v="5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8"/>
    <x v="5"/>
    <x v="0"/>
    <x v="0"/>
    <n v="4.4396186406977201"/>
    <n v="3E+20"/>
    <n v="0"/>
    <n v="24"/>
    <n v="7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8"/>
    <x v="6"/>
    <x v="0"/>
    <x v="0"/>
    <n v="51.634328282384999"/>
    <n v="3E+20"/>
    <n v="0"/>
    <n v="98"/>
    <n v="6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8"/>
    <x v="7"/>
    <x v="0"/>
    <x v="0"/>
    <n v="0"/>
    <n v="2E+20"/>
    <n v="0"/>
    <n v="0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8"/>
    <x v="8"/>
    <x v="1"/>
    <x v="1"/>
    <n v="99.170821526673194"/>
    <n v="3E+20"/>
    <n v="0"/>
    <n v="146"/>
    <n v="111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9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9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9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9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9"/>
    <x v="4"/>
    <x v="0"/>
    <x v="0"/>
    <n v="3.4483265138453303E-2"/>
    <n v="2E+20"/>
    <n v="0"/>
    <n v="2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9"/>
    <x v="5"/>
    <x v="0"/>
    <x v="0"/>
    <n v="0"/>
    <n v="2E+20"/>
    <n v="0"/>
    <n v="0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9"/>
    <x v="6"/>
    <x v="0"/>
    <x v="0"/>
    <n v="29.291793794283301"/>
    <n v="3E+20"/>
    <n v="0"/>
    <n v="57"/>
    <n v="31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9"/>
    <x v="7"/>
    <x v="0"/>
    <x v="0"/>
    <n v="9.9417242088383802"/>
    <n v="3E+20"/>
    <n v="0"/>
    <n v="62"/>
    <n v="6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9"/>
    <x v="8"/>
    <x v="1"/>
    <x v="1"/>
    <n v="88.123722175276797"/>
    <n v="3E+20"/>
    <n v="0"/>
    <n v="150"/>
    <n v="148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0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0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0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0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0"/>
    <x v="4"/>
    <x v="0"/>
    <x v="0"/>
    <n v="0.48457078579773"/>
    <n v="2E+20"/>
    <n v="0"/>
    <n v="8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0"/>
    <x v="5"/>
    <x v="0"/>
    <x v="0"/>
    <n v="5.4094688716326E-3"/>
    <n v="2E+20"/>
    <n v="0"/>
    <n v="2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0"/>
    <x v="6"/>
    <x v="0"/>
    <x v="0"/>
    <n v="0.90401639692605795"/>
    <n v="2E+20"/>
    <n v="0"/>
    <n v="14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0"/>
    <x v="7"/>
    <x v="0"/>
    <x v="0"/>
    <n v="38.458352709192503"/>
    <n v="3E+20"/>
    <n v="0"/>
    <n v="78"/>
    <n v="71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0"/>
    <x v="8"/>
    <x v="1"/>
    <x v="1"/>
    <n v="88.947059911910799"/>
    <n v="3E+20"/>
    <n v="0"/>
    <n v="132"/>
    <n v="130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1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1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1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1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1"/>
    <x v="4"/>
    <x v="0"/>
    <x v="0"/>
    <n v="2.2226873604067401E-2"/>
    <n v="2E+20"/>
    <n v="0"/>
    <n v="2"/>
    <n v="1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1"/>
    <x v="5"/>
    <x v="0"/>
    <x v="0"/>
    <n v="4.6477174807225197"/>
    <n v="3E+20"/>
    <n v="0"/>
    <n v="30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1"/>
    <x v="6"/>
    <x v="0"/>
    <x v="0"/>
    <n v="48.169236331353702"/>
    <n v="3E+20"/>
    <n v="0"/>
    <n v="108"/>
    <n v="37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1"/>
    <x v="7"/>
    <x v="0"/>
    <x v="0"/>
    <n v="3.8353650252068699E-3"/>
    <n v="2E+20"/>
    <n v="0"/>
    <n v="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1"/>
    <x v="8"/>
    <x v="1"/>
    <x v="1"/>
    <n v="102.902066283605"/>
    <n v="3E+20"/>
    <n v="0"/>
    <n v="160"/>
    <n v="100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2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2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2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2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2"/>
    <x v="4"/>
    <x v="0"/>
    <x v="0"/>
    <n v="3.7671591737515102E-2"/>
    <n v="2E+20"/>
    <n v="0"/>
    <n v="3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2"/>
    <x v="5"/>
    <x v="0"/>
    <x v="0"/>
    <n v="5.0120160108245502"/>
    <n v="3E+20"/>
    <n v="0"/>
    <n v="26"/>
    <n v="1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2"/>
    <x v="6"/>
    <x v="0"/>
    <x v="0"/>
    <n v="51.0481247657642"/>
    <n v="3E+20"/>
    <n v="0"/>
    <n v="93"/>
    <n v="84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2"/>
    <x v="7"/>
    <x v="0"/>
    <x v="0"/>
    <n v="3.03039520139244E-3"/>
    <n v="2E+20"/>
    <n v="0"/>
    <n v="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2"/>
    <x v="8"/>
    <x v="1"/>
    <x v="1"/>
    <n v="101.621404501173"/>
    <n v="3E+20"/>
    <n v="0"/>
    <n v="152"/>
    <n v="152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3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3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3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3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3"/>
    <x v="4"/>
    <x v="0"/>
    <x v="0"/>
    <n v="9.8556691624667701E-3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3"/>
    <x v="5"/>
    <x v="0"/>
    <x v="0"/>
    <n v="22.4444787780869"/>
    <n v="3E+20"/>
    <n v="0"/>
    <n v="65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3"/>
    <x v="6"/>
    <x v="0"/>
    <x v="0"/>
    <n v="19.930093591731598"/>
    <n v="3E+20"/>
    <n v="0"/>
    <n v="85"/>
    <n v="69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3"/>
    <x v="7"/>
    <x v="0"/>
    <x v="0"/>
    <n v="8.6330665250379198E-4"/>
    <n v="2E+20"/>
    <n v="0"/>
    <n v="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3"/>
    <x v="8"/>
    <x v="1"/>
    <x v="1"/>
    <n v="90.365995287979203"/>
    <n v="3E+20"/>
    <n v="0"/>
    <n v="136"/>
    <n v="106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4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4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4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4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4"/>
    <x v="4"/>
    <x v="0"/>
    <x v="0"/>
    <n v="2.78444130777787"/>
    <n v="3E+20"/>
    <n v="0"/>
    <n v="23"/>
    <n v="12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4"/>
    <x v="5"/>
    <x v="0"/>
    <x v="0"/>
    <n v="22.6631063741142"/>
    <n v="3E+20"/>
    <n v="0"/>
    <n v="56"/>
    <n v="32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4"/>
    <x v="6"/>
    <x v="0"/>
    <x v="0"/>
    <n v="1.0396675352640099"/>
    <n v="2E+20"/>
    <n v="0"/>
    <n v="18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4"/>
    <x v="7"/>
    <x v="0"/>
    <x v="0"/>
    <n v="1.0511629151356099E-2"/>
    <n v="2E+20"/>
    <n v="0"/>
    <n v="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4"/>
    <x v="8"/>
    <x v="1"/>
    <x v="1"/>
    <n v="72.399502264156098"/>
    <n v="3E+20"/>
    <n v="0"/>
    <n v="119"/>
    <n v="88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5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5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5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5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5"/>
    <x v="4"/>
    <x v="0"/>
    <x v="0"/>
    <n v="0.171802613095933"/>
    <n v="2E+20"/>
    <n v="0"/>
    <n v="7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5"/>
    <x v="5"/>
    <x v="0"/>
    <x v="0"/>
    <n v="0.72969697770231001"/>
    <n v="2E+20"/>
    <n v="0"/>
    <n v="9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5"/>
    <x v="6"/>
    <x v="0"/>
    <x v="0"/>
    <n v="10.851131494364401"/>
    <n v="3E+20"/>
    <n v="0"/>
    <n v="31"/>
    <n v="2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5"/>
    <x v="7"/>
    <x v="0"/>
    <x v="0"/>
    <n v="0.79888954860030104"/>
    <n v="2E+20"/>
    <n v="0"/>
    <n v="10"/>
    <n v="8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5"/>
    <x v="8"/>
    <x v="1"/>
    <x v="1"/>
    <n v="60.764515331306598"/>
    <n v="3E+20"/>
    <n v="0"/>
    <n v="83"/>
    <n v="5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6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6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6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6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6"/>
    <x v="4"/>
    <x v="0"/>
    <x v="0"/>
    <n v="5.2085192279603004E-4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6"/>
    <x v="5"/>
    <x v="0"/>
    <x v="0"/>
    <n v="19.868818348089199"/>
    <n v="3E+20"/>
    <n v="0"/>
    <n v="55"/>
    <n v="11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6"/>
    <x v="6"/>
    <x v="0"/>
    <x v="0"/>
    <n v="22.997417147375199"/>
    <n v="3E+20"/>
    <n v="0"/>
    <n v="82"/>
    <n v="82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6"/>
    <x v="7"/>
    <x v="0"/>
    <x v="0"/>
    <n v="6.2996235735516002E-3"/>
    <n v="2E+20"/>
    <n v="0"/>
    <n v="2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6"/>
    <x v="8"/>
    <x v="1"/>
    <x v="1"/>
    <n v="86.506855364183593"/>
    <n v="3E+20"/>
    <n v="0"/>
    <n v="134"/>
    <n v="133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7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7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7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7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7"/>
    <x v="4"/>
    <x v="0"/>
    <x v="0"/>
    <n v="7.7653516416870899E-3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7"/>
    <x v="5"/>
    <x v="0"/>
    <x v="0"/>
    <n v="0.12698333938541401"/>
    <n v="2E+20"/>
    <n v="0"/>
    <n v="7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7"/>
    <x v="6"/>
    <x v="0"/>
    <x v="0"/>
    <n v="23.0878167914206"/>
    <n v="3E+20"/>
    <n v="0"/>
    <n v="56"/>
    <n v="42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7"/>
    <x v="7"/>
    <x v="0"/>
    <x v="0"/>
    <n v="6.0747412273096204"/>
    <n v="3E+20"/>
    <n v="0"/>
    <n v="32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7"/>
    <x v="8"/>
    <x v="1"/>
    <x v="1"/>
    <n v="78.157118884588698"/>
    <n v="3E+20"/>
    <n v="0"/>
    <n v="109"/>
    <n v="80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8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8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8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8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8"/>
    <x v="4"/>
    <x v="0"/>
    <x v="0"/>
    <n v="2.71300465177188E-2"/>
    <n v="2E+20"/>
    <n v="0"/>
    <n v="3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8"/>
    <x v="5"/>
    <x v="0"/>
    <x v="0"/>
    <n v="0.90551785077173497"/>
    <n v="2E+20"/>
    <n v="0"/>
    <n v="18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8"/>
    <x v="6"/>
    <x v="0"/>
    <x v="0"/>
    <n v="6.8157639077322002E-2"/>
    <n v="2E+20"/>
    <n v="0"/>
    <n v="7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8"/>
    <x v="7"/>
    <x v="0"/>
    <x v="0"/>
    <n v="42.684614626171097"/>
    <n v="3E+20"/>
    <n v="0"/>
    <n v="78"/>
    <n v="77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8"/>
    <x v="8"/>
    <x v="1"/>
    <x v="1"/>
    <n v="92.466946094088399"/>
    <n v="3E+20"/>
    <n v="0"/>
    <n v="136"/>
    <n v="132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19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19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19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19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19"/>
    <x v="4"/>
    <x v="0"/>
    <x v="0"/>
    <n v="1.44547846002124"/>
    <n v="2E+20"/>
    <n v="0"/>
    <n v="17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19"/>
    <x v="5"/>
    <x v="0"/>
    <x v="0"/>
    <n v="16.503426793059798"/>
    <n v="3E+20"/>
    <n v="0"/>
    <n v="43"/>
    <n v="22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19"/>
    <x v="6"/>
    <x v="0"/>
    <x v="0"/>
    <n v="6.9636748909122099"/>
    <n v="3E+20"/>
    <n v="0"/>
    <n v="39"/>
    <n v="4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19"/>
    <x v="7"/>
    <x v="0"/>
    <x v="0"/>
    <n v="1.1050459687600499E-2"/>
    <n v="2E+20"/>
    <n v="0"/>
    <n v="2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19"/>
    <x v="8"/>
    <x v="1"/>
    <x v="1"/>
    <n v="72.662161224371602"/>
    <n v="3E+20"/>
    <n v="0"/>
    <n v="107"/>
    <n v="77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0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0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0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0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0"/>
    <x v="4"/>
    <x v="0"/>
    <x v="0"/>
    <n v="5.6699633436653603"/>
    <n v="3E+20"/>
    <n v="0"/>
    <n v="3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0"/>
    <x v="5"/>
    <x v="0"/>
    <x v="0"/>
    <n v="4.2868311118046103E-3"/>
    <n v="2E+20"/>
    <n v="0"/>
    <n v="1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0"/>
    <x v="6"/>
    <x v="0"/>
    <x v="0"/>
    <n v="7.0449042906428599E-3"/>
    <n v="2E+20"/>
    <n v="0"/>
    <n v="2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0"/>
    <x v="7"/>
    <x v="0"/>
    <x v="0"/>
    <n v="31.261941493130401"/>
    <n v="3E+20"/>
    <n v="0"/>
    <n v="68"/>
    <n v="48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0"/>
    <x v="8"/>
    <x v="1"/>
    <x v="1"/>
    <n v="87.764765650574304"/>
    <n v="3E+20"/>
    <n v="0"/>
    <n v="119"/>
    <n v="7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1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1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1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1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1"/>
    <x v="4"/>
    <x v="0"/>
    <x v="0"/>
    <n v="0.16130149665885099"/>
    <n v="2E+20"/>
    <n v="0"/>
    <n v="9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1"/>
    <x v="5"/>
    <x v="0"/>
    <x v="0"/>
    <n v="5.4920208415729803"/>
    <n v="3E+20"/>
    <n v="0"/>
    <n v="38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1"/>
    <x v="6"/>
    <x v="0"/>
    <x v="0"/>
    <n v="20.7248661641413"/>
    <n v="3E+20"/>
    <n v="0"/>
    <n v="70"/>
    <n v="7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1"/>
    <x v="7"/>
    <x v="0"/>
    <x v="0"/>
    <n v="0.36260640674167199"/>
    <n v="2E+20"/>
    <n v="0"/>
    <n v="14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1"/>
    <x v="8"/>
    <x v="1"/>
    <x v="1"/>
    <n v="73.860870546855196"/>
    <n v="3E+20"/>
    <n v="0"/>
    <n v="129"/>
    <n v="12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2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2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2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2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2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2"/>
    <x v="5"/>
    <x v="0"/>
    <x v="0"/>
    <n v="25.705314964126"/>
    <n v="3E+20"/>
    <n v="0"/>
    <n v="46"/>
    <n v="44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2"/>
    <x v="6"/>
    <x v="0"/>
    <x v="0"/>
    <n v="0.49765726600776899"/>
    <n v="2E+20"/>
    <n v="0"/>
    <n v="9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2"/>
    <x v="7"/>
    <x v="0"/>
    <x v="0"/>
    <n v="0.41930310442079299"/>
    <n v="2E+20"/>
    <n v="0"/>
    <n v="8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2"/>
    <x v="8"/>
    <x v="1"/>
    <x v="1"/>
    <n v="72.6461457975484"/>
    <n v="3E+20"/>
    <n v="0"/>
    <n v="103"/>
    <n v="94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3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3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3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3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3"/>
    <x v="4"/>
    <x v="0"/>
    <x v="0"/>
    <n v="38.078147260668999"/>
    <n v="3E+20"/>
    <n v="0"/>
    <n v="76"/>
    <n v="5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3"/>
    <x v="5"/>
    <x v="0"/>
    <x v="0"/>
    <n v="0"/>
    <n v="2E+20"/>
    <n v="0"/>
    <n v="0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3"/>
    <x v="6"/>
    <x v="0"/>
    <x v="0"/>
    <n v="0.94797306437523199"/>
    <n v="2E+20"/>
    <n v="0"/>
    <n v="20"/>
    <n v="15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3"/>
    <x v="7"/>
    <x v="0"/>
    <x v="0"/>
    <n v="2.0807854326836002"/>
    <n v="3E+20"/>
    <n v="0"/>
    <n v="16"/>
    <n v="3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3"/>
    <x v="8"/>
    <x v="1"/>
    <x v="1"/>
    <n v="89.932933319156902"/>
    <n v="3E+20"/>
    <n v="0"/>
    <n v="129"/>
    <n v="80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4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4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4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4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4"/>
    <x v="4"/>
    <x v="0"/>
    <x v="0"/>
    <n v="1.8643428294934501"/>
    <n v="3E+20"/>
    <n v="0"/>
    <n v="15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4"/>
    <x v="5"/>
    <x v="0"/>
    <x v="0"/>
    <n v="0"/>
    <n v="2E+20"/>
    <n v="0"/>
    <n v="0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4"/>
    <x v="6"/>
    <x v="0"/>
    <x v="0"/>
    <n v="32.143287516906597"/>
    <n v="3E+20"/>
    <n v="0"/>
    <n v="55"/>
    <n v="53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4"/>
    <x v="7"/>
    <x v="0"/>
    <x v="0"/>
    <n v="2.47981429368343E-4"/>
    <n v="2E+20"/>
    <n v="0"/>
    <n v="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4"/>
    <x v="8"/>
    <x v="1"/>
    <x v="1"/>
    <n v="83.0588838658188"/>
    <n v="3E+20"/>
    <n v="0"/>
    <n v="112"/>
    <n v="10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5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5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5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5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5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5"/>
    <x v="5"/>
    <x v="0"/>
    <x v="0"/>
    <n v="0.272182065890754"/>
    <n v="2E+20"/>
    <n v="0"/>
    <n v="9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5"/>
    <x v="6"/>
    <x v="0"/>
    <x v="0"/>
    <n v="22.6014295867848"/>
    <n v="3E+20"/>
    <n v="0"/>
    <n v="43"/>
    <n v="2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5"/>
    <x v="7"/>
    <x v="0"/>
    <x v="0"/>
    <n v="6.94300274369742"/>
    <n v="3E+20"/>
    <n v="0"/>
    <n v="37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5"/>
    <x v="8"/>
    <x v="1"/>
    <x v="1"/>
    <n v="81.033225108724395"/>
    <n v="3E+20"/>
    <n v="0"/>
    <n v="118"/>
    <n v="78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6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6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6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6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6"/>
    <x v="4"/>
    <x v="0"/>
    <x v="0"/>
    <n v="3.6175063927925501E-2"/>
    <n v="2E+20"/>
    <n v="0"/>
    <n v="3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6"/>
    <x v="5"/>
    <x v="0"/>
    <x v="0"/>
    <n v="49.6745792704859"/>
    <n v="3E+20"/>
    <n v="0"/>
    <n v="90"/>
    <n v="89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6"/>
    <x v="6"/>
    <x v="0"/>
    <x v="0"/>
    <n v="8.5461889715262501E-2"/>
    <n v="2E+20"/>
    <n v="0"/>
    <n v="8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6"/>
    <x v="7"/>
    <x v="0"/>
    <x v="0"/>
    <n v="0"/>
    <n v="2E+20"/>
    <n v="0"/>
    <n v="0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6"/>
    <x v="8"/>
    <x v="1"/>
    <x v="1"/>
    <n v="95.776287349056702"/>
    <n v="3E+20"/>
    <n v="0"/>
    <n v="145"/>
    <n v="144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7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7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7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7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7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7"/>
    <x v="5"/>
    <x v="0"/>
    <x v="0"/>
    <n v="6.0800661082241403"/>
    <n v="3E+20"/>
    <n v="0"/>
    <n v="22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7"/>
    <x v="6"/>
    <x v="0"/>
    <x v="0"/>
    <n v="14.2470837531377"/>
    <n v="3E+20"/>
    <n v="0"/>
    <n v="36"/>
    <n v="18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7"/>
    <x v="7"/>
    <x v="0"/>
    <x v="0"/>
    <n v="0.74896166348244397"/>
    <n v="2E+20"/>
    <n v="0"/>
    <n v="10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7"/>
    <x v="8"/>
    <x v="1"/>
    <x v="1"/>
    <n v="66.375821436154496"/>
    <n v="3E+20"/>
    <n v="0"/>
    <n v="98"/>
    <n v="54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8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8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8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8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8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8"/>
    <x v="5"/>
    <x v="0"/>
    <x v="0"/>
    <n v="2.0794883576931502"/>
    <n v="3E+20"/>
    <n v="0"/>
    <n v="20"/>
    <n v="15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8"/>
    <x v="6"/>
    <x v="0"/>
    <x v="0"/>
    <n v="31.979452960092001"/>
    <n v="3E+20"/>
    <n v="0"/>
    <n v="60"/>
    <n v="59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8"/>
    <x v="7"/>
    <x v="0"/>
    <x v="0"/>
    <n v="5.6945170381159503E-2"/>
    <n v="2E+20"/>
    <n v="0"/>
    <n v="6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8"/>
    <x v="8"/>
    <x v="1"/>
    <x v="1"/>
    <n v="78.148134545210297"/>
    <n v="3E+20"/>
    <n v="0"/>
    <n v="121"/>
    <n v="119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29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29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29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29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29"/>
    <x v="4"/>
    <x v="0"/>
    <x v="0"/>
    <n v="6.9151595461946005E-2"/>
    <n v="2E+20"/>
    <n v="0"/>
    <n v="5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29"/>
    <x v="5"/>
    <x v="0"/>
    <x v="0"/>
    <n v="5.8499746907433803"/>
    <n v="3E+20"/>
    <n v="0"/>
    <n v="46"/>
    <n v="39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29"/>
    <x v="6"/>
    <x v="0"/>
    <x v="0"/>
    <n v="7.8005957384898403"/>
    <n v="3E+20"/>
    <n v="0"/>
    <n v="29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29"/>
    <x v="7"/>
    <x v="0"/>
    <x v="0"/>
    <n v="1.2919117253374099"/>
    <n v="3E+20"/>
    <n v="0"/>
    <n v="12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29"/>
    <x v="8"/>
    <x v="1"/>
    <x v="1"/>
    <n v="65.387876956561698"/>
    <n v="3E+20"/>
    <n v="0"/>
    <n v="98"/>
    <n v="88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0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0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0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0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0"/>
    <x v="4"/>
    <x v="0"/>
    <x v="0"/>
    <n v="17.340373887504899"/>
    <n v="3E+20"/>
    <n v="0"/>
    <n v="49"/>
    <n v="1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0"/>
    <x v="5"/>
    <x v="0"/>
    <x v="0"/>
    <n v="15.6957300914094"/>
    <n v="3E+20"/>
    <n v="0"/>
    <n v="72"/>
    <n v="7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0"/>
    <x v="6"/>
    <x v="0"/>
    <x v="0"/>
    <n v="2.71755767369143E-2"/>
    <n v="2E+20"/>
    <n v="0"/>
    <n v="3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0"/>
    <x v="7"/>
    <x v="0"/>
    <x v="0"/>
    <n v="8.9309912153272303E-2"/>
    <n v="2E+20"/>
    <n v="0"/>
    <n v="7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0"/>
    <x v="8"/>
    <x v="1"/>
    <x v="1"/>
    <n v="79.609908009154907"/>
    <n v="3E+20"/>
    <n v="0"/>
    <n v="115"/>
    <n v="114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1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1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1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1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1"/>
    <x v="4"/>
    <x v="0"/>
    <x v="0"/>
    <n v="0.20362715283547"/>
    <n v="2E+20"/>
    <n v="0"/>
    <n v="6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1"/>
    <x v="5"/>
    <x v="0"/>
    <x v="0"/>
    <n v="12.8604968343006"/>
    <n v="3E+20"/>
    <n v="0"/>
    <n v="30"/>
    <n v="2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1"/>
    <x v="6"/>
    <x v="0"/>
    <x v="0"/>
    <n v="0"/>
    <n v="2E+20"/>
    <n v="0"/>
    <n v="0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1"/>
    <x v="7"/>
    <x v="0"/>
    <x v="0"/>
    <n v="17.7485575750419"/>
    <n v="3E+20"/>
    <n v="0"/>
    <n v="55"/>
    <n v="27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1"/>
    <x v="8"/>
    <x v="1"/>
    <x v="1"/>
    <n v="79.484040352662802"/>
    <n v="3E+20"/>
    <n v="0"/>
    <n v="109"/>
    <n v="86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2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2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2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2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2"/>
    <x v="4"/>
    <x v="0"/>
    <x v="0"/>
    <n v="0.81657263696043103"/>
    <n v="2E+20"/>
    <n v="0"/>
    <n v="1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2"/>
    <x v="5"/>
    <x v="0"/>
    <x v="0"/>
    <n v="30.120582555059698"/>
    <n v="3E+20"/>
    <n v="0"/>
    <n v="62"/>
    <n v="4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2"/>
    <x v="6"/>
    <x v="0"/>
    <x v="0"/>
    <n v="3.0101560444015799E-2"/>
    <n v="2E+20"/>
    <n v="0"/>
    <n v="2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2"/>
    <x v="7"/>
    <x v="0"/>
    <x v="0"/>
    <n v="2.6241228036279202E-4"/>
    <n v="2E+20"/>
    <n v="0"/>
    <n v="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2"/>
    <x v="8"/>
    <x v="1"/>
    <x v="1"/>
    <n v="77.347557593364201"/>
    <n v="3E+20"/>
    <n v="0"/>
    <n v="121"/>
    <n v="11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3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3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3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3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3"/>
    <x v="4"/>
    <x v="0"/>
    <x v="0"/>
    <n v="0.102018008091147"/>
    <n v="2E+20"/>
    <n v="0"/>
    <n v="7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3"/>
    <x v="5"/>
    <x v="0"/>
    <x v="0"/>
    <n v="3.51096067634439E-2"/>
    <n v="2E+20"/>
    <n v="0"/>
    <n v="4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3"/>
    <x v="6"/>
    <x v="0"/>
    <x v="0"/>
    <n v="22.096003456613399"/>
    <n v="3E+20"/>
    <n v="0"/>
    <n v="63"/>
    <n v="18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3"/>
    <x v="7"/>
    <x v="0"/>
    <x v="0"/>
    <n v="2.33915723808511"/>
    <n v="3E+20"/>
    <n v="0"/>
    <n v="17"/>
    <n v="11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3"/>
    <x v="8"/>
    <x v="1"/>
    <x v="1"/>
    <n v="72.874761369909095"/>
    <n v="3E+20"/>
    <n v="0"/>
    <n v="116"/>
    <n v="78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4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4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4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4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4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4"/>
    <x v="5"/>
    <x v="0"/>
    <x v="0"/>
    <n v="11.5895477214336"/>
    <n v="3E+20"/>
    <n v="0"/>
    <n v="30"/>
    <n v="25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4"/>
    <x v="6"/>
    <x v="0"/>
    <x v="0"/>
    <n v="1.37190596384296"/>
    <n v="3E+20"/>
    <n v="0"/>
    <n v="18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4"/>
    <x v="7"/>
    <x v="0"/>
    <x v="0"/>
    <n v="2.46977057134466"/>
    <n v="3E+20"/>
    <n v="0"/>
    <n v="18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4"/>
    <x v="8"/>
    <x v="1"/>
    <x v="1"/>
    <n v="64.823768609200599"/>
    <n v="3E+20"/>
    <n v="0"/>
    <n v="94"/>
    <n v="66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5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5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5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5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5"/>
    <x v="4"/>
    <x v="0"/>
    <x v="0"/>
    <n v="4.3962100121412002E-2"/>
    <n v="2E+20"/>
    <n v="0"/>
    <n v="4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5"/>
    <x v="5"/>
    <x v="0"/>
    <x v="0"/>
    <n v="6.3405633177990302"/>
    <n v="3E+20"/>
    <n v="0"/>
    <n v="32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5"/>
    <x v="6"/>
    <x v="0"/>
    <x v="0"/>
    <n v="21.477655195481901"/>
    <n v="3E+20"/>
    <n v="0"/>
    <n v="82"/>
    <n v="77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5"/>
    <x v="7"/>
    <x v="0"/>
    <x v="0"/>
    <n v="0.260453791087225"/>
    <n v="2E+20"/>
    <n v="0"/>
    <n v="8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5"/>
    <x v="8"/>
    <x v="1"/>
    <x v="1"/>
    <n v="77.494298544064307"/>
    <n v="3E+20"/>
    <n v="0"/>
    <n v="132"/>
    <n v="129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6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6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6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6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6"/>
    <x v="4"/>
    <x v="0"/>
    <x v="0"/>
    <n v="2.62952840749205E-3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6"/>
    <x v="5"/>
    <x v="0"/>
    <x v="0"/>
    <n v="7.7478377277689402E-3"/>
    <n v="2E+20"/>
    <n v="0"/>
    <n v="2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6"/>
    <x v="6"/>
    <x v="0"/>
    <x v="0"/>
    <n v="2.31612374899295"/>
    <n v="3E+20"/>
    <n v="0"/>
    <n v="20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6"/>
    <x v="7"/>
    <x v="0"/>
    <x v="0"/>
    <n v="32.373093069493898"/>
    <n v="3E+20"/>
    <n v="0"/>
    <n v="70"/>
    <n v="45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6"/>
    <x v="8"/>
    <x v="1"/>
    <x v="1"/>
    <n v="81.511756697261305"/>
    <n v="3E+20"/>
    <n v="0"/>
    <n v="120"/>
    <n v="82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7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7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7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7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7"/>
    <x v="4"/>
    <x v="0"/>
    <x v="0"/>
    <n v="8.0359151230142999E-4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7"/>
    <x v="5"/>
    <x v="0"/>
    <x v="0"/>
    <n v="0.15649706055125601"/>
    <n v="2E+20"/>
    <n v="0"/>
    <n v="5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7"/>
    <x v="6"/>
    <x v="0"/>
    <x v="0"/>
    <n v="1.43780103784318"/>
    <n v="3E+20"/>
    <n v="0"/>
    <n v="15"/>
    <n v="14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7"/>
    <x v="7"/>
    <x v="0"/>
    <x v="0"/>
    <n v="25.9675585547545"/>
    <n v="3E+20"/>
    <n v="0"/>
    <n v="53"/>
    <n v="28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7"/>
    <x v="8"/>
    <x v="1"/>
    <x v="1"/>
    <n v="73.287987428914306"/>
    <n v="3E+20"/>
    <n v="0"/>
    <n v="95"/>
    <n v="89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8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8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8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8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8"/>
    <x v="4"/>
    <x v="0"/>
    <x v="0"/>
    <n v="1.5898725251931398E-2"/>
    <n v="2E+20"/>
    <n v="0"/>
    <n v="3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8"/>
    <x v="5"/>
    <x v="0"/>
    <x v="0"/>
    <n v="17.7580801144384"/>
    <n v="3E+20"/>
    <n v="0"/>
    <n v="47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8"/>
    <x v="6"/>
    <x v="0"/>
    <x v="0"/>
    <n v="1.16430292117263E-3"/>
    <n v="2E+20"/>
    <n v="0"/>
    <n v="1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8"/>
    <x v="7"/>
    <x v="0"/>
    <x v="0"/>
    <n v="13.6202708058713"/>
    <n v="3E+20"/>
    <n v="0"/>
    <n v="38"/>
    <n v="18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8"/>
    <x v="8"/>
    <x v="1"/>
    <x v="1"/>
    <n v="82.587180746415996"/>
    <n v="3E+20"/>
    <n v="0"/>
    <n v="109"/>
    <n v="7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39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39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39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39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39"/>
    <x v="4"/>
    <x v="0"/>
    <x v="0"/>
    <n v="0.17234516829393001"/>
    <n v="2E+20"/>
    <n v="0"/>
    <n v="6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39"/>
    <x v="5"/>
    <x v="0"/>
    <x v="0"/>
    <n v="22.184785919243499"/>
    <n v="3E+20"/>
    <n v="0"/>
    <n v="72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39"/>
    <x v="6"/>
    <x v="0"/>
    <x v="0"/>
    <n v="18.816873049722599"/>
    <n v="3E+20"/>
    <n v="0"/>
    <n v="114"/>
    <n v="114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39"/>
    <x v="7"/>
    <x v="0"/>
    <x v="0"/>
    <n v="5.2102803807922205E-4"/>
    <n v="2E+20"/>
    <n v="0"/>
    <n v="1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39"/>
    <x v="8"/>
    <x v="1"/>
    <x v="1"/>
    <n v="87.564048325963597"/>
    <n v="3E+20"/>
    <n v="0"/>
    <n v="165"/>
    <n v="151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0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0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0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0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0"/>
    <x v="4"/>
    <x v="0"/>
    <x v="0"/>
    <n v="1.588716070015"/>
    <n v="3E+20"/>
    <n v="0"/>
    <n v="12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0"/>
    <x v="5"/>
    <x v="0"/>
    <x v="0"/>
    <n v="1.8060691587987201E-2"/>
    <n v="2E+20"/>
    <n v="0"/>
    <n v="3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0"/>
    <x v="6"/>
    <x v="0"/>
    <x v="0"/>
    <n v="4.1767739497896699"/>
    <n v="3E+20"/>
    <n v="0"/>
    <n v="24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0"/>
    <x v="7"/>
    <x v="0"/>
    <x v="0"/>
    <n v="39.428263027017898"/>
    <n v="3E+20"/>
    <n v="0"/>
    <n v="132"/>
    <n v="132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0"/>
    <x v="8"/>
    <x v="1"/>
    <x v="1"/>
    <n v="89.756547798025693"/>
    <n v="3E+20"/>
    <n v="0"/>
    <n v="173"/>
    <n v="167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1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1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1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1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1"/>
    <x v="4"/>
    <x v="0"/>
    <x v="0"/>
    <n v="0.37286577836453799"/>
    <n v="2E+20"/>
    <n v="0"/>
    <n v="7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1"/>
    <x v="5"/>
    <x v="0"/>
    <x v="0"/>
    <n v="11.129549944544999"/>
    <n v="3E+20"/>
    <n v="0"/>
    <n v="44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1"/>
    <x v="6"/>
    <x v="0"/>
    <x v="0"/>
    <n v="29.278775689372601"/>
    <n v="3E+20"/>
    <n v="0"/>
    <n v="92"/>
    <n v="92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1"/>
    <x v="7"/>
    <x v="0"/>
    <x v="0"/>
    <n v="2.5887945121970801E-2"/>
    <n v="2E+20"/>
    <n v="0"/>
    <n v="4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1"/>
    <x v="8"/>
    <x v="1"/>
    <x v="1"/>
    <n v="83.929946126055995"/>
    <n v="3E+20"/>
    <n v="0"/>
    <n v="135"/>
    <n v="135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2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2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2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2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2"/>
    <x v="4"/>
    <x v="0"/>
    <x v="0"/>
    <n v="4.76561131640872E-4"/>
    <n v="2E+20"/>
    <n v="0"/>
    <n v="1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2"/>
    <x v="5"/>
    <x v="0"/>
    <x v="0"/>
    <n v="32.9921640502344"/>
    <n v="3E+20"/>
    <n v="0"/>
    <n v="69"/>
    <n v="15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2"/>
    <x v="6"/>
    <x v="0"/>
    <x v="0"/>
    <n v="4.0218583521783602"/>
    <n v="3E+20"/>
    <n v="0"/>
    <n v="30"/>
    <n v="29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2"/>
    <x v="7"/>
    <x v="0"/>
    <x v="0"/>
    <n v="9.0179433979443294E-2"/>
    <n v="2E+20"/>
    <n v="0"/>
    <n v="6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2"/>
    <x v="8"/>
    <x v="1"/>
    <x v="1"/>
    <n v="82.089526504419197"/>
    <n v="3E+20"/>
    <n v="0"/>
    <n v="119"/>
    <n v="87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3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3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3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3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3"/>
    <x v="4"/>
    <x v="0"/>
    <x v="0"/>
    <n v="28.8579591177831"/>
    <n v="3E+20"/>
    <n v="0"/>
    <n v="56"/>
    <n v="53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3"/>
    <x v="5"/>
    <x v="0"/>
    <x v="0"/>
    <n v="2.4692761666114001E-2"/>
    <n v="2E+20"/>
    <n v="0"/>
    <n v="3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3"/>
    <x v="6"/>
    <x v="0"/>
    <x v="0"/>
    <n v="8.3369798506062395E-2"/>
    <n v="2E+20"/>
    <n v="0"/>
    <n v="7"/>
    <n v="2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3"/>
    <x v="7"/>
    <x v="0"/>
    <x v="0"/>
    <n v="0.12574752246587401"/>
    <n v="2E+20"/>
    <n v="0"/>
    <n v="6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3"/>
    <x v="8"/>
    <x v="1"/>
    <x v="1"/>
    <n v="76.7134217415107"/>
    <n v="3E+20"/>
    <n v="0"/>
    <n v="108"/>
    <n v="107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4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4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4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4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4"/>
    <x v="4"/>
    <x v="0"/>
    <x v="0"/>
    <n v="0"/>
    <n v="2E+20"/>
    <n v="0"/>
    <n v="0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4"/>
    <x v="5"/>
    <x v="0"/>
    <x v="0"/>
    <n v="34.758436849178402"/>
    <n v="3E+20"/>
    <n v="0"/>
    <n v="76"/>
    <n v="24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4"/>
    <x v="6"/>
    <x v="0"/>
    <x v="0"/>
    <n v="4.4019752918547796"/>
    <n v="3E+20"/>
    <n v="0"/>
    <n v="36"/>
    <n v="34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4"/>
    <x v="7"/>
    <x v="0"/>
    <x v="0"/>
    <n v="3.9643527131145301E-2"/>
    <n v="2E+20"/>
    <n v="0"/>
    <n v="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4"/>
    <x v="8"/>
    <x v="1"/>
    <x v="1"/>
    <n v="85.099474178253701"/>
    <n v="3E+20"/>
    <n v="0"/>
    <n v="120"/>
    <n v="102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5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5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5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5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5"/>
    <x v="4"/>
    <x v="0"/>
    <x v="0"/>
    <n v="2.3642651671269999"/>
    <n v="2E+20"/>
    <n v="0"/>
    <n v="23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5"/>
    <x v="5"/>
    <x v="0"/>
    <x v="0"/>
    <n v="1.7177003227865299E-2"/>
    <n v="2E+20"/>
    <n v="0"/>
    <n v="3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5"/>
    <x v="6"/>
    <x v="0"/>
    <x v="0"/>
    <n v="37.840325479262198"/>
    <n v="3E+20"/>
    <n v="0"/>
    <n v="77"/>
    <n v="74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5"/>
    <x v="7"/>
    <x v="0"/>
    <x v="0"/>
    <n v="0.60616394903347404"/>
    <n v="2E+20"/>
    <n v="0"/>
    <n v="1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5"/>
    <x v="8"/>
    <x v="1"/>
    <x v="1"/>
    <n v="88.972081015771394"/>
    <n v="3E+20"/>
    <n v="0"/>
    <n v="128"/>
    <n v="128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6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6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6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6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6"/>
    <x v="4"/>
    <x v="0"/>
    <x v="0"/>
    <n v="1.19910245799422E-2"/>
    <n v="2E+20"/>
    <n v="0"/>
    <n v="2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6"/>
    <x v="5"/>
    <x v="0"/>
    <x v="0"/>
    <n v="12.347462465141099"/>
    <n v="3E+20"/>
    <n v="0"/>
    <n v="42"/>
    <n v="24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6"/>
    <x v="6"/>
    <x v="0"/>
    <x v="0"/>
    <n v="23.1618598089775"/>
    <n v="3E+20"/>
    <n v="0"/>
    <n v="44"/>
    <n v="37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6"/>
    <x v="7"/>
    <x v="0"/>
    <x v="0"/>
    <n v="1.6541160425999998E-2"/>
    <n v="2E+20"/>
    <n v="0"/>
    <n v="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6"/>
    <x v="8"/>
    <x v="1"/>
    <x v="1"/>
    <n v="85.963727064590998"/>
    <n v="3E+20"/>
    <n v="0"/>
    <n v="110"/>
    <n v="107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7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7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7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7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7"/>
    <x v="4"/>
    <x v="0"/>
    <x v="0"/>
    <n v="16.229696001182599"/>
    <n v="3E+20"/>
    <n v="0"/>
    <n v="39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7"/>
    <x v="5"/>
    <x v="0"/>
    <x v="0"/>
    <n v="1.9326973886509499E-2"/>
    <n v="2E+20"/>
    <n v="0"/>
    <n v="3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7"/>
    <x v="6"/>
    <x v="0"/>
    <x v="0"/>
    <n v="14.931441566575501"/>
    <n v="3E+20"/>
    <n v="0"/>
    <n v="54"/>
    <n v="53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7"/>
    <x v="7"/>
    <x v="0"/>
    <x v="0"/>
    <n v="3.6854001624709302E-2"/>
    <n v="2E+20"/>
    <n v="0"/>
    <n v="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7"/>
    <x v="8"/>
    <x v="1"/>
    <x v="1"/>
    <n v="78.502933658615703"/>
    <n v="3E+20"/>
    <n v="0"/>
    <n v="105"/>
    <n v="92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8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8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8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8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8"/>
    <x v="4"/>
    <x v="0"/>
    <x v="0"/>
    <n v="1.3404273102259601"/>
    <n v="3E+20"/>
    <n v="0"/>
    <n v="10"/>
    <n v="3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8"/>
    <x v="5"/>
    <x v="0"/>
    <x v="0"/>
    <n v="32.812543225000901"/>
    <n v="3E+20"/>
    <n v="0"/>
    <n v="64"/>
    <n v="54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8"/>
    <x v="6"/>
    <x v="0"/>
    <x v="0"/>
    <n v="3.42382502135746E-2"/>
    <n v="2E+20"/>
    <n v="0"/>
    <n v="3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8"/>
    <x v="7"/>
    <x v="0"/>
    <x v="0"/>
    <n v="2.9586047554005599E-2"/>
    <n v="2E+20"/>
    <n v="0"/>
    <n v="3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8"/>
    <x v="8"/>
    <x v="1"/>
    <x v="1"/>
    <n v="79.414914296447094"/>
    <n v="3E+20"/>
    <n v="0"/>
    <n v="117"/>
    <n v="104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49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49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49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49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49"/>
    <x v="4"/>
    <x v="0"/>
    <x v="0"/>
    <n v="1.1301253893513901E-2"/>
    <n v="2E+20"/>
    <n v="0"/>
    <n v="2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49"/>
    <x v="5"/>
    <x v="0"/>
    <x v="0"/>
    <n v="3.4237254657957199"/>
    <n v="3E+20"/>
    <n v="0"/>
    <n v="29"/>
    <n v="0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49"/>
    <x v="6"/>
    <x v="0"/>
    <x v="0"/>
    <n v="5.3013297945345601E-2"/>
    <n v="2E+20"/>
    <n v="0"/>
    <n v="3"/>
    <n v="1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49"/>
    <x v="7"/>
    <x v="0"/>
    <x v="0"/>
    <n v="28.227136751481201"/>
    <n v="3E+20"/>
    <n v="0"/>
    <n v="71"/>
    <n v="59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49"/>
    <x v="8"/>
    <x v="1"/>
    <x v="1"/>
    <n v="78.637545180880196"/>
    <n v="3E+20"/>
    <n v="0"/>
    <n v="120"/>
    <n v="106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  <r>
    <x v="0"/>
    <s v="2025-03-22 23:28:40"/>
    <n v="50"/>
    <x v="0"/>
    <x v="0"/>
    <x v="0"/>
    <n v="0"/>
    <n v="2E+20"/>
    <n v="0"/>
    <n v="0"/>
    <n v="0"/>
    <n v="0"/>
    <s v="Unnamed ProjectQueue Bicycle A.QueueNumber WaitingQueue"/>
    <n v="50"/>
    <n v="0"/>
    <n v="0"/>
    <n v="0.95"/>
    <n v="0"/>
    <n v="0"/>
    <n v="0"/>
    <n v="0"/>
  </r>
  <r>
    <x v="0"/>
    <s v="2025-03-22 23:28:40"/>
    <n v="50"/>
    <x v="1"/>
    <x v="0"/>
    <x v="0"/>
    <n v="0"/>
    <n v="2E+20"/>
    <n v="0"/>
    <n v="0"/>
    <n v="0"/>
    <n v="0"/>
    <s v="Unnamed ProjectQueue Bicycle B.QueueNumber WaitingQueue"/>
    <n v="50"/>
    <n v="0"/>
    <n v="0"/>
    <n v="0.95"/>
    <n v="0"/>
    <n v="0"/>
    <n v="0"/>
    <n v="0"/>
  </r>
  <r>
    <x v="0"/>
    <s v="2025-03-22 23:28:40"/>
    <n v="50"/>
    <x v="2"/>
    <x v="0"/>
    <x v="0"/>
    <n v="0"/>
    <n v="2E+20"/>
    <n v="0"/>
    <n v="0"/>
    <n v="0"/>
    <n v="0"/>
    <s v="Unnamed ProjectQueue Bicycle C.QueueNumber WaitingQueue"/>
    <n v="50"/>
    <n v="0"/>
    <n v="0"/>
    <n v="0.95"/>
    <n v="0"/>
    <n v="0"/>
    <n v="0"/>
    <n v="0"/>
  </r>
  <r>
    <x v="0"/>
    <s v="2025-03-22 23:28:40"/>
    <n v="50"/>
    <x v="3"/>
    <x v="0"/>
    <x v="0"/>
    <n v="0"/>
    <n v="2E+20"/>
    <n v="0"/>
    <n v="0"/>
    <n v="0"/>
    <n v="0"/>
    <s v="Unnamed ProjectQueue Bicycle D.QueueNumber WaitingQueue"/>
    <n v="50"/>
    <n v="0"/>
    <n v="0"/>
    <n v="0.95"/>
    <n v="0"/>
    <n v="0"/>
    <n v="0"/>
    <n v="0"/>
  </r>
  <r>
    <x v="0"/>
    <s v="2025-03-22 23:28:40"/>
    <n v="50"/>
    <x v="4"/>
    <x v="0"/>
    <x v="0"/>
    <n v="0.77566099508666997"/>
    <n v="2E+20"/>
    <n v="0"/>
    <n v="9"/>
    <n v="0"/>
    <n v="0"/>
    <s v="Unnamed ProjectQueue for Docking at A.QueueNumber WaitingQueue"/>
    <n v="50"/>
    <n v="2.8871283890006634"/>
    <n v="7.4297943271921492"/>
    <n v="0.95"/>
    <n v="2.1115241847680202"/>
    <n v="0"/>
    <n v="38.078147260668999"/>
    <n v="2.1115241847680202"/>
  </r>
  <r>
    <x v="0"/>
    <s v="2025-03-22 23:28:40"/>
    <n v="50"/>
    <x v="5"/>
    <x v="0"/>
    <x v="0"/>
    <n v="18.354168872823902"/>
    <n v="3E+20"/>
    <n v="0"/>
    <n v="46"/>
    <n v="13"/>
    <n v="0"/>
    <s v="Unnamed ProjectQueue for Docking at B.QueueNumber WaitingQueue"/>
    <n v="50"/>
    <n v="10.300939961694064"/>
    <n v="12.591318355395982"/>
    <n v="0.95"/>
    <n v="3.578413083149202"/>
    <n v="0"/>
    <n v="49.6745792704859"/>
    <n v="3.578413083149202"/>
  </r>
  <r>
    <x v="0"/>
    <s v="2025-03-22 23:28:40"/>
    <n v="50"/>
    <x v="6"/>
    <x v="0"/>
    <x v="0"/>
    <n v="8.4901057187232407"/>
    <n v="3E+20"/>
    <n v="0"/>
    <n v="37"/>
    <n v="0"/>
    <n v="0"/>
    <s v="Unnamed ProjectQueue for Docking at C.QueueNumber WaitingQueue"/>
    <n v="50"/>
    <n v="13.668950565960596"/>
    <n v="14.918757707880999"/>
    <n v="0.95"/>
    <n v="4.2398640284824616"/>
    <n v="0"/>
    <n v="51.634328282384999"/>
    <n v="4.2398640284824616"/>
  </r>
  <r>
    <x v="0"/>
    <s v="2025-03-22 23:28:40"/>
    <n v="50"/>
    <x v="7"/>
    <x v="0"/>
    <x v="0"/>
    <n v="3.7009056007591197E-2"/>
    <n v="2E+20"/>
    <n v="0"/>
    <n v="4"/>
    <n v="0"/>
    <n v="0"/>
    <s v="Unnamed ProjectQueue for Docking at D.QueueNumber WaitingQueue"/>
    <n v="50"/>
    <n v="6.6343440618541374"/>
    <n v="12.25830238155738"/>
    <n v="0.95"/>
    <n v="3.4837709905544232"/>
    <n v="0"/>
    <n v="42.684614626171097"/>
    <n v="3.4837709905544232"/>
  </r>
  <r>
    <x v="0"/>
    <s v="2025-03-22 23:28:40"/>
    <n v="50"/>
    <x v="8"/>
    <x v="1"/>
    <x v="1"/>
    <n v="76.353666856901398"/>
    <n v="3E+20"/>
    <n v="0"/>
    <n v="101"/>
    <n v="61"/>
    <n v="0"/>
    <s v="Unnamed ProjectTouristWIPEntity"/>
    <n v="50"/>
    <n v="80.792913498587723"/>
    <n v="9.6302090367600357"/>
    <n v="0.95"/>
    <n v="2.7368751260137634"/>
    <n v="60.764515331306598"/>
    <n v="102.902066283605"/>
    <n v="2.736875126013763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0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1"/>
        <item x="2"/>
      </items>
    </pivotField>
    <pivotField axis="axisRow" compact="0" outline="0" showAll="0" defaultSubtotal="0">
      <items count="7">
        <item x="1"/>
        <item x="0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1"/>
        <item m="1" x="3"/>
        <item x="0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701" tableType="queryTable" totalsRowShown="0">
  <autoFilter ref="A1:Y701" xr:uid="{C3D003CA-1AFF-426C-A03D-D3AF5760DF1A}"/>
  <sortState xmlns:xlrd2="http://schemas.microsoft.com/office/spreadsheetml/2017/richdata2" ref="A2:Y701">
    <sortCondition ref="D1:D7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4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3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2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1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0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9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8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7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6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5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4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3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2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1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51" tableType="queryTable" totalsRowShown="0">
  <autoFilter ref="A1:U4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7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6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6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6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6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6" x14ac:dyDescent="0.4"/>
  <cols>
    <col min="1" max="1" width="15.23046875" bestFit="1" customWidth="1"/>
    <col min="2" max="2" width="80.61328125" bestFit="1" customWidth="1"/>
    <col min="3" max="3" width="17.765625" bestFit="1" customWidth="1"/>
    <col min="4" max="4" width="11.4609375" bestFit="1" customWidth="1"/>
    <col min="5" max="5" width="22.07421875" bestFit="1" customWidth="1"/>
    <col min="6" max="6" width="23.53515625" bestFit="1" customWidth="1"/>
    <col min="7" max="7" width="18.84375" bestFit="1" customWidth="1"/>
    <col min="8" max="10" width="19.4609375" bestFit="1" customWidth="1"/>
    <col min="11" max="11" width="19.4609375" customWidth="1"/>
  </cols>
  <sheetData>
    <row r="1" spans="1:7" x14ac:dyDescent="0.4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">
      <c r="A2" t="s">
        <v>67</v>
      </c>
      <c r="B2" t="s">
        <v>68</v>
      </c>
      <c r="C2" t="s">
        <v>69</v>
      </c>
      <c r="D2">
        <v>2</v>
      </c>
      <c r="E2">
        <v>50</v>
      </c>
      <c r="F2">
        <v>2160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4.6" x14ac:dyDescent="0.4"/>
  <cols>
    <col min="1" max="1" width="33.23046875" customWidth="1"/>
    <col min="2" max="2" width="28.69140625" bestFit="1" customWidth="1"/>
    <col min="3" max="3" width="12.53515625" bestFit="1" customWidth="1"/>
    <col min="4" max="4" width="8.69140625" bestFit="1" customWidth="1"/>
    <col min="5" max="5" width="28.15234375" bestFit="1" customWidth="1"/>
    <col min="6" max="6" width="19.23046875" bestFit="1" customWidth="1"/>
    <col min="7" max="7" width="11.84375" bestFit="1" customWidth="1"/>
    <col min="8" max="8" width="26.15234375" bestFit="1" customWidth="1"/>
    <col min="9" max="9" width="26.23046875" bestFit="1" customWidth="1"/>
    <col min="10" max="10" width="26.61328125" bestFit="1" customWidth="1"/>
    <col min="11" max="11" width="15.765625" bestFit="1" customWidth="1"/>
    <col min="12" max="12" width="16.15234375" bestFit="1" customWidth="1"/>
    <col min="13" max="13" width="28.61328125" bestFit="1" customWidth="1"/>
    <col min="14" max="14" width="27.69140625" bestFit="1" customWidth="1"/>
    <col min="15" max="15" width="18.69140625" bestFit="1" customWidth="1"/>
    <col min="16" max="16" width="12" bestFit="1" customWidth="1"/>
    <col min="17" max="17" width="12.53515625" bestFit="1" customWidth="1"/>
    <col min="18" max="18" width="8.69140625" bestFit="1" customWidth="1"/>
    <col min="19" max="19" width="28.15234375" bestFit="1" customWidth="1"/>
    <col min="20" max="20" width="11.84375" bestFit="1" customWidth="1"/>
    <col min="21" max="21" width="26.15234375" bestFit="1" customWidth="1"/>
    <col min="22" max="22" width="21.3828125" bestFit="1" customWidth="1"/>
    <col min="23" max="23" width="21.765625" bestFit="1" customWidth="1"/>
    <col min="24" max="24" width="15.765625" bestFit="1" customWidth="1"/>
    <col min="25" max="25" width="16.15234375" bestFit="1" customWidth="1"/>
    <col min="26" max="26" width="16.3046875" bestFit="1" customWidth="1"/>
    <col min="27" max="27" width="20.69140625" bestFit="1" customWidth="1"/>
    <col min="28" max="28" width="24.69140625" bestFit="1" customWidth="1"/>
    <col min="29" max="29" width="12" bestFit="1" customWidth="1"/>
    <col min="30" max="30" width="8.69140625" bestFit="1" customWidth="1"/>
    <col min="31" max="31" width="24.23046875" bestFit="1" customWidth="1"/>
    <col min="32" max="32" width="9.921875" bestFit="1" customWidth="1"/>
    <col min="33" max="33" width="28.69140625" bestFit="1" customWidth="1"/>
    <col min="34" max="34" width="19.23046875" bestFit="1" customWidth="1"/>
    <col min="35" max="35" width="19.61328125" bestFit="1" customWidth="1"/>
    <col min="36" max="36" width="19.84375" bestFit="1" customWidth="1"/>
    <col min="37" max="37" width="32.3046875" bestFit="1" customWidth="1"/>
    <col min="38" max="38" width="24.69140625" bestFit="1" customWidth="1"/>
    <col min="39" max="39" width="12" bestFit="1" customWidth="1"/>
    <col min="40" max="40" width="8.69140625" bestFit="1" customWidth="1"/>
    <col min="41" max="41" width="24.23046875" bestFit="1" customWidth="1"/>
    <col min="42" max="42" width="11.84375" bestFit="1" customWidth="1"/>
    <col min="43" max="43" width="28.69140625" bestFit="1" customWidth="1"/>
    <col min="44" max="44" width="19.23046875" bestFit="1" customWidth="1"/>
    <col min="45" max="45" width="19.61328125" bestFit="1" customWidth="1"/>
    <col min="46" max="46" width="19.84375" bestFit="1" customWidth="1"/>
    <col min="47" max="47" width="14.84375" bestFit="1" customWidth="1"/>
    <col min="48" max="48" width="20.69140625" bestFit="1" customWidth="1"/>
    <col min="49" max="49" width="26.3046875" bestFit="1" customWidth="1"/>
    <col min="50" max="50" width="8.69140625" bestFit="1" customWidth="1"/>
    <col min="51" max="51" width="25.69140625" bestFit="1" customWidth="1"/>
    <col min="52" max="52" width="26.53515625" bestFit="1" customWidth="1"/>
    <col min="53" max="53" width="27" bestFit="1" customWidth="1"/>
    <col min="54" max="54" width="24.84375" bestFit="1" customWidth="1"/>
    <col min="55" max="55" width="29.23046875" bestFit="1" customWidth="1"/>
    <col min="56" max="56" width="31.84375" bestFit="1" customWidth="1"/>
    <col min="57" max="57" width="21.765625" bestFit="1" customWidth="1"/>
  </cols>
  <sheetData>
    <row r="1" spans="1:52" ht="18.45" x14ac:dyDescent="0.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566.12</v>
      </c>
      <c r="O3" t="s">
        <v>67</v>
      </c>
      <c r="P3" t="s">
        <v>70</v>
      </c>
      <c r="Q3" t="s">
        <v>88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90</v>
      </c>
      <c r="AM3" t="s">
        <v>91</v>
      </c>
      <c r="AN3" t="s">
        <v>92</v>
      </c>
      <c r="AO3" s="5">
        <v>680.04</v>
      </c>
      <c r="AP3" s="5">
        <v>11.717027543029069</v>
      </c>
      <c r="AQ3" s="5">
        <v>41.228561528560341</v>
      </c>
      <c r="AR3" s="5">
        <v>596</v>
      </c>
      <c r="AS3" s="5">
        <v>763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">
      <c r="B4" t="s">
        <v>73</v>
      </c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563.44000000000005</v>
      </c>
      <c r="P4" t="s">
        <v>73</v>
      </c>
      <c r="Q4" t="s">
        <v>88</v>
      </c>
      <c r="R4" t="s">
        <v>72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93</v>
      </c>
      <c r="AM4" t="s">
        <v>94</v>
      </c>
      <c r="AN4" t="s">
        <v>82</v>
      </c>
      <c r="AO4" s="5">
        <v>783.7</v>
      </c>
      <c r="AP4" s="5">
        <v>8.7492267437816995</v>
      </c>
      <c r="AQ4" s="5">
        <v>30.785797149374726</v>
      </c>
      <c r="AR4" s="5">
        <v>715</v>
      </c>
      <c r="AS4" s="5">
        <v>841</v>
      </c>
    </row>
    <row r="5" spans="1:52" x14ac:dyDescent="0.4">
      <c r="B5" t="s">
        <v>74</v>
      </c>
      <c r="C5" t="s">
        <v>71</v>
      </c>
      <c r="D5" t="s">
        <v>72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541.12</v>
      </c>
      <c r="P5" t="s">
        <v>74</v>
      </c>
      <c r="Q5" t="s">
        <v>88</v>
      </c>
      <c r="R5" t="s">
        <v>72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95</v>
      </c>
      <c r="AM5" t="s">
        <v>91</v>
      </c>
      <c r="AN5" t="s">
        <v>82</v>
      </c>
      <c r="AO5" s="5">
        <v>680.04</v>
      </c>
      <c r="AP5" s="5">
        <v>11.717027543029069</v>
      </c>
      <c r="AQ5" s="5">
        <v>41.228561528560341</v>
      </c>
      <c r="AR5" s="5">
        <v>596</v>
      </c>
      <c r="AS5" s="5">
        <v>763</v>
      </c>
    </row>
    <row r="6" spans="1:52" x14ac:dyDescent="0.4">
      <c r="B6" t="s">
        <v>75</v>
      </c>
      <c r="C6" t="s">
        <v>71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545.6</v>
      </c>
      <c r="P6" t="s">
        <v>75</v>
      </c>
      <c r="Q6" t="s">
        <v>88</v>
      </c>
      <c r="R6" t="s">
        <v>72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</row>
    <row r="7" spans="1:52" x14ac:dyDescent="0.4">
      <c r="B7" t="s">
        <v>76</v>
      </c>
      <c r="C7" t="s">
        <v>71</v>
      </c>
      <c r="D7" t="s">
        <v>72</v>
      </c>
      <c r="E7" s="5">
        <v>11.175327412794363</v>
      </c>
      <c r="F7" s="5">
        <v>1</v>
      </c>
      <c r="G7" s="5">
        <v>8.1111945040912481</v>
      </c>
      <c r="H7" s="5">
        <v>28.540760910048576</v>
      </c>
      <c r="I7" s="5">
        <v>0</v>
      </c>
      <c r="J7" s="5">
        <v>147.54638400017501</v>
      </c>
      <c r="K7" s="5">
        <v>0</v>
      </c>
      <c r="L7" s="5">
        <v>309.99361754327998</v>
      </c>
      <c r="M7" s="5">
        <v>542.98</v>
      </c>
      <c r="P7" t="s">
        <v>76</v>
      </c>
      <c r="Q7" t="s">
        <v>88</v>
      </c>
      <c r="R7" t="s">
        <v>72</v>
      </c>
      <c r="S7" s="5">
        <v>2.8871283890006634</v>
      </c>
      <c r="T7" s="5">
        <v>2.1115241847680202</v>
      </c>
      <c r="U7" s="5">
        <v>7.4297943271921492</v>
      </c>
      <c r="V7" s="5">
        <v>0</v>
      </c>
      <c r="W7" s="5">
        <v>38.078147260668999</v>
      </c>
      <c r="X7" s="5">
        <v>0</v>
      </c>
      <c r="Y7" s="5">
        <v>76</v>
      </c>
    </row>
    <row r="8" spans="1:52" x14ac:dyDescent="0.4">
      <c r="B8" t="s">
        <v>77</v>
      </c>
      <c r="C8" t="s">
        <v>71</v>
      </c>
      <c r="D8" t="s">
        <v>72</v>
      </c>
      <c r="E8" s="5">
        <v>38.952903305784723</v>
      </c>
      <c r="F8" s="5">
        <v>1</v>
      </c>
      <c r="G8" s="5">
        <v>13.727654325228857</v>
      </c>
      <c r="H8" s="5">
        <v>48.303329399206255</v>
      </c>
      <c r="I8" s="5">
        <v>0</v>
      </c>
      <c r="J8" s="5">
        <v>184.584786754118</v>
      </c>
      <c r="K8" s="5">
        <v>0</v>
      </c>
      <c r="L8" s="5">
        <v>330.22742130715898</v>
      </c>
      <c r="M8" s="5">
        <v>550.36</v>
      </c>
      <c r="P8" t="s">
        <v>77</v>
      </c>
      <c r="Q8" t="s">
        <v>88</v>
      </c>
      <c r="R8" t="s">
        <v>72</v>
      </c>
      <c r="S8" s="5">
        <v>10.300939961694064</v>
      </c>
      <c r="T8" s="5">
        <v>3.578413083149202</v>
      </c>
      <c r="U8" s="5">
        <v>12.591318355395982</v>
      </c>
      <c r="V8" s="5">
        <v>0</v>
      </c>
      <c r="W8" s="5">
        <v>49.6745792704859</v>
      </c>
      <c r="X8" s="5">
        <v>0</v>
      </c>
      <c r="Y8" s="5">
        <v>91</v>
      </c>
    </row>
    <row r="9" spans="1:52" x14ac:dyDescent="0.4">
      <c r="B9" t="s">
        <v>78</v>
      </c>
      <c r="C9" t="s">
        <v>71</v>
      </c>
      <c r="D9" t="s">
        <v>72</v>
      </c>
      <c r="E9" s="5">
        <v>50.824632650223165</v>
      </c>
      <c r="F9" s="5">
        <v>1</v>
      </c>
      <c r="G9" s="5">
        <v>16.356235446387018</v>
      </c>
      <c r="H9" s="5">
        <v>57.552485645404253</v>
      </c>
      <c r="I9" s="5">
        <v>0</v>
      </c>
      <c r="J9" s="5">
        <v>219.113737291864</v>
      </c>
      <c r="K9" s="5">
        <v>0</v>
      </c>
      <c r="L9" s="5">
        <v>384.33785462031102</v>
      </c>
      <c r="M9" s="5">
        <v>534.29999999999995</v>
      </c>
      <c r="P9" t="s">
        <v>78</v>
      </c>
      <c r="Q9" t="s">
        <v>88</v>
      </c>
      <c r="R9" t="s">
        <v>72</v>
      </c>
      <c r="S9" s="5">
        <v>13.668950565960596</v>
      </c>
      <c r="T9" s="5">
        <v>4.2398640284824616</v>
      </c>
      <c r="U9" s="5">
        <v>14.918757707880999</v>
      </c>
      <c r="V9" s="5">
        <v>0</v>
      </c>
      <c r="W9" s="5">
        <v>51.634328282384999</v>
      </c>
      <c r="X9" s="5">
        <v>0</v>
      </c>
      <c r="Y9" s="5">
        <v>114</v>
      </c>
    </row>
    <row r="10" spans="1:52" x14ac:dyDescent="0.4">
      <c r="B10" t="s">
        <v>79</v>
      </c>
      <c r="C10" t="s">
        <v>71</v>
      </c>
      <c r="D10" t="s">
        <v>72</v>
      </c>
      <c r="E10" s="5">
        <v>24.198624521934118</v>
      </c>
      <c r="F10" s="5">
        <v>1</v>
      </c>
      <c r="G10" s="5">
        <v>12.545896076001801</v>
      </c>
      <c r="H10" s="5">
        <v>44.145091099328894</v>
      </c>
      <c r="I10" s="5">
        <v>0</v>
      </c>
      <c r="J10" s="5">
        <v>154.88526703072799</v>
      </c>
      <c r="K10" s="5">
        <v>0</v>
      </c>
      <c r="L10" s="5">
        <v>462.25630926871901</v>
      </c>
      <c r="M10" s="5">
        <v>526.28</v>
      </c>
      <c r="P10" t="s">
        <v>79</v>
      </c>
      <c r="Q10" t="s">
        <v>88</v>
      </c>
      <c r="R10" t="s">
        <v>72</v>
      </c>
      <c r="S10" s="5">
        <v>6.6343440618541374</v>
      </c>
      <c r="T10" s="5">
        <v>3.4837709905544232</v>
      </c>
      <c r="U10" s="5">
        <v>12.25830238155738</v>
      </c>
      <c r="V10" s="5">
        <v>0</v>
      </c>
      <c r="W10" s="5">
        <v>42.684614626171097</v>
      </c>
      <c r="X10" s="5">
        <v>0</v>
      </c>
      <c r="Y10" s="5">
        <v>132</v>
      </c>
    </row>
    <row r="11" spans="1:52" x14ac:dyDescent="0.4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680.04</v>
      </c>
      <c r="P11" t="s">
        <v>80</v>
      </c>
      <c r="Q11" t="s">
        <v>89</v>
      </c>
      <c r="R11" t="s">
        <v>82</v>
      </c>
      <c r="S11" s="5">
        <v>80.792913498587723</v>
      </c>
      <c r="T11" s="5">
        <v>2.7368751260137634</v>
      </c>
      <c r="U11" s="5">
        <v>9.6302090367600357</v>
      </c>
      <c r="V11" s="5">
        <v>60.764515331306598</v>
      </c>
      <c r="W11" s="5">
        <v>102.902066283605</v>
      </c>
      <c r="X11" s="5">
        <v>0</v>
      </c>
      <c r="Y11" s="5">
        <v>173</v>
      </c>
    </row>
    <row r="12" spans="1:52" x14ac:dyDescent="0.4">
      <c r="C12" t="s">
        <v>83</v>
      </c>
      <c r="D12" t="s">
        <v>82</v>
      </c>
      <c r="E12" s="5">
        <v>119.072877588487</v>
      </c>
      <c r="F12" s="5">
        <v>1</v>
      </c>
      <c r="G12" s="5">
        <v>0.31273919539597844</v>
      </c>
      <c r="H12" s="5">
        <v>1.1004315823637869</v>
      </c>
      <c r="I12" s="5">
        <v>116.869916756062</v>
      </c>
      <c r="J12" s="5">
        <v>121.279055923125</v>
      </c>
      <c r="K12" s="5">
        <v>55.773522793583801</v>
      </c>
      <c r="L12" s="5">
        <v>203.50100513585599</v>
      </c>
      <c r="M12" s="5">
        <v>680.04</v>
      </c>
    </row>
    <row r="13" spans="1:52" x14ac:dyDescent="0.4">
      <c r="C13" t="s">
        <v>84</v>
      </c>
      <c r="D13" t="s">
        <v>82</v>
      </c>
      <c r="E13" s="5">
        <v>230.87278063103886</v>
      </c>
      <c r="F13" s="5">
        <v>1</v>
      </c>
      <c r="G13" s="5">
        <v>8.1030167016926651</v>
      </c>
      <c r="H13" s="5">
        <v>28.511985776754724</v>
      </c>
      <c r="I13" s="5">
        <v>176.63374267103799</v>
      </c>
      <c r="J13" s="5">
        <v>310.30313247646598</v>
      </c>
      <c r="K13" s="5">
        <v>74.823945578616801</v>
      </c>
      <c r="L13" s="5">
        <v>640.81970303432195</v>
      </c>
      <c r="M13" s="5">
        <v>680.04</v>
      </c>
    </row>
    <row r="14" spans="1:52" x14ac:dyDescent="0.4">
      <c r="C14" t="s">
        <v>85</v>
      </c>
      <c r="D14" t="s">
        <v>82</v>
      </c>
      <c r="E14" s="5">
        <v>19.788825490074792</v>
      </c>
      <c r="F14" s="5">
        <v>1</v>
      </c>
      <c r="G14" s="5">
        <v>9.3664325535411846E-2</v>
      </c>
      <c r="H14" s="5">
        <v>0.32957551684388431</v>
      </c>
      <c r="I14" s="5">
        <v>19.1753932585017</v>
      </c>
      <c r="J14" s="5">
        <v>20.6416816415399</v>
      </c>
      <c r="K14" s="5">
        <v>6.0540217345149898</v>
      </c>
      <c r="L14" s="5">
        <v>49.959821430489797</v>
      </c>
      <c r="M14" s="5">
        <v>680.04</v>
      </c>
    </row>
    <row r="15" spans="1:52" x14ac:dyDescent="0.4">
      <c r="C15" t="s">
        <v>86</v>
      </c>
      <c r="D15" t="s">
        <v>82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680.04</v>
      </c>
    </row>
    <row r="16" spans="1:52" x14ac:dyDescent="0.4">
      <c r="C16" t="s">
        <v>87</v>
      </c>
      <c r="D16" t="s">
        <v>82</v>
      </c>
      <c r="E16" s="5">
        <v>92.011077552476877</v>
      </c>
      <c r="F16" s="5">
        <v>1</v>
      </c>
      <c r="G16" s="5">
        <v>8.0696892219473568</v>
      </c>
      <c r="H16" s="5">
        <v>28.394716781335426</v>
      </c>
      <c r="I16" s="5">
        <v>37.235943946119903</v>
      </c>
      <c r="J16" s="5">
        <v>170.78088451033599</v>
      </c>
      <c r="K16" s="5">
        <v>0</v>
      </c>
      <c r="L16" s="5">
        <v>458.06693976826199</v>
      </c>
      <c r="M16" s="5">
        <v>680.04</v>
      </c>
    </row>
  </sheetData>
  <dataConsolidate/>
  <conditionalFormatting pivot="1" sqref="G3:G16">
    <cfRule type="expression" dxfId="37" priority="10">
      <formula>G3=200000000000000000000</formula>
    </cfRule>
  </conditionalFormatting>
  <conditionalFormatting pivot="1" sqref="T3:T11">
    <cfRule type="expression" dxfId="36" priority="9">
      <formula>T3=200000000000000000000</formula>
    </cfRule>
  </conditionalFormatting>
  <conditionalFormatting pivot="1" sqref="T3:T11">
    <cfRule type="expression" dxfId="35" priority="8">
      <formula>T3=300000000000000000000</formula>
    </cfRule>
  </conditionalFormatting>
  <conditionalFormatting pivot="1" sqref="G3:G16">
    <cfRule type="expression" dxfId="34" priority="7">
      <formula>G3=300000000000000000000</formula>
    </cfRule>
  </conditionalFormatting>
  <conditionalFormatting pivot="1" sqref="F3:F16">
    <cfRule type="expression" dxfId="33" priority="6">
      <formula>F3=0</formula>
    </cfRule>
  </conditionalFormatting>
  <conditionalFormatting pivot="1" sqref="F3:F16">
    <cfRule type="expression" dxfId="32" priority="5">
      <formula>F3=1</formula>
    </cfRule>
  </conditionalFormatting>
  <conditionalFormatting pivot="1" sqref="T3:T11">
    <cfRule type="expression" dxfId="31" priority="4">
      <formula>T3=400000000000000000000</formula>
    </cfRule>
  </conditionalFormatting>
  <conditionalFormatting pivot="1" sqref="AP3:AP5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16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701"/>
  <sheetViews>
    <sheetView workbookViewId="0">
      <selection activeCell="K2" sqref="K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2.15234375" bestFit="1" customWidth="1"/>
    <col min="6" max="6" width="8.69140625" bestFit="1" customWidth="1"/>
    <col min="7" max="7" width="11.84375" bestFit="1" customWidth="1"/>
    <col min="8" max="8" width="22.07421875" bestFit="1" customWidth="1"/>
    <col min="9" max="10" width="11.84375" bestFit="1" customWidth="1"/>
    <col min="11" max="11" width="20.921875" bestFit="1" customWidth="1"/>
    <col min="12" max="12" width="57.61328125" bestFit="1" customWidth="1"/>
    <col min="13" max="13" width="16" bestFit="1" customWidth="1"/>
    <col min="14" max="14" width="18.69140625" bestFit="1" customWidth="1"/>
    <col min="15" max="15" width="16.69140625" bestFit="1" customWidth="1"/>
    <col min="16" max="16" width="18.84375" bestFit="1" customWidth="1"/>
    <col min="17" max="17" width="11.84375" bestFit="1" customWidth="1"/>
    <col min="18" max="18" width="18" bestFit="1" customWidth="1"/>
    <col min="19" max="19" width="18.3828125" bestFit="1" customWidth="1"/>
    <col min="20" max="20" width="17.15234375" bestFit="1" customWidth="1"/>
    <col min="21" max="21" width="17.53515625" bestFit="1" customWidth="1"/>
    <col min="22" max="22" width="27.84375" bestFit="1" customWidth="1"/>
    <col min="23" max="23" width="19.53515625" bestFit="1" customWidth="1"/>
    <col min="24" max="24" width="22.53515625" bestFit="1" customWidth="1"/>
    <col min="25" max="25" width="21" bestFit="1" customWidth="1"/>
  </cols>
  <sheetData>
    <row r="1" spans="1:2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577</v>
      </c>
      <c r="L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566.12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4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0</v>
      </c>
      <c r="I3">
        <v>0</v>
      </c>
      <c r="J3">
        <v>0</v>
      </c>
      <c r="K3">
        <v>568</v>
      </c>
      <c r="L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566.12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4">
      <c r="A4" t="s">
        <v>67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0</v>
      </c>
      <c r="I4">
        <v>0</v>
      </c>
      <c r="J4">
        <v>0</v>
      </c>
      <c r="K4">
        <v>510</v>
      </c>
      <c r="L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566.12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4">
      <c r="A5" t="s">
        <v>67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0</v>
      </c>
      <c r="I5">
        <v>0</v>
      </c>
      <c r="J5">
        <v>0</v>
      </c>
      <c r="K5">
        <v>544</v>
      </c>
      <c r="L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566.12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4">
      <c r="A6" t="s">
        <v>67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0</v>
      </c>
      <c r="I6">
        <v>0</v>
      </c>
      <c r="J6">
        <v>0</v>
      </c>
      <c r="K6">
        <v>542</v>
      </c>
      <c r="L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566.12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4">
      <c r="A7" t="s">
        <v>67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0</v>
      </c>
      <c r="I7">
        <v>0</v>
      </c>
      <c r="J7">
        <v>0</v>
      </c>
      <c r="K7">
        <v>594</v>
      </c>
      <c r="L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566.12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4">
      <c r="A8" t="s">
        <v>67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588</v>
      </c>
      <c r="L8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566.12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4">
      <c r="A9" t="s">
        <v>67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</v>
      </c>
      <c r="H9">
        <v>0</v>
      </c>
      <c r="I9">
        <v>0</v>
      </c>
      <c r="J9">
        <v>0</v>
      </c>
      <c r="K9">
        <v>531</v>
      </c>
      <c r="L9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566.12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4">
      <c r="A10" t="s">
        <v>67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</v>
      </c>
      <c r="H10">
        <v>0</v>
      </c>
      <c r="I10">
        <v>0</v>
      </c>
      <c r="J10">
        <v>0</v>
      </c>
      <c r="K10">
        <v>567</v>
      </c>
      <c r="L10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566.12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4">
      <c r="A11" t="s">
        <v>67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563</v>
      </c>
      <c r="L11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566.12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4">
      <c r="A12" t="s">
        <v>67</v>
      </c>
      <c r="B12" t="s">
        <v>69</v>
      </c>
      <c r="C12">
        <v>11</v>
      </c>
      <c r="D12" t="s">
        <v>70</v>
      </c>
      <c r="E12" t="s">
        <v>71</v>
      </c>
      <c r="F12" t="s">
        <v>72</v>
      </c>
      <c r="G12">
        <v>0</v>
      </c>
      <c r="H12">
        <v>0</v>
      </c>
      <c r="I12">
        <v>0</v>
      </c>
      <c r="J12">
        <v>0</v>
      </c>
      <c r="K12">
        <v>582</v>
      </c>
      <c r="L1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566.12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4">
      <c r="A13" t="s">
        <v>67</v>
      </c>
      <c r="B13" t="s">
        <v>69</v>
      </c>
      <c r="C13">
        <v>12</v>
      </c>
      <c r="D13" t="s">
        <v>70</v>
      </c>
      <c r="E13" t="s">
        <v>71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584</v>
      </c>
      <c r="L1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566.12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4">
      <c r="A14" t="s">
        <v>67</v>
      </c>
      <c r="B14" t="s">
        <v>69</v>
      </c>
      <c r="C14">
        <v>13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579</v>
      </c>
      <c r="L1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566.12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4">
      <c r="A15" t="s">
        <v>67</v>
      </c>
      <c r="B15" t="s">
        <v>69</v>
      </c>
      <c r="C15">
        <v>14</v>
      </c>
      <c r="D15" t="s">
        <v>70</v>
      </c>
      <c r="E15" t="s">
        <v>71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547</v>
      </c>
      <c r="L1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566.12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4">
      <c r="A16" t="s">
        <v>67</v>
      </c>
      <c r="B16" t="s">
        <v>69</v>
      </c>
      <c r="C16">
        <v>15</v>
      </c>
      <c r="D16" t="s">
        <v>70</v>
      </c>
      <c r="E16" t="s">
        <v>71</v>
      </c>
      <c r="F16" t="s">
        <v>72</v>
      </c>
      <c r="G16">
        <v>0</v>
      </c>
      <c r="H16">
        <v>0</v>
      </c>
      <c r="I16">
        <v>0</v>
      </c>
      <c r="J16">
        <v>0</v>
      </c>
      <c r="K16">
        <v>560</v>
      </c>
      <c r="L1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566.12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4">
      <c r="A17" t="s">
        <v>67</v>
      </c>
      <c r="B17" t="s">
        <v>69</v>
      </c>
      <c r="C17">
        <v>16</v>
      </c>
      <c r="D17" t="s">
        <v>70</v>
      </c>
      <c r="E17" t="s">
        <v>71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552</v>
      </c>
      <c r="L1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566.12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4">
      <c r="A18" t="s">
        <v>67</v>
      </c>
      <c r="B18" t="s">
        <v>69</v>
      </c>
      <c r="C18">
        <v>17</v>
      </c>
      <c r="D18" t="s">
        <v>70</v>
      </c>
      <c r="E18" t="s">
        <v>71</v>
      </c>
      <c r="F18" t="s">
        <v>72</v>
      </c>
      <c r="G18">
        <v>0</v>
      </c>
      <c r="H18">
        <v>0</v>
      </c>
      <c r="I18">
        <v>0</v>
      </c>
      <c r="J18">
        <v>0</v>
      </c>
      <c r="K18">
        <v>569</v>
      </c>
      <c r="L18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566.12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4">
      <c r="A19" t="s">
        <v>67</v>
      </c>
      <c r="B19" t="s">
        <v>69</v>
      </c>
      <c r="C19">
        <v>18</v>
      </c>
      <c r="D19" t="s">
        <v>70</v>
      </c>
      <c r="E19" t="s">
        <v>71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553</v>
      </c>
      <c r="L19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566.12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4">
      <c r="A20" t="s">
        <v>67</v>
      </c>
      <c r="B20" t="s">
        <v>69</v>
      </c>
      <c r="C20">
        <v>19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573</v>
      </c>
      <c r="L20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566.12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4">
      <c r="A21" t="s">
        <v>67</v>
      </c>
      <c r="B21" t="s">
        <v>69</v>
      </c>
      <c r="C21">
        <v>20</v>
      </c>
      <c r="D21" t="s">
        <v>70</v>
      </c>
      <c r="E21" t="s">
        <v>71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589</v>
      </c>
      <c r="L21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566.12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4">
      <c r="A22" t="s">
        <v>67</v>
      </c>
      <c r="B22" t="s">
        <v>69</v>
      </c>
      <c r="C22">
        <v>21</v>
      </c>
      <c r="D22" t="s">
        <v>70</v>
      </c>
      <c r="E22" t="s">
        <v>71</v>
      </c>
      <c r="F22" t="s">
        <v>72</v>
      </c>
      <c r="G22">
        <v>0</v>
      </c>
      <c r="H22">
        <v>0</v>
      </c>
      <c r="I22">
        <v>0</v>
      </c>
      <c r="J22">
        <v>0</v>
      </c>
      <c r="K22">
        <v>578</v>
      </c>
      <c r="L2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566.12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4">
      <c r="A23" t="s">
        <v>67</v>
      </c>
      <c r="B23" t="s">
        <v>69</v>
      </c>
      <c r="C23">
        <v>22</v>
      </c>
      <c r="D23" t="s">
        <v>70</v>
      </c>
      <c r="E23" t="s">
        <v>71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563</v>
      </c>
      <c r="L2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566.12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4">
      <c r="A24" t="s">
        <v>67</v>
      </c>
      <c r="B24" t="s">
        <v>69</v>
      </c>
      <c r="C24">
        <v>23</v>
      </c>
      <c r="D24" t="s">
        <v>70</v>
      </c>
      <c r="E24" t="s">
        <v>71</v>
      </c>
      <c r="F24" t="s">
        <v>72</v>
      </c>
      <c r="G24">
        <v>0</v>
      </c>
      <c r="H24">
        <v>0</v>
      </c>
      <c r="I24">
        <v>0</v>
      </c>
      <c r="J24">
        <v>0</v>
      </c>
      <c r="K24">
        <v>557</v>
      </c>
      <c r="L2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566.12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4">
      <c r="A25" t="s">
        <v>67</v>
      </c>
      <c r="B25" t="s">
        <v>69</v>
      </c>
      <c r="C25">
        <v>24</v>
      </c>
      <c r="D25" t="s">
        <v>70</v>
      </c>
      <c r="E25" t="s">
        <v>71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582</v>
      </c>
      <c r="L2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566.12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4">
      <c r="A26" t="s">
        <v>67</v>
      </c>
      <c r="B26" t="s">
        <v>69</v>
      </c>
      <c r="C26">
        <v>25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607</v>
      </c>
      <c r="L2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566.12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4">
      <c r="A27" t="s">
        <v>67</v>
      </c>
      <c r="B27" t="s">
        <v>69</v>
      </c>
      <c r="C27">
        <v>26</v>
      </c>
      <c r="D27" t="s">
        <v>70</v>
      </c>
      <c r="E27" t="s">
        <v>71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591</v>
      </c>
      <c r="L2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566.12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4">
      <c r="A28" t="s">
        <v>67</v>
      </c>
      <c r="B28" t="s">
        <v>69</v>
      </c>
      <c r="C28">
        <v>27</v>
      </c>
      <c r="D28" t="s">
        <v>70</v>
      </c>
      <c r="E28" t="s">
        <v>71</v>
      </c>
      <c r="F28" t="s">
        <v>72</v>
      </c>
      <c r="G28">
        <v>0</v>
      </c>
      <c r="H28">
        <v>0</v>
      </c>
      <c r="I28">
        <v>0</v>
      </c>
      <c r="J28">
        <v>0</v>
      </c>
      <c r="K28">
        <v>535</v>
      </c>
      <c r="L28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566.12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4">
      <c r="A29" t="s">
        <v>67</v>
      </c>
      <c r="B29" t="s">
        <v>69</v>
      </c>
      <c r="C29">
        <v>28</v>
      </c>
      <c r="D29" t="s">
        <v>70</v>
      </c>
      <c r="E29" t="s">
        <v>71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552</v>
      </c>
      <c r="L29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566.12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4">
      <c r="A30" t="s">
        <v>67</v>
      </c>
      <c r="B30" t="s">
        <v>69</v>
      </c>
      <c r="C30">
        <v>29</v>
      </c>
      <c r="D30" t="s">
        <v>70</v>
      </c>
      <c r="E30" t="s">
        <v>71</v>
      </c>
      <c r="F30" t="s">
        <v>72</v>
      </c>
      <c r="G30">
        <v>0</v>
      </c>
      <c r="H30">
        <v>0</v>
      </c>
      <c r="I30">
        <v>0</v>
      </c>
      <c r="J30">
        <v>0</v>
      </c>
      <c r="K30">
        <v>612</v>
      </c>
      <c r="L30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566.12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4">
      <c r="A31" t="s">
        <v>67</v>
      </c>
      <c r="B31" t="s">
        <v>69</v>
      </c>
      <c r="C31">
        <v>30</v>
      </c>
      <c r="D31" t="s">
        <v>70</v>
      </c>
      <c r="E31" t="s">
        <v>71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576</v>
      </c>
      <c r="L31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566.12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4">
      <c r="A32" t="s">
        <v>67</v>
      </c>
      <c r="B32" t="s">
        <v>69</v>
      </c>
      <c r="C32">
        <v>31</v>
      </c>
      <c r="D32" t="s">
        <v>70</v>
      </c>
      <c r="E32" t="s">
        <v>71</v>
      </c>
      <c r="F32" t="s">
        <v>72</v>
      </c>
      <c r="G32">
        <v>0</v>
      </c>
      <c r="H32">
        <v>0</v>
      </c>
      <c r="I32">
        <v>0</v>
      </c>
      <c r="J32">
        <v>0</v>
      </c>
      <c r="K32">
        <v>576</v>
      </c>
      <c r="L3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566.12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4">
      <c r="A33" t="s">
        <v>67</v>
      </c>
      <c r="B33" t="s">
        <v>69</v>
      </c>
      <c r="C33">
        <v>32</v>
      </c>
      <c r="D33" t="s">
        <v>70</v>
      </c>
      <c r="E33" t="s">
        <v>71</v>
      </c>
      <c r="F33" t="s">
        <v>72</v>
      </c>
      <c r="G33">
        <v>0</v>
      </c>
      <c r="H33">
        <v>0</v>
      </c>
      <c r="I33">
        <v>0</v>
      </c>
      <c r="J33">
        <v>0</v>
      </c>
      <c r="K33">
        <v>558</v>
      </c>
      <c r="L3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566.12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4">
      <c r="A34" t="s">
        <v>67</v>
      </c>
      <c r="B34" t="s">
        <v>69</v>
      </c>
      <c r="C34">
        <v>33</v>
      </c>
      <c r="D34" t="s">
        <v>70</v>
      </c>
      <c r="E34" t="s">
        <v>71</v>
      </c>
      <c r="F34" t="s">
        <v>72</v>
      </c>
      <c r="G34">
        <v>0</v>
      </c>
      <c r="H34">
        <v>0</v>
      </c>
      <c r="I34">
        <v>0</v>
      </c>
      <c r="J34">
        <v>0</v>
      </c>
      <c r="K34">
        <v>570</v>
      </c>
      <c r="L3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566.12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4">
      <c r="A35" t="s">
        <v>67</v>
      </c>
      <c r="B35" t="s">
        <v>69</v>
      </c>
      <c r="C35">
        <v>34</v>
      </c>
      <c r="D35" t="s">
        <v>70</v>
      </c>
      <c r="E35" t="s">
        <v>71</v>
      </c>
      <c r="F35" t="s">
        <v>72</v>
      </c>
      <c r="G35">
        <v>0</v>
      </c>
      <c r="H35">
        <v>0</v>
      </c>
      <c r="I35">
        <v>0</v>
      </c>
      <c r="J35">
        <v>0</v>
      </c>
      <c r="K35">
        <v>587</v>
      </c>
      <c r="L3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566.12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4">
      <c r="A36" t="s">
        <v>67</v>
      </c>
      <c r="B36" t="s">
        <v>69</v>
      </c>
      <c r="C36">
        <v>35</v>
      </c>
      <c r="D36" t="s">
        <v>70</v>
      </c>
      <c r="E36" t="s">
        <v>71</v>
      </c>
      <c r="F36" t="s">
        <v>72</v>
      </c>
      <c r="G36">
        <v>0</v>
      </c>
      <c r="H36">
        <v>0</v>
      </c>
      <c r="I36">
        <v>0</v>
      </c>
      <c r="J36">
        <v>0</v>
      </c>
      <c r="K36">
        <v>601</v>
      </c>
      <c r="L3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566.12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4">
      <c r="A37" t="s">
        <v>67</v>
      </c>
      <c r="B37" t="s">
        <v>69</v>
      </c>
      <c r="C37">
        <v>36</v>
      </c>
      <c r="D37" t="s">
        <v>70</v>
      </c>
      <c r="E37" t="s">
        <v>71</v>
      </c>
      <c r="F37" t="s">
        <v>72</v>
      </c>
      <c r="G37">
        <v>0</v>
      </c>
      <c r="H37">
        <v>0</v>
      </c>
      <c r="I37">
        <v>0</v>
      </c>
      <c r="J37">
        <v>0</v>
      </c>
      <c r="K37">
        <v>549</v>
      </c>
      <c r="L3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566.12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4">
      <c r="A38" t="s">
        <v>67</v>
      </c>
      <c r="B38" t="s">
        <v>69</v>
      </c>
      <c r="C38">
        <v>37</v>
      </c>
      <c r="D38" t="s">
        <v>70</v>
      </c>
      <c r="E38" t="s">
        <v>71</v>
      </c>
      <c r="F38" t="s">
        <v>72</v>
      </c>
      <c r="G38">
        <v>0</v>
      </c>
      <c r="H38">
        <v>0</v>
      </c>
      <c r="I38">
        <v>0</v>
      </c>
      <c r="J38">
        <v>0</v>
      </c>
      <c r="K38">
        <v>536</v>
      </c>
      <c r="L38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566.12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4">
      <c r="A39" t="s">
        <v>67</v>
      </c>
      <c r="B39" t="s">
        <v>69</v>
      </c>
      <c r="C39">
        <v>38</v>
      </c>
      <c r="D39" t="s">
        <v>70</v>
      </c>
      <c r="E39" t="s">
        <v>71</v>
      </c>
      <c r="F39" t="s">
        <v>72</v>
      </c>
      <c r="G39">
        <v>0</v>
      </c>
      <c r="H39">
        <v>0</v>
      </c>
      <c r="I39">
        <v>0</v>
      </c>
      <c r="J39">
        <v>0</v>
      </c>
      <c r="K39">
        <v>593</v>
      </c>
      <c r="L39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566.12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4">
      <c r="A40" t="s">
        <v>67</v>
      </c>
      <c r="B40" t="s">
        <v>69</v>
      </c>
      <c r="C40">
        <v>39</v>
      </c>
      <c r="D40" t="s">
        <v>70</v>
      </c>
      <c r="E40" t="s">
        <v>71</v>
      </c>
      <c r="F40" t="s">
        <v>72</v>
      </c>
      <c r="G40">
        <v>0</v>
      </c>
      <c r="H40">
        <v>0</v>
      </c>
      <c r="I40">
        <v>0</v>
      </c>
      <c r="J40">
        <v>0</v>
      </c>
      <c r="K40">
        <v>586</v>
      </c>
      <c r="L40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566.12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4">
      <c r="A41" t="s">
        <v>67</v>
      </c>
      <c r="B41" t="s">
        <v>69</v>
      </c>
      <c r="C41">
        <v>40</v>
      </c>
      <c r="D41" t="s">
        <v>70</v>
      </c>
      <c r="E41" t="s">
        <v>71</v>
      </c>
      <c r="F41" t="s">
        <v>72</v>
      </c>
      <c r="G41">
        <v>0</v>
      </c>
      <c r="H41">
        <v>0</v>
      </c>
      <c r="I41">
        <v>0</v>
      </c>
      <c r="J41">
        <v>0</v>
      </c>
      <c r="K41">
        <v>502</v>
      </c>
      <c r="L41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566.12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4">
      <c r="A42" t="s">
        <v>67</v>
      </c>
      <c r="B42" t="s">
        <v>69</v>
      </c>
      <c r="C42">
        <v>41</v>
      </c>
      <c r="D42" t="s">
        <v>70</v>
      </c>
      <c r="E42" t="s">
        <v>71</v>
      </c>
      <c r="F42" t="s">
        <v>72</v>
      </c>
      <c r="G42">
        <v>0</v>
      </c>
      <c r="H42">
        <v>0</v>
      </c>
      <c r="I42">
        <v>0</v>
      </c>
      <c r="J42">
        <v>0</v>
      </c>
      <c r="K42">
        <v>547</v>
      </c>
      <c r="L4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566.12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4">
      <c r="A43" t="s">
        <v>67</v>
      </c>
      <c r="B43" t="s">
        <v>69</v>
      </c>
      <c r="C43">
        <v>42</v>
      </c>
      <c r="D43" t="s">
        <v>70</v>
      </c>
      <c r="E43" t="s">
        <v>71</v>
      </c>
      <c r="F43" t="s">
        <v>72</v>
      </c>
      <c r="G43">
        <v>0</v>
      </c>
      <c r="H43">
        <v>0</v>
      </c>
      <c r="I43">
        <v>0</v>
      </c>
      <c r="J43">
        <v>0</v>
      </c>
      <c r="K43">
        <v>548</v>
      </c>
      <c r="L4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566.12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4">
      <c r="A44" t="s">
        <v>67</v>
      </c>
      <c r="B44" t="s">
        <v>69</v>
      </c>
      <c r="C44">
        <v>43</v>
      </c>
      <c r="D44" t="s">
        <v>70</v>
      </c>
      <c r="E44" t="s">
        <v>71</v>
      </c>
      <c r="F44" t="s">
        <v>72</v>
      </c>
      <c r="G44">
        <v>0</v>
      </c>
      <c r="H44">
        <v>0</v>
      </c>
      <c r="I44">
        <v>0</v>
      </c>
      <c r="J44">
        <v>0</v>
      </c>
      <c r="K44">
        <v>532</v>
      </c>
      <c r="L4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566.12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4">
      <c r="A45" t="s">
        <v>67</v>
      </c>
      <c r="B45" t="s">
        <v>69</v>
      </c>
      <c r="C45">
        <v>44</v>
      </c>
      <c r="D45" t="s">
        <v>70</v>
      </c>
      <c r="E45" t="s">
        <v>71</v>
      </c>
      <c r="F45" t="s">
        <v>72</v>
      </c>
      <c r="G45">
        <v>0</v>
      </c>
      <c r="H45">
        <v>0</v>
      </c>
      <c r="I45">
        <v>0</v>
      </c>
      <c r="J45">
        <v>0</v>
      </c>
      <c r="K45">
        <v>568</v>
      </c>
      <c r="L4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566.12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4">
      <c r="A46" t="s">
        <v>67</v>
      </c>
      <c r="B46" t="s">
        <v>69</v>
      </c>
      <c r="C46">
        <v>45</v>
      </c>
      <c r="D46" t="s">
        <v>70</v>
      </c>
      <c r="E46" t="s">
        <v>71</v>
      </c>
      <c r="F46" t="s">
        <v>72</v>
      </c>
      <c r="G46">
        <v>0</v>
      </c>
      <c r="H46">
        <v>0</v>
      </c>
      <c r="I46">
        <v>0</v>
      </c>
      <c r="J46">
        <v>0</v>
      </c>
      <c r="K46">
        <v>579</v>
      </c>
      <c r="L4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566.12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4">
      <c r="A47" t="s">
        <v>67</v>
      </c>
      <c r="B47" t="s">
        <v>69</v>
      </c>
      <c r="C47">
        <v>46</v>
      </c>
      <c r="D47" t="s">
        <v>70</v>
      </c>
      <c r="E47" t="s">
        <v>71</v>
      </c>
      <c r="F47" t="s">
        <v>72</v>
      </c>
      <c r="G47">
        <v>0</v>
      </c>
      <c r="H47">
        <v>0</v>
      </c>
      <c r="I47">
        <v>0</v>
      </c>
      <c r="J47">
        <v>0</v>
      </c>
      <c r="K47">
        <v>620</v>
      </c>
      <c r="L4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566.12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4">
      <c r="A48" t="s">
        <v>67</v>
      </c>
      <c r="B48" t="s">
        <v>69</v>
      </c>
      <c r="C48">
        <v>47</v>
      </c>
      <c r="D48" t="s">
        <v>70</v>
      </c>
      <c r="E48" t="s">
        <v>71</v>
      </c>
      <c r="F48" t="s">
        <v>72</v>
      </c>
      <c r="G48">
        <v>0</v>
      </c>
      <c r="H48">
        <v>0</v>
      </c>
      <c r="I48">
        <v>0</v>
      </c>
      <c r="J48">
        <v>0</v>
      </c>
      <c r="K48">
        <v>559</v>
      </c>
      <c r="L48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566.12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4">
      <c r="A49" t="s">
        <v>67</v>
      </c>
      <c r="B49" t="s">
        <v>69</v>
      </c>
      <c r="C49">
        <v>48</v>
      </c>
      <c r="D49" t="s">
        <v>70</v>
      </c>
      <c r="E49" t="s">
        <v>71</v>
      </c>
      <c r="F49" t="s">
        <v>72</v>
      </c>
      <c r="G49">
        <v>0</v>
      </c>
      <c r="H49">
        <v>0</v>
      </c>
      <c r="I49">
        <v>0</v>
      </c>
      <c r="J49">
        <v>0</v>
      </c>
      <c r="K49">
        <v>548</v>
      </c>
      <c r="L49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566.12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4">
      <c r="A50" t="s">
        <v>67</v>
      </c>
      <c r="B50" t="s">
        <v>69</v>
      </c>
      <c r="C50">
        <v>49</v>
      </c>
      <c r="D50" t="s">
        <v>70</v>
      </c>
      <c r="E50" t="s">
        <v>71</v>
      </c>
      <c r="F50" t="s">
        <v>72</v>
      </c>
      <c r="G50">
        <v>0</v>
      </c>
      <c r="H50">
        <v>0</v>
      </c>
      <c r="I50">
        <v>0</v>
      </c>
      <c r="J50">
        <v>0</v>
      </c>
      <c r="K50">
        <v>545</v>
      </c>
      <c r="L50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566.12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4">
      <c r="A51" t="s">
        <v>67</v>
      </c>
      <c r="B51" t="s">
        <v>69</v>
      </c>
      <c r="C51">
        <v>50</v>
      </c>
      <c r="D51" t="s">
        <v>70</v>
      </c>
      <c r="E51" t="s">
        <v>71</v>
      </c>
      <c r="F51" t="s">
        <v>72</v>
      </c>
      <c r="G51">
        <v>0</v>
      </c>
      <c r="H51">
        <v>0</v>
      </c>
      <c r="I51">
        <v>0</v>
      </c>
      <c r="J51">
        <v>0</v>
      </c>
      <c r="K51">
        <v>577</v>
      </c>
      <c r="L51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566.12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4">
      <c r="A52" t="s">
        <v>67</v>
      </c>
      <c r="B52" t="s">
        <v>69</v>
      </c>
      <c r="C52">
        <v>1</v>
      </c>
      <c r="D52" t="s">
        <v>73</v>
      </c>
      <c r="E52" t="s">
        <v>71</v>
      </c>
      <c r="F52" t="s">
        <v>72</v>
      </c>
      <c r="G52">
        <v>0</v>
      </c>
      <c r="H52">
        <v>0</v>
      </c>
      <c r="I52">
        <v>0</v>
      </c>
      <c r="J52">
        <v>0</v>
      </c>
      <c r="K52">
        <v>546</v>
      </c>
      <c r="L5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2">
        <f>IF((DiscreteStatsTable[[#This Row],[RepsRequested]]&gt;1),DiscreteStatsTable[[#This Row],[HalfWidth]],DiscreteStatsTable[[#This Row],[BatchMeansHalfWidth]])</f>
        <v>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4">
      <c r="A53" t="s">
        <v>67</v>
      </c>
      <c r="B53" t="s">
        <v>69</v>
      </c>
      <c r="C53">
        <v>2</v>
      </c>
      <c r="D53" t="s">
        <v>73</v>
      </c>
      <c r="E53" t="s">
        <v>71</v>
      </c>
      <c r="F53" t="s">
        <v>72</v>
      </c>
      <c r="G53">
        <v>0</v>
      </c>
      <c r="H53">
        <v>0</v>
      </c>
      <c r="I53">
        <v>0</v>
      </c>
      <c r="J53">
        <v>0</v>
      </c>
      <c r="K53">
        <v>510</v>
      </c>
      <c r="L5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4">
      <c r="A54" t="s">
        <v>67</v>
      </c>
      <c r="B54" t="s">
        <v>69</v>
      </c>
      <c r="C54">
        <v>3</v>
      </c>
      <c r="D54" t="s">
        <v>73</v>
      </c>
      <c r="E54" t="s">
        <v>71</v>
      </c>
      <c r="F54" t="s">
        <v>72</v>
      </c>
      <c r="G54">
        <v>0</v>
      </c>
      <c r="H54">
        <v>0</v>
      </c>
      <c r="I54">
        <v>0</v>
      </c>
      <c r="J54">
        <v>0</v>
      </c>
      <c r="K54">
        <v>547</v>
      </c>
      <c r="L5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4">
      <c r="A55" t="s">
        <v>67</v>
      </c>
      <c r="B55" t="s">
        <v>69</v>
      </c>
      <c r="C55">
        <v>4</v>
      </c>
      <c r="D55" t="s">
        <v>73</v>
      </c>
      <c r="E55" t="s">
        <v>71</v>
      </c>
      <c r="F55" t="s">
        <v>72</v>
      </c>
      <c r="G55">
        <v>0</v>
      </c>
      <c r="H55">
        <v>0</v>
      </c>
      <c r="I55">
        <v>0</v>
      </c>
      <c r="J55">
        <v>0</v>
      </c>
      <c r="K55">
        <v>559</v>
      </c>
      <c r="L5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4">
      <c r="A56" t="s">
        <v>67</v>
      </c>
      <c r="B56" t="s">
        <v>69</v>
      </c>
      <c r="C56">
        <v>5</v>
      </c>
      <c r="D56" t="s">
        <v>73</v>
      </c>
      <c r="E56" t="s">
        <v>71</v>
      </c>
      <c r="F56" t="s">
        <v>72</v>
      </c>
      <c r="G56">
        <v>0</v>
      </c>
      <c r="H56">
        <v>0</v>
      </c>
      <c r="I56">
        <v>0</v>
      </c>
      <c r="J56">
        <v>0</v>
      </c>
      <c r="K56">
        <v>581</v>
      </c>
      <c r="L56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4">
      <c r="A57" t="s">
        <v>67</v>
      </c>
      <c r="B57" t="s">
        <v>69</v>
      </c>
      <c r="C57">
        <v>6</v>
      </c>
      <c r="D57" t="s">
        <v>73</v>
      </c>
      <c r="E57" t="s">
        <v>71</v>
      </c>
      <c r="F57" t="s">
        <v>72</v>
      </c>
      <c r="G57">
        <v>0</v>
      </c>
      <c r="H57">
        <v>0</v>
      </c>
      <c r="I57">
        <v>0</v>
      </c>
      <c r="J57">
        <v>0</v>
      </c>
      <c r="K57">
        <v>608</v>
      </c>
      <c r="L57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4">
      <c r="A58" t="s">
        <v>67</v>
      </c>
      <c r="B58" t="s">
        <v>69</v>
      </c>
      <c r="C58">
        <v>7</v>
      </c>
      <c r="D58" t="s">
        <v>73</v>
      </c>
      <c r="E58" t="s">
        <v>71</v>
      </c>
      <c r="F58" t="s">
        <v>72</v>
      </c>
      <c r="G58">
        <v>0</v>
      </c>
      <c r="H58">
        <v>0</v>
      </c>
      <c r="I58">
        <v>0</v>
      </c>
      <c r="J58">
        <v>0</v>
      </c>
      <c r="K58">
        <v>507</v>
      </c>
      <c r="L5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8">
        <f>IF((DiscreteStatsTable[[#This Row],[RepsRequested]]&gt;1),DiscreteStatsTable[[#This Row],[HalfWidth]],DiscreteStatsTable[[#This Row],[BatchMeansHalfWidth]])</f>
        <v>0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4">
      <c r="A59" t="s">
        <v>67</v>
      </c>
      <c r="B59" t="s">
        <v>69</v>
      </c>
      <c r="C59">
        <v>8</v>
      </c>
      <c r="D59" t="s">
        <v>73</v>
      </c>
      <c r="E59" t="s">
        <v>71</v>
      </c>
      <c r="F59" t="s">
        <v>72</v>
      </c>
      <c r="G59">
        <v>0</v>
      </c>
      <c r="H59">
        <v>0</v>
      </c>
      <c r="I59">
        <v>0</v>
      </c>
      <c r="J59">
        <v>0</v>
      </c>
      <c r="K59">
        <v>524</v>
      </c>
      <c r="L5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4">
      <c r="A60" t="s">
        <v>67</v>
      </c>
      <c r="B60" t="s">
        <v>69</v>
      </c>
      <c r="C60">
        <v>9</v>
      </c>
      <c r="D60" t="s">
        <v>73</v>
      </c>
      <c r="E60" t="s">
        <v>71</v>
      </c>
      <c r="F60" t="s">
        <v>72</v>
      </c>
      <c r="G60">
        <v>0</v>
      </c>
      <c r="H60">
        <v>0</v>
      </c>
      <c r="I60">
        <v>0</v>
      </c>
      <c r="J60">
        <v>0</v>
      </c>
      <c r="K60">
        <v>620</v>
      </c>
      <c r="L6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4">
      <c r="A61" t="s">
        <v>67</v>
      </c>
      <c r="B61" t="s">
        <v>69</v>
      </c>
      <c r="C61">
        <v>10</v>
      </c>
      <c r="D61" t="s">
        <v>73</v>
      </c>
      <c r="E61" t="s">
        <v>71</v>
      </c>
      <c r="F61" t="s">
        <v>72</v>
      </c>
      <c r="G61">
        <v>0</v>
      </c>
      <c r="H61">
        <v>0</v>
      </c>
      <c r="I61">
        <v>0</v>
      </c>
      <c r="J61">
        <v>0</v>
      </c>
      <c r="K61">
        <v>596</v>
      </c>
      <c r="L6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4">
      <c r="A62" t="s">
        <v>67</v>
      </c>
      <c r="B62" t="s">
        <v>69</v>
      </c>
      <c r="C62">
        <v>11</v>
      </c>
      <c r="D62" t="s">
        <v>73</v>
      </c>
      <c r="E62" t="s">
        <v>71</v>
      </c>
      <c r="F62" t="s">
        <v>72</v>
      </c>
      <c r="G62">
        <v>0</v>
      </c>
      <c r="H62">
        <v>0</v>
      </c>
      <c r="I62">
        <v>0</v>
      </c>
      <c r="J62">
        <v>0</v>
      </c>
      <c r="K62">
        <v>609</v>
      </c>
      <c r="L6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>
        <f>IF(DiscreteStatsTable[[#This Row],[RepsRequested]]=DiscreteStatsTable[[#This Row],[RepsWithStatObserved]],1,0)</f>
        <v>1</v>
      </c>
    </row>
    <row r="63" spans="1:25" x14ac:dyDescent="0.4">
      <c r="A63" t="s">
        <v>67</v>
      </c>
      <c r="B63" t="s">
        <v>69</v>
      </c>
      <c r="C63">
        <v>12</v>
      </c>
      <c r="D63" t="s">
        <v>73</v>
      </c>
      <c r="E63" t="s">
        <v>71</v>
      </c>
      <c r="F63" t="s">
        <v>72</v>
      </c>
      <c r="G63">
        <v>0</v>
      </c>
      <c r="H63">
        <v>0</v>
      </c>
      <c r="I63">
        <v>0</v>
      </c>
      <c r="J63">
        <v>0</v>
      </c>
      <c r="K63">
        <v>573</v>
      </c>
      <c r="L6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>
        <f>IF(DiscreteStatsTable[[#This Row],[RepsRequested]]=DiscreteStatsTable[[#This Row],[RepsWithStatObserved]],1,0)</f>
        <v>1</v>
      </c>
    </row>
    <row r="64" spans="1:25" x14ac:dyDescent="0.4">
      <c r="A64" t="s">
        <v>67</v>
      </c>
      <c r="B64" t="s">
        <v>69</v>
      </c>
      <c r="C64">
        <v>13</v>
      </c>
      <c r="D64" t="s">
        <v>73</v>
      </c>
      <c r="E64" t="s">
        <v>71</v>
      </c>
      <c r="F64" t="s">
        <v>72</v>
      </c>
      <c r="G64">
        <v>0</v>
      </c>
      <c r="H64">
        <v>0</v>
      </c>
      <c r="I64">
        <v>0</v>
      </c>
      <c r="J64">
        <v>0</v>
      </c>
      <c r="K64">
        <v>592</v>
      </c>
      <c r="L6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0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0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4">
        <f>IF((DiscreteStatsTable[[#This Row],[RepsRequested]]&gt;1),DiscreteStatsTable[[#This Row],[HalfWidth]],DiscreteStatsTable[[#This Row],[BatchMeansHalfWidth]])</f>
        <v>0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>
        <f>IF(DiscreteStatsTable[[#This Row],[RepsRequested]]=DiscreteStatsTable[[#This Row],[RepsWithStatObserved]],1,0)</f>
        <v>1</v>
      </c>
    </row>
    <row r="65" spans="1:25" x14ac:dyDescent="0.4">
      <c r="A65" t="s">
        <v>67</v>
      </c>
      <c r="B65" t="s">
        <v>69</v>
      </c>
      <c r="C65">
        <v>14</v>
      </c>
      <c r="D65" t="s">
        <v>73</v>
      </c>
      <c r="E65" t="s">
        <v>71</v>
      </c>
      <c r="F65" t="s">
        <v>72</v>
      </c>
      <c r="G65">
        <v>0</v>
      </c>
      <c r="H65">
        <v>0</v>
      </c>
      <c r="I65">
        <v>0</v>
      </c>
      <c r="J65">
        <v>0</v>
      </c>
      <c r="K65">
        <v>514</v>
      </c>
      <c r="L6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>
        <f>IF(DiscreteStatsTable[[#This Row],[RepsRequested]]=DiscreteStatsTable[[#This Row],[RepsWithStatObserved]],1,0)</f>
        <v>1</v>
      </c>
    </row>
    <row r="66" spans="1:25" x14ac:dyDescent="0.4">
      <c r="A66" t="s">
        <v>67</v>
      </c>
      <c r="B66" t="s">
        <v>69</v>
      </c>
      <c r="C66">
        <v>15</v>
      </c>
      <c r="D66" t="s">
        <v>73</v>
      </c>
      <c r="E66" t="s">
        <v>71</v>
      </c>
      <c r="F66" t="s">
        <v>72</v>
      </c>
      <c r="G66">
        <v>0</v>
      </c>
      <c r="H66">
        <v>0</v>
      </c>
      <c r="I66">
        <v>0</v>
      </c>
      <c r="J66">
        <v>0</v>
      </c>
      <c r="K66">
        <v>564</v>
      </c>
      <c r="L66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>
        <f>IF(DiscreteStatsTable[[#This Row],[RepsRequested]]=DiscreteStatsTable[[#This Row],[RepsWithStatObserved]],1,0)</f>
        <v>1</v>
      </c>
    </row>
    <row r="67" spans="1:25" x14ac:dyDescent="0.4">
      <c r="A67" t="s">
        <v>67</v>
      </c>
      <c r="B67" t="s">
        <v>69</v>
      </c>
      <c r="C67">
        <v>16</v>
      </c>
      <c r="D67" t="s">
        <v>73</v>
      </c>
      <c r="E67" t="s">
        <v>71</v>
      </c>
      <c r="F67" t="s">
        <v>72</v>
      </c>
      <c r="G67">
        <v>0</v>
      </c>
      <c r="H67">
        <v>0</v>
      </c>
      <c r="I67">
        <v>0</v>
      </c>
      <c r="J67">
        <v>0</v>
      </c>
      <c r="K67">
        <v>541</v>
      </c>
      <c r="L67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7">
        <f>IF((DiscreteStatsTable[[#This Row],[RepsRequested]]&gt;1),DiscreteStatsTable[[#This Row],[HalfWidth]],DiscreteStatsTable[[#This Row],[BatchMeansHalfWidth]])</f>
        <v>0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>
        <f>IF(DiscreteStatsTable[[#This Row],[RepsRequested]]=DiscreteStatsTable[[#This Row],[RepsWithStatObserved]],1,0)</f>
        <v>1</v>
      </c>
    </row>
    <row r="68" spans="1:25" x14ac:dyDescent="0.4">
      <c r="A68" t="s">
        <v>67</v>
      </c>
      <c r="B68" t="s">
        <v>69</v>
      </c>
      <c r="C68">
        <v>17</v>
      </c>
      <c r="D68" t="s">
        <v>73</v>
      </c>
      <c r="E68" t="s">
        <v>71</v>
      </c>
      <c r="F68" t="s">
        <v>72</v>
      </c>
      <c r="G68">
        <v>0</v>
      </c>
      <c r="H68">
        <v>0</v>
      </c>
      <c r="I68">
        <v>0</v>
      </c>
      <c r="J68">
        <v>0</v>
      </c>
      <c r="K68">
        <v>591</v>
      </c>
      <c r="L6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>
        <f>IF(DiscreteStatsTable[[#This Row],[RepsRequested]]=DiscreteStatsTable[[#This Row],[RepsWithStatObserved]],1,0)</f>
        <v>1</v>
      </c>
    </row>
    <row r="69" spans="1:25" x14ac:dyDescent="0.4">
      <c r="A69" t="s">
        <v>67</v>
      </c>
      <c r="B69" t="s">
        <v>69</v>
      </c>
      <c r="C69">
        <v>18</v>
      </c>
      <c r="D69" t="s">
        <v>73</v>
      </c>
      <c r="E69" t="s">
        <v>71</v>
      </c>
      <c r="F69" t="s">
        <v>72</v>
      </c>
      <c r="G69">
        <v>0</v>
      </c>
      <c r="H69">
        <v>0</v>
      </c>
      <c r="I69">
        <v>0</v>
      </c>
      <c r="J69">
        <v>0</v>
      </c>
      <c r="K69">
        <v>589</v>
      </c>
      <c r="L6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>
        <f>IF(DiscreteStatsTable[[#This Row],[RepsRequested]]=DiscreteStatsTable[[#This Row],[RepsWithStatObserved]],1,0)</f>
        <v>1</v>
      </c>
    </row>
    <row r="70" spans="1:25" x14ac:dyDescent="0.4">
      <c r="A70" t="s">
        <v>67</v>
      </c>
      <c r="B70" t="s">
        <v>69</v>
      </c>
      <c r="C70">
        <v>19</v>
      </c>
      <c r="D70" t="s">
        <v>73</v>
      </c>
      <c r="E70" t="s">
        <v>71</v>
      </c>
      <c r="F70" t="s">
        <v>72</v>
      </c>
      <c r="G70">
        <v>0</v>
      </c>
      <c r="H70">
        <v>0</v>
      </c>
      <c r="I70">
        <v>0</v>
      </c>
      <c r="J70">
        <v>0</v>
      </c>
      <c r="K70">
        <v>551</v>
      </c>
      <c r="L7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0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0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0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0">
        <f>IF((DiscreteStatsTable[[#This Row],[RepsRequested]]&gt;1),DiscreteStatsTable[[#This Row],[HalfWidth]],DiscreteStatsTable[[#This Row],[BatchMeansHalfWidth]])</f>
        <v>0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>
        <f>IF(DiscreteStatsTable[[#This Row],[RepsRequested]]=DiscreteStatsTable[[#This Row],[RepsWithStatObserved]],1,0)</f>
        <v>1</v>
      </c>
    </row>
    <row r="71" spans="1:25" x14ac:dyDescent="0.4">
      <c r="A71" t="s">
        <v>67</v>
      </c>
      <c r="B71" t="s">
        <v>69</v>
      </c>
      <c r="C71">
        <v>20</v>
      </c>
      <c r="D71" t="s">
        <v>73</v>
      </c>
      <c r="E71" t="s">
        <v>71</v>
      </c>
      <c r="F71" t="s">
        <v>72</v>
      </c>
      <c r="G71">
        <v>0</v>
      </c>
      <c r="H71">
        <v>0</v>
      </c>
      <c r="I71">
        <v>0</v>
      </c>
      <c r="J71">
        <v>0</v>
      </c>
      <c r="K71">
        <v>604</v>
      </c>
      <c r="L7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>
        <f>IF(DiscreteStatsTable[[#This Row],[RepsRequested]]=DiscreteStatsTable[[#This Row],[RepsWithStatObserved]],1,0)</f>
        <v>1</v>
      </c>
    </row>
    <row r="72" spans="1:25" x14ac:dyDescent="0.4">
      <c r="A72" t="s">
        <v>67</v>
      </c>
      <c r="B72" t="s">
        <v>69</v>
      </c>
      <c r="C72">
        <v>21</v>
      </c>
      <c r="D72" t="s">
        <v>73</v>
      </c>
      <c r="E72" t="s">
        <v>71</v>
      </c>
      <c r="F72" t="s">
        <v>72</v>
      </c>
      <c r="G72">
        <v>0</v>
      </c>
      <c r="H72">
        <v>0</v>
      </c>
      <c r="I72">
        <v>0</v>
      </c>
      <c r="J72">
        <v>0</v>
      </c>
      <c r="K72">
        <v>585</v>
      </c>
      <c r="L7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>
        <f>IF(DiscreteStatsTable[[#This Row],[RepsRequested]]=DiscreteStatsTable[[#This Row],[RepsWithStatObserved]],1,0)</f>
        <v>1</v>
      </c>
    </row>
    <row r="73" spans="1:25" x14ac:dyDescent="0.4">
      <c r="A73" t="s">
        <v>67</v>
      </c>
      <c r="B73" t="s">
        <v>69</v>
      </c>
      <c r="C73">
        <v>22</v>
      </c>
      <c r="D73" t="s">
        <v>73</v>
      </c>
      <c r="E73" t="s">
        <v>71</v>
      </c>
      <c r="F73" t="s">
        <v>72</v>
      </c>
      <c r="G73">
        <v>0</v>
      </c>
      <c r="H73">
        <v>0</v>
      </c>
      <c r="I73">
        <v>0</v>
      </c>
      <c r="J73">
        <v>0</v>
      </c>
      <c r="K73">
        <v>518</v>
      </c>
      <c r="L7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3">
        <f>IF((DiscreteStatsTable[[#This Row],[RepsRequested]]&gt;1),DiscreteStatsTable[[#This Row],[HalfWidth]],DiscreteStatsTable[[#This Row],[BatchMeansHalfWidth]])</f>
        <v>0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>
        <f>IF(DiscreteStatsTable[[#This Row],[RepsRequested]]=DiscreteStatsTable[[#This Row],[RepsWithStatObserved]],1,0)</f>
        <v>1</v>
      </c>
    </row>
    <row r="74" spans="1:25" x14ac:dyDescent="0.4">
      <c r="A74" t="s">
        <v>67</v>
      </c>
      <c r="B74" t="s">
        <v>69</v>
      </c>
      <c r="C74">
        <v>23</v>
      </c>
      <c r="D74" t="s">
        <v>73</v>
      </c>
      <c r="E74" t="s">
        <v>71</v>
      </c>
      <c r="F74" t="s">
        <v>72</v>
      </c>
      <c r="G74">
        <v>0</v>
      </c>
      <c r="H74">
        <v>0</v>
      </c>
      <c r="I74">
        <v>0</v>
      </c>
      <c r="J74">
        <v>0</v>
      </c>
      <c r="K74">
        <v>590</v>
      </c>
      <c r="L7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>
        <f>IF(DiscreteStatsTable[[#This Row],[RepsRequested]]=DiscreteStatsTable[[#This Row],[RepsWithStatObserved]],1,0)</f>
        <v>1</v>
      </c>
    </row>
    <row r="75" spans="1:25" x14ac:dyDescent="0.4">
      <c r="A75" t="s">
        <v>67</v>
      </c>
      <c r="B75" t="s">
        <v>69</v>
      </c>
      <c r="C75">
        <v>24</v>
      </c>
      <c r="D75" t="s">
        <v>73</v>
      </c>
      <c r="E75" t="s">
        <v>71</v>
      </c>
      <c r="F75" t="s">
        <v>72</v>
      </c>
      <c r="G75">
        <v>0</v>
      </c>
      <c r="H75">
        <v>0</v>
      </c>
      <c r="I75">
        <v>0</v>
      </c>
      <c r="J75">
        <v>0</v>
      </c>
      <c r="K75">
        <v>590</v>
      </c>
      <c r="L7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>
        <f>IF(DiscreteStatsTable[[#This Row],[RepsRequested]]=DiscreteStatsTable[[#This Row],[RepsWithStatObserved]],1,0)</f>
        <v>1</v>
      </c>
    </row>
    <row r="76" spans="1:25" x14ac:dyDescent="0.4">
      <c r="A76" t="s">
        <v>67</v>
      </c>
      <c r="B76" t="s">
        <v>69</v>
      </c>
      <c r="C76">
        <v>25</v>
      </c>
      <c r="D76" t="s">
        <v>73</v>
      </c>
      <c r="E76" t="s">
        <v>71</v>
      </c>
      <c r="F76" t="s">
        <v>72</v>
      </c>
      <c r="G76">
        <v>0</v>
      </c>
      <c r="H76">
        <v>0</v>
      </c>
      <c r="I76">
        <v>0</v>
      </c>
      <c r="J76">
        <v>0</v>
      </c>
      <c r="K76">
        <v>611</v>
      </c>
      <c r="L76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6">
        <f>IF((DiscreteStatsTable[[#This Row],[RepsRequested]]&gt;1),DiscreteStatsTable[[#This Row],[HalfWidth]],DiscreteStatsTable[[#This Row],[BatchMeansHalfWidth]])</f>
        <v>0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>
        <f>IF(DiscreteStatsTable[[#This Row],[RepsRequested]]=DiscreteStatsTable[[#This Row],[RepsWithStatObserved]],1,0)</f>
        <v>1</v>
      </c>
    </row>
    <row r="77" spans="1:25" x14ac:dyDescent="0.4">
      <c r="A77" t="s">
        <v>67</v>
      </c>
      <c r="B77" t="s">
        <v>69</v>
      </c>
      <c r="C77">
        <v>26</v>
      </c>
      <c r="D77" t="s">
        <v>73</v>
      </c>
      <c r="E77" t="s">
        <v>71</v>
      </c>
      <c r="F77" t="s">
        <v>72</v>
      </c>
      <c r="G77">
        <v>0</v>
      </c>
      <c r="H77">
        <v>0</v>
      </c>
      <c r="I77">
        <v>0</v>
      </c>
      <c r="J77">
        <v>0</v>
      </c>
      <c r="K77">
        <v>501</v>
      </c>
      <c r="L77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>
        <f>IF(DiscreteStatsTable[[#This Row],[RepsRequested]]=DiscreteStatsTable[[#This Row],[RepsWithStatObserved]],1,0)</f>
        <v>1</v>
      </c>
    </row>
    <row r="78" spans="1:25" x14ac:dyDescent="0.4">
      <c r="A78" t="s">
        <v>67</v>
      </c>
      <c r="B78" t="s">
        <v>69</v>
      </c>
      <c r="C78">
        <v>27</v>
      </c>
      <c r="D78" t="s">
        <v>73</v>
      </c>
      <c r="E78" t="s">
        <v>71</v>
      </c>
      <c r="F78" t="s">
        <v>72</v>
      </c>
      <c r="G78">
        <v>0</v>
      </c>
      <c r="H78">
        <v>0</v>
      </c>
      <c r="I78">
        <v>0</v>
      </c>
      <c r="J78">
        <v>0</v>
      </c>
      <c r="K78">
        <v>537</v>
      </c>
      <c r="L7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>
        <f>IF(DiscreteStatsTable[[#This Row],[RepsRequested]]=DiscreteStatsTable[[#This Row],[RepsWithStatObserved]],1,0)</f>
        <v>1</v>
      </c>
    </row>
    <row r="79" spans="1:25" x14ac:dyDescent="0.4">
      <c r="A79" t="s">
        <v>67</v>
      </c>
      <c r="B79" t="s">
        <v>69</v>
      </c>
      <c r="C79">
        <v>28</v>
      </c>
      <c r="D79" t="s">
        <v>73</v>
      </c>
      <c r="E79" t="s">
        <v>71</v>
      </c>
      <c r="F79" t="s">
        <v>72</v>
      </c>
      <c r="G79">
        <v>0</v>
      </c>
      <c r="H79">
        <v>0</v>
      </c>
      <c r="I79">
        <v>0</v>
      </c>
      <c r="J79">
        <v>0</v>
      </c>
      <c r="K79">
        <v>535</v>
      </c>
      <c r="L7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79">
        <f>IF((DiscreteStatsTable[[#This Row],[RepsRequested]]&gt;1),DiscreteStatsTable[[#This Row],[HalfWidth]],DiscreteStatsTable[[#This Row],[BatchMeansHalfWidth]])</f>
        <v>0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>
        <f>IF(DiscreteStatsTable[[#This Row],[RepsRequested]]=DiscreteStatsTable[[#This Row],[RepsWithStatObserved]],1,0)</f>
        <v>1</v>
      </c>
    </row>
    <row r="80" spans="1:25" x14ac:dyDescent="0.4">
      <c r="A80" t="s">
        <v>67</v>
      </c>
      <c r="B80" t="s">
        <v>69</v>
      </c>
      <c r="C80">
        <v>29</v>
      </c>
      <c r="D80" t="s">
        <v>73</v>
      </c>
      <c r="E80" t="s">
        <v>71</v>
      </c>
      <c r="F80" t="s">
        <v>72</v>
      </c>
      <c r="G80">
        <v>0</v>
      </c>
      <c r="H80">
        <v>0</v>
      </c>
      <c r="I80">
        <v>0</v>
      </c>
      <c r="J80">
        <v>0</v>
      </c>
      <c r="K80">
        <v>572</v>
      </c>
      <c r="L8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>
        <f>IF(DiscreteStatsTable[[#This Row],[RepsRequested]]=DiscreteStatsTable[[#This Row],[RepsWithStatObserved]],1,0)</f>
        <v>1</v>
      </c>
    </row>
    <row r="81" spans="1:25" x14ac:dyDescent="0.4">
      <c r="A81" t="s">
        <v>67</v>
      </c>
      <c r="B81" t="s">
        <v>69</v>
      </c>
      <c r="C81">
        <v>30</v>
      </c>
      <c r="D81" t="s">
        <v>73</v>
      </c>
      <c r="E81" t="s">
        <v>71</v>
      </c>
      <c r="F81" t="s">
        <v>72</v>
      </c>
      <c r="G81">
        <v>0</v>
      </c>
      <c r="H81">
        <v>0</v>
      </c>
      <c r="I81">
        <v>0</v>
      </c>
      <c r="J81">
        <v>0</v>
      </c>
      <c r="K81">
        <v>505</v>
      </c>
      <c r="L8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>
        <f>IF(DiscreteStatsTable[[#This Row],[RepsRequested]]=DiscreteStatsTable[[#This Row],[RepsWithStatObserved]],1,0)</f>
        <v>1</v>
      </c>
    </row>
    <row r="82" spans="1:25" x14ac:dyDescent="0.4">
      <c r="A82" t="s">
        <v>67</v>
      </c>
      <c r="B82" t="s">
        <v>69</v>
      </c>
      <c r="C82">
        <v>31</v>
      </c>
      <c r="D82" t="s">
        <v>73</v>
      </c>
      <c r="E82" t="s">
        <v>71</v>
      </c>
      <c r="F82" t="s">
        <v>72</v>
      </c>
      <c r="G82">
        <v>0</v>
      </c>
      <c r="H82">
        <v>0</v>
      </c>
      <c r="I82">
        <v>0</v>
      </c>
      <c r="J82">
        <v>0</v>
      </c>
      <c r="K82">
        <v>555</v>
      </c>
      <c r="L8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2">
        <f>IF((DiscreteStatsTable[[#This Row],[RepsRequested]]&gt;1),DiscreteStatsTable[[#This Row],[HalfWidth]],DiscreteStatsTable[[#This Row],[BatchMeansHalfWidth]])</f>
        <v>0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>
        <f>IF(DiscreteStatsTable[[#This Row],[RepsRequested]]=DiscreteStatsTable[[#This Row],[RepsWithStatObserved]],1,0)</f>
        <v>1</v>
      </c>
    </row>
    <row r="83" spans="1:25" x14ac:dyDescent="0.4">
      <c r="A83" t="s">
        <v>67</v>
      </c>
      <c r="B83" t="s">
        <v>69</v>
      </c>
      <c r="C83">
        <v>32</v>
      </c>
      <c r="D83" t="s">
        <v>73</v>
      </c>
      <c r="E83" t="s">
        <v>71</v>
      </c>
      <c r="F83" t="s">
        <v>72</v>
      </c>
      <c r="G83">
        <v>0</v>
      </c>
      <c r="H83">
        <v>0</v>
      </c>
      <c r="I83">
        <v>0</v>
      </c>
      <c r="J83">
        <v>0</v>
      </c>
      <c r="K83">
        <v>518</v>
      </c>
      <c r="L8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>
        <f>IF(DiscreteStatsTable[[#This Row],[RepsRequested]]=DiscreteStatsTable[[#This Row],[RepsWithStatObserved]],1,0)</f>
        <v>1</v>
      </c>
    </row>
    <row r="84" spans="1:25" x14ac:dyDescent="0.4">
      <c r="A84" t="s">
        <v>67</v>
      </c>
      <c r="B84" t="s">
        <v>69</v>
      </c>
      <c r="C84">
        <v>33</v>
      </c>
      <c r="D84" t="s">
        <v>73</v>
      </c>
      <c r="E84" t="s">
        <v>71</v>
      </c>
      <c r="F84" t="s">
        <v>72</v>
      </c>
      <c r="G84">
        <v>0</v>
      </c>
      <c r="H84">
        <v>0</v>
      </c>
      <c r="I84">
        <v>0</v>
      </c>
      <c r="J84">
        <v>0</v>
      </c>
      <c r="K84">
        <v>576</v>
      </c>
      <c r="L8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>
        <f>IF(DiscreteStatsTable[[#This Row],[RepsRequested]]=DiscreteStatsTable[[#This Row],[RepsWithStatObserved]],1,0)</f>
        <v>1</v>
      </c>
    </row>
    <row r="85" spans="1:25" x14ac:dyDescent="0.4">
      <c r="A85" t="s">
        <v>67</v>
      </c>
      <c r="B85" t="s">
        <v>69</v>
      </c>
      <c r="C85">
        <v>34</v>
      </c>
      <c r="D85" t="s">
        <v>73</v>
      </c>
      <c r="E85" t="s">
        <v>71</v>
      </c>
      <c r="F85" t="s">
        <v>72</v>
      </c>
      <c r="G85">
        <v>0</v>
      </c>
      <c r="H85">
        <v>0</v>
      </c>
      <c r="I85">
        <v>0</v>
      </c>
      <c r="J85">
        <v>0</v>
      </c>
      <c r="K85">
        <v>561</v>
      </c>
      <c r="L8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5">
        <f>IF((DiscreteStatsTable[[#This Row],[RepsRequested]]&gt;1),DiscreteStatsTable[[#This Row],[HalfWidth]],DiscreteStatsTable[[#This Row],[BatchMeansHalfWidth]])</f>
        <v>0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>
        <f>IF(DiscreteStatsTable[[#This Row],[RepsRequested]]=DiscreteStatsTable[[#This Row],[RepsWithStatObserved]],1,0)</f>
        <v>1</v>
      </c>
    </row>
    <row r="86" spans="1:25" x14ac:dyDescent="0.4">
      <c r="A86" t="s">
        <v>67</v>
      </c>
      <c r="B86" t="s">
        <v>69</v>
      </c>
      <c r="C86">
        <v>35</v>
      </c>
      <c r="D86" t="s">
        <v>73</v>
      </c>
      <c r="E86" t="s">
        <v>71</v>
      </c>
      <c r="F86" t="s">
        <v>72</v>
      </c>
      <c r="G86">
        <v>0</v>
      </c>
      <c r="H86">
        <v>0</v>
      </c>
      <c r="I86">
        <v>0</v>
      </c>
      <c r="J86">
        <v>0</v>
      </c>
      <c r="K86">
        <v>623</v>
      </c>
      <c r="L86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>
        <f>IF(DiscreteStatsTable[[#This Row],[RepsRequested]]=DiscreteStatsTable[[#This Row],[RepsWithStatObserved]],1,0)</f>
        <v>1</v>
      </c>
    </row>
    <row r="87" spans="1:25" x14ac:dyDescent="0.4">
      <c r="A87" t="s">
        <v>67</v>
      </c>
      <c r="B87" t="s">
        <v>69</v>
      </c>
      <c r="C87">
        <v>36</v>
      </c>
      <c r="D87" t="s">
        <v>73</v>
      </c>
      <c r="E87" t="s">
        <v>71</v>
      </c>
      <c r="F87" t="s">
        <v>72</v>
      </c>
      <c r="G87">
        <v>0</v>
      </c>
      <c r="H87">
        <v>0</v>
      </c>
      <c r="I87">
        <v>0</v>
      </c>
      <c r="J87">
        <v>0</v>
      </c>
      <c r="K87">
        <v>562</v>
      </c>
      <c r="L87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>
        <f>IF(DiscreteStatsTable[[#This Row],[RepsRequested]]=DiscreteStatsTable[[#This Row],[RepsWithStatObserved]],1,0)</f>
        <v>1</v>
      </c>
    </row>
    <row r="88" spans="1:25" x14ac:dyDescent="0.4">
      <c r="A88" t="s">
        <v>67</v>
      </c>
      <c r="B88" t="s">
        <v>69</v>
      </c>
      <c r="C88">
        <v>37</v>
      </c>
      <c r="D88" t="s">
        <v>73</v>
      </c>
      <c r="E88" t="s">
        <v>71</v>
      </c>
      <c r="F88" t="s">
        <v>72</v>
      </c>
      <c r="G88">
        <v>0</v>
      </c>
      <c r="H88">
        <v>0</v>
      </c>
      <c r="I88">
        <v>0</v>
      </c>
      <c r="J88">
        <v>0</v>
      </c>
      <c r="K88">
        <v>550</v>
      </c>
      <c r="L8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8">
        <f>IF((DiscreteStatsTable[[#This Row],[RepsRequested]]&gt;1),DiscreteStatsTable[[#This Row],[HalfWidth]],DiscreteStatsTable[[#This Row],[BatchMeansHalfWidth]])</f>
        <v>0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>
        <f>IF(DiscreteStatsTable[[#This Row],[RepsRequested]]=DiscreteStatsTable[[#This Row],[RepsWithStatObserved]],1,0)</f>
        <v>1</v>
      </c>
    </row>
    <row r="89" spans="1:25" x14ac:dyDescent="0.4">
      <c r="A89" t="s">
        <v>67</v>
      </c>
      <c r="B89" t="s">
        <v>69</v>
      </c>
      <c r="C89">
        <v>38</v>
      </c>
      <c r="D89" t="s">
        <v>73</v>
      </c>
      <c r="E89" t="s">
        <v>71</v>
      </c>
      <c r="F89" t="s">
        <v>72</v>
      </c>
      <c r="G89">
        <v>0</v>
      </c>
      <c r="H89">
        <v>0</v>
      </c>
      <c r="I89">
        <v>0</v>
      </c>
      <c r="J89">
        <v>0</v>
      </c>
      <c r="K89">
        <v>602</v>
      </c>
      <c r="L8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>
        <f>IF(DiscreteStatsTable[[#This Row],[RepsRequested]]=DiscreteStatsTable[[#This Row],[RepsWithStatObserved]],1,0)</f>
        <v>1</v>
      </c>
    </row>
    <row r="90" spans="1:25" x14ac:dyDescent="0.4">
      <c r="A90" t="s">
        <v>67</v>
      </c>
      <c r="B90" t="s">
        <v>69</v>
      </c>
      <c r="C90">
        <v>39</v>
      </c>
      <c r="D90" t="s">
        <v>73</v>
      </c>
      <c r="E90" t="s">
        <v>71</v>
      </c>
      <c r="F90" t="s">
        <v>72</v>
      </c>
      <c r="G90">
        <v>0</v>
      </c>
      <c r="H90">
        <v>0</v>
      </c>
      <c r="I90">
        <v>0</v>
      </c>
      <c r="J90">
        <v>0</v>
      </c>
      <c r="K90">
        <v>603</v>
      </c>
      <c r="L9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>
        <f>IF(DiscreteStatsTable[[#This Row],[RepsRequested]]=DiscreteStatsTable[[#This Row],[RepsWithStatObserved]],1,0)</f>
        <v>1</v>
      </c>
    </row>
    <row r="91" spans="1:25" x14ac:dyDescent="0.4">
      <c r="A91" t="s">
        <v>67</v>
      </c>
      <c r="B91" t="s">
        <v>69</v>
      </c>
      <c r="C91">
        <v>40</v>
      </c>
      <c r="D91" t="s">
        <v>73</v>
      </c>
      <c r="E91" t="s">
        <v>71</v>
      </c>
      <c r="F91" t="s">
        <v>72</v>
      </c>
      <c r="G91">
        <v>0</v>
      </c>
      <c r="H91">
        <v>0</v>
      </c>
      <c r="I91">
        <v>0</v>
      </c>
      <c r="J91">
        <v>0</v>
      </c>
      <c r="K91">
        <v>566</v>
      </c>
      <c r="L9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1">
        <f>IF((DiscreteStatsTable[[#This Row],[RepsRequested]]&gt;1),DiscreteStatsTable[[#This Row],[HalfWidth]],DiscreteStatsTable[[#This Row],[BatchMeansHalfWidth]])</f>
        <v>0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>
        <f>IF(DiscreteStatsTable[[#This Row],[RepsRequested]]=DiscreteStatsTable[[#This Row],[RepsWithStatObserved]],1,0)</f>
        <v>1</v>
      </c>
    </row>
    <row r="92" spans="1:25" x14ac:dyDescent="0.4">
      <c r="A92" t="s">
        <v>67</v>
      </c>
      <c r="B92" t="s">
        <v>69</v>
      </c>
      <c r="C92">
        <v>41</v>
      </c>
      <c r="D92" t="s">
        <v>73</v>
      </c>
      <c r="E92" t="s">
        <v>71</v>
      </c>
      <c r="F92" t="s">
        <v>72</v>
      </c>
      <c r="G92">
        <v>0</v>
      </c>
      <c r="H92">
        <v>0</v>
      </c>
      <c r="I92">
        <v>0</v>
      </c>
      <c r="J92">
        <v>0</v>
      </c>
      <c r="K92">
        <v>546</v>
      </c>
      <c r="L9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>
        <f>IF(DiscreteStatsTable[[#This Row],[RepsRequested]]=DiscreteStatsTable[[#This Row],[RepsWithStatObserved]],1,0)</f>
        <v>1</v>
      </c>
    </row>
    <row r="93" spans="1:25" x14ac:dyDescent="0.4">
      <c r="A93" t="s">
        <v>67</v>
      </c>
      <c r="B93" t="s">
        <v>69</v>
      </c>
      <c r="C93">
        <v>42</v>
      </c>
      <c r="D93" t="s">
        <v>73</v>
      </c>
      <c r="E93" t="s">
        <v>71</v>
      </c>
      <c r="F93" t="s">
        <v>72</v>
      </c>
      <c r="G93">
        <v>0</v>
      </c>
      <c r="H93">
        <v>0</v>
      </c>
      <c r="I93">
        <v>0</v>
      </c>
      <c r="J93">
        <v>0</v>
      </c>
      <c r="K93">
        <v>532</v>
      </c>
      <c r="L9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>
        <f>IF(DiscreteStatsTable[[#This Row],[RepsRequested]]=DiscreteStatsTable[[#This Row],[RepsWithStatObserved]],1,0)</f>
        <v>1</v>
      </c>
    </row>
    <row r="94" spans="1:25" x14ac:dyDescent="0.4">
      <c r="A94" t="s">
        <v>67</v>
      </c>
      <c r="B94" t="s">
        <v>69</v>
      </c>
      <c r="C94">
        <v>43</v>
      </c>
      <c r="D94" t="s">
        <v>73</v>
      </c>
      <c r="E94" t="s">
        <v>71</v>
      </c>
      <c r="F94" t="s">
        <v>72</v>
      </c>
      <c r="G94">
        <v>0</v>
      </c>
      <c r="H94">
        <v>0</v>
      </c>
      <c r="I94">
        <v>0</v>
      </c>
      <c r="J94">
        <v>0</v>
      </c>
      <c r="K94">
        <v>560</v>
      </c>
      <c r="L9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4">
        <f>IF((DiscreteStatsTable[[#This Row],[RepsRequested]]&gt;1),DiscreteStatsTable[[#This Row],[HalfWidth]],DiscreteStatsTable[[#This Row],[BatchMeansHalfWidth]])</f>
        <v>0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>
        <f>IF(DiscreteStatsTable[[#This Row],[RepsRequested]]=DiscreteStatsTable[[#This Row],[RepsWithStatObserved]],1,0)</f>
        <v>1</v>
      </c>
    </row>
    <row r="95" spans="1:25" x14ac:dyDescent="0.4">
      <c r="A95" t="s">
        <v>67</v>
      </c>
      <c r="B95" t="s">
        <v>69</v>
      </c>
      <c r="C95">
        <v>44</v>
      </c>
      <c r="D95" t="s">
        <v>73</v>
      </c>
      <c r="E95" t="s">
        <v>71</v>
      </c>
      <c r="F95" t="s">
        <v>72</v>
      </c>
      <c r="G95">
        <v>0</v>
      </c>
      <c r="H95">
        <v>0</v>
      </c>
      <c r="I95">
        <v>0</v>
      </c>
      <c r="J95">
        <v>0</v>
      </c>
      <c r="K95">
        <v>544</v>
      </c>
      <c r="L9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>
        <f>IF(DiscreteStatsTable[[#This Row],[RepsRequested]]=DiscreteStatsTable[[#This Row],[RepsWithStatObserved]],1,0)</f>
        <v>1</v>
      </c>
    </row>
    <row r="96" spans="1:25" x14ac:dyDescent="0.4">
      <c r="A96" t="s">
        <v>67</v>
      </c>
      <c r="B96" t="s">
        <v>69</v>
      </c>
      <c r="C96">
        <v>45</v>
      </c>
      <c r="D96" t="s">
        <v>73</v>
      </c>
      <c r="E96" t="s">
        <v>71</v>
      </c>
      <c r="F96" t="s">
        <v>72</v>
      </c>
      <c r="G96">
        <v>0</v>
      </c>
      <c r="H96">
        <v>0</v>
      </c>
      <c r="I96">
        <v>0</v>
      </c>
      <c r="J96">
        <v>0</v>
      </c>
      <c r="K96">
        <v>605</v>
      </c>
      <c r="L96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>
        <f>IF(DiscreteStatsTable[[#This Row],[RepsRequested]]=DiscreteStatsTable[[#This Row],[RepsWithStatObserved]],1,0)</f>
        <v>1</v>
      </c>
    </row>
    <row r="97" spans="1:25" x14ac:dyDescent="0.4">
      <c r="A97" t="s">
        <v>67</v>
      </c>
      <c r="B97" t="s">
        <v>69</v>
      </c>
      <c r="C97">
        <v>46</v>
      </c>
      <c r="D97" t="s">
        <v>73</v>
      </c>
      <c r="E97" t="s">
        <v>71</v>
      </c>
      <c r="F97" t="s">
        <v>72</v>
      </c>
      <c r="G97">
        <v>0</v>
      </c>
      <c r="H97">
        <v>0</v>
      </c>
      <c r="I97">
        <v>0</v>
      </c>
      <c r="J97">
        <v>0</v>
      </c>
      <c r="K97">
        <v>595</v>
      </c>
      <c r="L97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7">
        <f>IF((DiscreteStatsTable[[#This Row],[RepsRequested]]&gt;1),DiscreteStatsTable[[#This Row],[HalfWidth]],DiscreteStatsTable[[#This Row],[BatchMeansHalfWidth]])</f>
        <v>0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>
        <f>IF(DiscreteStatsTable[[#This Row],[RepsRequested]]=DiscreteStatsTable[[#This Row],[RepsWithStatObserved]],1,0)</f>
        <v>1</v>
      </c>
    </row>
    <row r="98" spans="1:25" x14ac:dyDescent="0.4">
      <c r="A98" t="s">
        <v>67</v>
      </c>
      <c r="B98" t="s">
        <v>69</v>
      </c>
      <c r="C98">
        <v>47</v>
      </c>
      <c r="D98" t="s">
        <v>73</v>
      </c>
      <c r="E98" t="s">
        <v>71</v>
      </c>
      <c r="F98" t="s">
        <v>72</v>
      </c>
      <c r="G98">
        <v>0</v>
      </c>
      <c r="H98">
        <v>0</v>
      </c>
      <c r="I98">
        <v>0</v>
      </c>
      <c r="J98">
        <v>0</v>
      </c>
      <c r="K98">
        <v>574</v>
      </c>
      <c r="L9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>
        <f>IF(DiscreteStatsTable[[#This Row],[RepsRequested]]=DiscreteStatsTable[[#This Row],[RepsWithStatObserved]],1,0)</f>
        <v>1</v>
      </c>
    </row>
    <row r="99" spans="1:25" x14ac:dyDescent="0.4">
      <c r="A99" t="s">
        <v>67</v>
      </c>
      <c r="B99" t="s">
        <v>69</v>
      </c>
      <c r="C99">
        <v>48</v>
      </c>
      <c r="D99" t="s">
        <v>73</v>
      </c>
      <c r="E99" t="s">
        <v>71</v>
      </c>
      <c r="F99" t="s">
        <v>72</v>
      </c>
      <c r="G99">
        <v>0</v>
      </c>
      <c r="H99">
        <v>0</v>
      </c>
      <c r="I99">
        <v>0</v>
      </c>
      <c r="J99">
        <v>0</v>
      </c>
      <c r="K99">
        <v>494</v>
      </c>
      <c r="L9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>
        <f>IF(DiscreteStatsTable[[#This Row],[RepsRequested]]=DiscreteStatsTable[[#This Row],[RepsWithStatObserved]],1,0)</f>
        <v>1</v>
      </c>
    </row>
    <row r="100" spans="1:25" x14ac:dyDescent="0.4">
      <c r="A100" t="s">
        <v>67</v>
      </c>
      <c r="B100" t="s">
        <v>69</v>
      </c>
      <c r="C100">
        <v>49</v>
      </c>
      <c r="D100" t="s">
        <v>73</v>
      </c>
      <c r="E100" t="s">
        <v>71</v>
      </c>
      <c r="F100" t="s">
        <v>72</v>
      </c>
      <c r="G100">
        <v>0</v>
      </c>
      <c r="H100">
        <v>0</v>
      </c>
      <c r="I100">
        <v>0</v>
      </c>
      <c r="J100">
        <v>0</v>
      </c>
      <c r="K100">
        <v>572</v>
      </c>
      <c r="L10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100">
        <f>IF((DiscreteStatsTable[[#This Row],[RepsRequested]]&gt;1),DiscreteStatsTable[[#This Row],[HalfWidth]],DiscreteStatsTable[[#This Row],[BatchMeansHalfWidth]])</f>
        <v>0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>
        <f>IF(DiscreteStatsTable[[#This Row],[RepsRequested]]=DiscreteStatsTable[[#This Row],[RepsWithStatObserved]],1,0)</f>
        <v>1</v>
      </c>
    </row>
    <row r="101" spans="1:25" x14ac:dyDescent="0.4">
      <c r="A101" t="s">
        <v>67</v>
      </c>
      <c r="B101" t="s">
        <v>69</v>
      </c>
      <c r="C101">
        <v>50</v>
      </c>
      <c r="D101" t="s">
        <v>73</v>
      </c>
      <c r="E101" t="s">
        <v>71</v>
      </c>
      <c r="F101" t="s">
        <v>72</v>
      </c>
      <c r="G101">
        <v>0</v>
      </c>
      <c r="H101">
        <v>0</v>
      </c>
      <c r="I101">
        <v>0</v>
      </c>
      <c r="J101">
        <v>0</v>
      </c>
      <c r="K101">
        <v>564</v>
      </c>
      <c r="L10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563.44000000000005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>
        <f>IF(DiscreteStatsTable[[#This Row],[RepsRequested]]=DiscreteStatsTable[[#This Row],[RepsWithStatObserved]],1,0)</f>
        <v>1</v>
      </c>
    </row>
    <row r="102" spans="1:25" x14ac:dyDescent="0.4">
      <c r="A102" t="s">
        <v>67</v>
      </c>
      <c r="B102" t="s">
        <v>69</v>
      </c>
      <c r="C102">
        <v>1</v>
      </c>
      <c r="D102" t="s">
        <v>74</v>
      </c>
      <c r="E102" t="s">
        <v>71</v>
      </c>
      <c r="F102" t="s">
        <v>72</v>
      </c>
      <c r="G102">
        <v>0</v>
      </c>
      <c r="H102">
        <v>0</v>
      </c>
      <c r="I102">
        <v>0</v>
      </c>
      <c r="J102">
        <v>0</v>
      </c>
      <c r="K102">
        <v>542</v>
      </c>
      <c r="L102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541.12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>
        <f>IF(DiscreteStatsTable[[#This Row],[RepsRequested]]=DiscreteStatsTable[[#This Row],[RepsWithStatObserved]],1,0)</f>
        <v>1</v>
      </c>
    </row>
    <row r="103" spans="1:25" x14ac:dyDescent="0.4">
      <c r="A103" t="s">
        <v>67</v>
      </c>
      <c r="B103" t="s">
        <v>69</v>
      </c>
      <c r="C103">
        <v>2</v>
      </c>
      <c r="D103" t="s">
        <v>74</v>
      </c>
      <c r="E103" t="s">
        <v>71</v>
      </c>
      <c r="F103" t="s">
        <v>72</v>
      </c>
      <c r="G103">
        <v>0</v>
      </c>
      <c r="H103">
        <v>0</v>
      </c>
      <c r="I103">
        <v>0</v>
      </c>
      <c r="J103">
        <v>0</v>
      </c>
      <c r="K103">
        <v>527</v>
      </c>
      <c r="L103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541.12</v>
      </c>
      <c r="W103">
        <f>IF((DiscreteStatsTable[[#This Row],[RepsRequested]]&gt;1),DiscreteStatsTable[[#This Row],[HalfWidth]],DiscreteStatsTable[[#This Row],[BatchMeansHalfWidth]])</f>
        <v>0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>
        <f>IF(DiscreteStatsTable[[#This Row],[RepsRequested]]=DiscreteStatsTable[[#This Row],[RepsWithStatObserved]],1,0)</f>
        <v>1</v>
      </c>
    </row>
    <row r="104" spans="1:25" x14ac:dyDescent="0.4">
      <c r="A104" t="s">
        <v>67</v>
      </c>
      <c r="B104" t="s">
        <v>69</v>
      </c>
      <c r="C104">
        <v>3</v>
      </c>
      <c r="D104" t="s">
        <v>74</v>
      </c>
      <c r="E104" t="s">
        <v>71</v>
      </c>
      <c r="F104" t="s">
        <v>72</v>
      </c>
      <c r="G104">
        <v>0</v>
      </c>
      <c r="H104">
        <v>0</v>
      </c>
      <c r="I104">
        <v>0</v>
      </c>
      <c r="J104">
        <v>0</v>
      </c>
      <c r="K104">
        <v>483</v>
      </c>
      <c r="L104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541.12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>
        <f>IF(DiscreteStatsTable[[#This Row],[RepsRequested]]=DiscreteStatsTable[[#This Row],[RepsWithStatObserved]],1,0)</f>
        <v>1</v>
      </c>
    </row>
    <row r="105" spans="1:25" x14ac:dyDescent="0.4">
      <c r="A105" t="s">
        <v>67</v>
      </c>
      <c r="B105" t="s">
        <v>69</v>
      </c>
      <c r="C105">
        <v>4</v>
      </c>
      <c r="D105" t="s">
        <v>74</v>
      </c>
      <c r="E105" t="s">
        <v>71</v>
      </c>
      <c r="F105" t="s">
        <v>72</v>
      </c>
      <c r="G105">
        <v>0</v>
      </c>
      <c r="H105">
        <v>0</v>
      </c>
      <c r="I105">
        <v>0</v>
      </c>
      <c r="J105">
        <v>0</v>
      </c>
      <c r="K105">
        <v>492</v>
      </c>
      <c r="L10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541.12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>
        <f>IF(DiscreteStatsTable[[#This Row],[RepsRequested]]=DiscreteStatsTable[[#This Row],[RepsWithStatObserved]],1,0)</f>
        <v>1</v>
      </c>
    </row>
    <row r="106" spans="1:25" x14ac:dyDescent="0.4">
      <c r="A106" t="s">
        <v>67</v>
      </c>
      <c r="B106" t="s">
        <v>69</v>
      </c>
      <c r="C106">
        <v>5</v>
      </c>
      <c r="D106" t="s">
        <v>74</v>
      </c>
      <c r="E106" t="s">
        <v>71</v>
      </c>
      <c r="F106" t="s">
        <v>72</v>
      </c>
      <c r="G106">
        <v>0</v>
      </c>
      <c r="H106">
        <v>0</v>
      </c>
      <c r="I106">
        <v>0</v>
      </c>
      <c r="J106">
        <v>0</v>
      </c>
      <c r="K106">
        <v>553</v>
      </c>
      <c r="L106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541.12</v>
      </c>
      <c r="W106">
        <f>IF((DiscreteStatsTable[[#This Row],[RepsRequested]]&gt;1),DiscreteStatsTable[[#This Row],[HalfWidth]],DiscreteStatsTable[[#This Row],[BatchMeansHalfWidth]])</f>
        <v>0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>
        <f>IF(DiscreteStatsTable[[#This Row],[RepsRequested]]=DiscreteStatsTable[[#This Row],[RepsWithStatObserved]],1,0)</f>
        <v>1</v>
      </c>
    </row>
    <row r="107" spans="1:25" x14ac:dyDescent="0.4">
      <c r="A107" t="s">
        <v>67</v>
      </c>
      <c r="B107" t="s">
        <v>69</v>
      </c>
      <c r="C107">
        <v>6</v>
      </c>
      <c r="D107" t="s">
        <v>74</v>
      </c>
      <c r="E107" t="s">
        <v>71</v>
      </c>
      <c r="F107" t="s">
        <v>72</v>
      </c>
      <c r="G107">
        <v>0</v>
      </c>
      <c r="H107">
        <v>0</v>
      </c>
      <c r="I107">
        <v>0</v>
      </c>
      <c r="J107">
        <v>0</v>
      </c>
      <c r="K107">
        <v>614</v>
      </c>
      <c r="L107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541.12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>
        <f>IF(DiscreteStatsTable[[#This Row],[RepsRequested]]=DiscreteStatsTable[[#This Row],[RepsWithStatObserved]],1,0)</f>
        <v>1</v>
      </c>
    </row>
    <row r="108" spans="1:25" x14ac:dyDescent="0.4">
      <c r="A108" t="s">
        <v>67</v>
      </c>
      <c r="B108" t="s">
        <v>69</v>
      </c>
      <c r="C108">
        <v>7</v>
      </c>
      <c r="D108" t="s">
        <v>74</v>
      </c>
      <c r="E108" t="s">
        <v>71</v>
      </c>
      <c r="F108" t="s">
        <v>72</v>
      </c>
      <c r="G108">
        <v>0</v>
      </c>
      <c r="H108">
        <v>0</v>
      </c>
      <c r="I108">
        <v>0</v>
      </c>
      <c r="J108">
        <v>0</v>
      </c>
      <c r="K108">
        <v>530</v>
      </c>
      <c r="L108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541.12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>
        <f>IF(DiscreteStatsTable[[#This Row],[RepsRequested]]=DiscreteStatsTable[[#This Row],[RepsWithStatObserved]],1,0)</f>
        <v>1</v>
      </c>
    </row>
    <row r="109" spans="1:25" x14ac:dyDescent="0.4">
      <c r="A109" t="s">
        <v>67</v>
      </c>
      <c r="B109" t="s">
        <v>69</v>
      </c>
      <c r="C109">
        <v>8</v>
      </c>
      <c r="D109" t="s">
        <v>74</v>
      </c>
      <c r="E109" t="s">
        <v>71</v>
      </c>
      <c r="F109" t="s">
        <v>72</v>
      </c>
      <c r="G109">
        <v>0</v>
      </c>
      <c r="H109">
        <v>0</v>
      </c>
      <c r="I109">
        <v>0</v>
      </c>
      <c r="J109">
        <v>0</v>
      </c>
      <c r="K109">
        <v>464</v>
      </c>
      <c r="L109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541.12</v>
      </c>
      <c r="W109">
        <f>IF((DiscreteStatsTable[[#This Row],[RepsRequested]]&gt;1),DiscreteStatsTable[[#This Row],[HalfWidth]],DiscreteStatsTable[[#This Row],[BatchMeansHalfWidth]])</f>
        <v>0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>
        <f>IF(DiscreteStatsTable[[#This Row],[RepsRequested]]=DiscreteStatsTable[[#This Row],[RepsWithStatObserved]],1,0)</f>
        <v>1</v>
      </c>
    </row>
    <row r="110" spans="1:25" x14ac:dyDescent="0.4">
      <c r="A110" t="s">
        <v>67</v>
      </c>
      <c r="B110" t="s">
        <v>69</v>
      </c>
      <c r="C110">
        <v>9</v>
      </c>
      <c r="D110" t="s">
        <v>74</v>
      </c>
      <c r="E110" t="s">
        <v>71</v>
      </c>
      <c r="F110" t="s">
        <v>72</v>
      </c>
      <c r="G110">
        <v>0</v>
      </c>
      <c r="H110">
        <v>0</v>
      </c>
      <c r="I110">
        <v>0</v>
      </c>
      <c r="J110">
        <v>0</v>
      </c>
      <c r="K110">
        <v>585</v>
      </c>
      <c r="L110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541.12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>
        <f>IF(DiscreteStatsTable[[#This Row],[RepsRequested]]=DiscreteStatsTable[[#This Row],[RepsWithStatObserved]],1,0)</f>
        <v>1</v>
      </c>
    </row>
    <row r="111" spans="1:25" x14ac:dyDescent="0.4">
      <c r="A111" t="s">
        <v>67</v>
      </c>
      <c r="B111" t="s">
        <v>69</v>
      </c>
      <c r="C111">
        <v>10</v>
      </c>
      <c r="D111" t="s">
        <v>74</v>
      </c>
      <c r="E111" t="s">
        <v>71</v>
      </c>
      <c r="F111" t="s">
        <v>72</v>
      </c>
      <c r="G111">
        <v>0</v>
      </c>
      <c r="H111">
        <v>0</v>
      </c>
      <c r="I111">
        <v>0</v>
      </c>
      <c r="J111">
        <v>0</v>
      </c>
      <c r="K111">
        <v>619</v>
      </c>
      <c r="L111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541.12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>
        <f>IF(DiscreteStatsTable[[#This Row],[RepsRequested]]=DiscreteStatsTable[[#This Row],[RepsWithStatObserved]],1,0)</f>
        <v>1</v>
      </c>
    </row>
    <row r="112" spans="1:25" x14ac:dyDescent="0.4">
      <c r="A112" t="s">
        <v>67</v>
      </c>
      <c r="B112" t="s">
        <v>69</v>
      </c>
      <c r="C112">
        <v>11</v>
      </c>
      <c r="D112" t="s">
        <v>74</v>
      </c>
      <c r="E112" t="s">
        <v>71</v>
      </c>
      <c r="F112" t="s">
        <v>72</v>
      </c>
      <c r="G112">
        <v>0</v>
      </c>
      <c r="H112">
        <v>0</v>
      </c>
      <c r="I112">
        <v>0</v>
      </c>
      <c r="J112">
        <v>0</v>
      </c>
      <c r="K112">
        <v>566</v>
      </c>
      <c r="L112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541.12</v>
      </c>
      <c r="W112">
        <f>IF((DiscreteStatsTable[[#This Row],[RepsRequested]]&gt;1),DiscreteStatsTable[[#This Row],[HalfWidth]],DiscreteStatsTable[[#This Row],[BatchMeansHalfWidth]])</f>
        <v>0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>
        <f>IF(DiscreteStatsTable[[#This Row],[RepsRequested]]=DiscreteStatsTable[[#This Row],[RepsWithStatObserved]],1,0)</f>
        <v>1</v>
      </c>
    </row>
    <row r="113" spans="1:25" x14ac:dyDescent="0.4">
      <c r="A113" t="s">
        <v>67</v>
      </c>
      <c r="B113" t="s">
        <v>69</v>
      </c>
      <c r="C113">
        <v>12</v>
      </c>
      <c r="D113" t="s">
        <v>74</v>
      </c>
      <c r="E113" t="s">
        <v>71</v>
      </c>
      <c r="F113" t="s">
        <v>72</v>
      </c>
      <c r="G113">
        <v>0</v>
      </c>
      <c r="H113">
        <v>0</v>
      </c>
      <c r="I113">
        <v>0</v>
      </c>
      <c r="J113">
        <v>0</v>
      </c>
      <c r="K113">
        <v>485</v>
      </c>
      <c r="L113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541.12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>
        <f>IF(DiscreteStatsTable[[#This Row],[RepsRequested]]=DiscreteStatsTable[[#This Row],[RepsWithStatObserved]],1,0)</f>
        <v>1</v>
      </c>
    </row>
    <row r="114" spans="1:25" x14ac:dyDescent="0.4">
      <c r="A114" t="s">
        <v>67</v>
      </c>
      <c r="B114" t="s">
        <v>69</v>
      </c>
      <c r="C114">
        <v>13</v>
      </c>
      <c r="D114" t="s">
        <v>74</v>
      </c>
      <c r="E114" t="s">
        <v>71</v>
      </c>
      <c r="F114" t="s">
        <v>72</v>
      </c>
      <c r="G114">
        <v>0</v>
      </c>
      <c r="H114">
        <v>0</v>
      </c>
      <c r="I114">
        <v>0</v>
      </c>
      <c r="J114">
        <v>0</v>
      </c>
      <c r="K114">
        <v>523</v>
      </c>
      <c r="L114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541.12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>
        <f>IF(DiscreteStatsTable[[#This Row],[RepsRequested]]=DiscreteStatsTable[[#This Row],[RepsWithStatObserved]],1,0)</f>
        <v>1</v>
      </c>
    </row>
    <row r="115" spans="1:25" x14ac:dyDescent="0.4">
      <c r="A115" t="s">
        <v>67</v>
      </c>
      <c r="B115" t="s">
        <v>69</v>
      </c>
      <c r="C115">
        <v>14</v>
      </c>
      <c r="D115" t="s">
        <v>74</v>
      </c>
      <c r="E115" t="s">
        <v>71</v>
      </c>
      <c r="F115" t="s">
        <v>72</v>
      </c>
      <c r="G115">
        <v>0</v>
      </c>
      <c r="H115">
        <v>0</v>
      </c>
      <c r="I115">
        <v>0</v>
      </c>
      <c r="J115">
        <v>0</v>
      </c>
      <c r="K115">
        <v>521</v>
      </c>
      <c r="L11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541.12</v>
      </c>
      <c r="W115">
        <f>IF((DiscreteStatsTable[[#This Row],[RepsRequested]]&gt;1),DiscreteStatsTable[[#This Row],[HalfWidth]],DiscreteStatsTable[[#This Row],[BatchMeansHalfWidth]])</f>
        <v>0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>
        <f>IF(DiscreteStatsTable[[#This Row],[RepsRequested]]=DiscreteStatsTable[[#This Row],[RepsWithStatObserved]],1,0)</f>
        <v>1</v>
      </c>
    </row>
    <row r="116" spans="1:25" x14ac:dyDescent="0.4">
      <c r="A116" t="s">
        <v>67</v>
      </c>
      <c r="B116" t="s">
        <v>69</v>
      </c>
      <c r="C116">
        <v>15</v>
      </c>
      <c r="D116" t="s">
        <v>74</v>
      </c>
      <c r="E116" t="s">
        <v>71</v>
      </c>
      <c r="F116" t="s">
        <v>72</v>
      </c>
      <c r="G116">
        <v>0</v>
      </c>
      <c r="H116">
        <v>0</v>
      </c>
      <c r="I116">
        <v>0</v>
      </c>
      <c r="J116">
        <v>0</v>
      </c>
      <c r="K116">
        <v>559</v>
      </c>
      <c r="L116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541.12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>
        <f>IF(DiscreteStatsTable[[#This Row],[RepsRequested]]=DiscreteStatsTable[[#This Row],[RepsWithStatObserved]],1,0)</f>
        <v>1</v>
      </c>
    </row>
    <row r="117" spans="1:25" x14ac:dyDescent="0.4">
      <c r="A117" t="s">
        <v>67</v>
      </c>
      <c r="B117" t="s">
        <v>69</v>
      </c>
      <c r="C117">
        <v>16</v>
      </c>
      <c r="D117" t="s">
        <v>74</v>
      </c>
      <c r="E117" t="s">
        <v>71</v>
      </c>
      <c r="F117" t="s">
        <v>72</v>
      </c>
      <c r="G117">
        <v>0</v>
      </c>
      <c r="H117">
        <v>0</v>
      </c>
      <c r="I117">
        <v>0</v>
      </c>
      <c r="J117">
        <v>0</v>
      </c>
      <c r="K117">
        <v>458</v>
      </c>
      <c r="L117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541.12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>
        <f>IF(DiscreteStatsTable[[#This Row],[RepsRequested]]=DiscreteStatsTable[[#This Row],[RepsWithStatObserved]],1,0)</f>
        <v>1</v>
      </c>
    </row>
    <row r="118" spans="1:25" x14ac:dyDescent="0.4">
      <c r="A118" t="s">
        <v>67</v>
      </c>
      <c r="B118" t="s">
        <v>69</v>
      </c>
      <c r="C118">
        <v>17</v>
      </c>
      <c r="D118" t="s">
        <v>74</v>
      </c>
      <c r="E118" t="s">
        <v>71</v>
      </c>
      <c r="F118" t="s">
        <v>72</v>
      </c>
      <c r="G118">
        <v>0</v>
      </c>
      <c r="H118">
        <v>0</v>
      </c>
      <c r="I118">
        <v>0</v>
      </c>
      <c r="J118">
        <v>0</v>
      </c>
      <c r="K118">
        <v>548</v>
      </c>
      <c r="L118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541.12</v>
      </c>
      <c r="W118">
        <f>IF((DiscreteStatsTable[[#This Row],[RepsRequested]]&gt;1),DiscreteStatsTable[[#This Row],[HalfWidth]],DiscreteStatsTable[[#This Row],[BatchMeansHalfWidth]])</f>
        <v>0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>
        <f>IF(DiscreteStatsTable[[#This Row],[RepsRequested]]=DiscreteStatsTable[[#This Row],[RepsWithStatObserved]],1,0)</f>
        <v>1</v>
      </c>
    </row>
    <row r="119" spans="1:25" x14ac:dyDescent="0.4">
      <c r="A119" t="s">
        <v>67</v>
      </c>
      <c r="B119" t="s">
        <v>69</v>
      </c>
      <c r="C119">
        <v>18</v>
      </c>
      <c r="D119" t="s">
        <v>74</v>
      </c>
      <c r="E119" t="s">
        <v>71</v>
      </c>
      <c r="F119" t="s">
        <v>72</v>
      </c>
      <c r="G119">
        <v>0</v>
      </c>
      <c r="H119">
        <v>0</v>
      </c>
      <c r="I119">
        <v>0</v>
      </c>
      <c r="J119">
        <v>0</v>
      </c>
      <c r="K119">
        <v>614</v>
      </c>
      <c r="L119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541.12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>
        <f>IF(DiscreteStatsTable[[#This Row],[RepsRequested]]=DiscreteStatsTable[[#This Row],[RepsWithStatObserved]],1,0)</f>
        <v>1</v>
      </c>
    </row>
    <row r="120" spans="1:25" x14ac:dyDescent="0.4">
      <c r="A120" t="s">
        <v>67</v>
      </c>
      <c r="B120" t="s">
        <v>69</v>
      </c>
      <c r="C120">
        <v>19</v>
      </c>
      <c r="D120" t="s">
        <v>74</v>
      </c>
      <c r="E120" t="s">
        <v>71</v>
      </c>
      <c r="F120" t="s">
        <v>72</v>
      </c>
      <c r="G120">
        <v>0</v>
      </c>
      <c r="H120">
        <v>0</v>
      </c>
      <c r="I120">
        <v>0</v>
      </c>
      <c r="J120">
        <v>0</v>
      </c>
      <c r="K120">
        <v>543</v>
      </c>
      <c r="L120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541.12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>
        <f>IF(DiscreteStatsTable[[#This Row],[RepsRequested]]=DiscreteStatsTable[[#This Row],[RepsWithStatObserved]],1,0)</f>
        <v>1</v>
      </c>
    </row>
    <row r="121" spans="1:25" x14ac:dyDescent="0.4">
      <c r="A121" t="s">
        <v>67</v>
      </c>
      <c r="B121" t="s">
        <v>69</v>
      </c>
      <c r="C121">
        <v>20</v>
      </c>
      <c r="D121" t="s">
        <v>74</v>
      </c>
      <c r="E121" t="s">
        <v>71</v>
      </c>
      <c r="F121" t="s">
        <v>72</v>
      </c>
      <c r="G121">
        <v>0</v>
      </c>
      <c r="H121">
        <v>0</v>
      </c>
      <c r="I121">
        <v>0</v>
      </c>
      <c r="J121">
        <v>0</v>
      </c>
      <c r="K121">
        <v>618</v>
      </c>
      <c r="L121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541.12</v>
      </c>
      <c r="W121">
        <f>IF((DiscreteStatsTable[[#This Row],[RepsRequested]]&gt;1),DiscreteStatsTable[[#This Row],[HalfWidth]],DiscreteStatsTable[[#This Row],[BatchMeansHalfWidth]])</f>
        <v>0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>
        <f>IF(DiscreteStatsTable[[#This Row],[RepsRequested]]=DiscreteStatsTable[[#This Row],[RepsWithStatObserved]],1,0)</f>
        <v>1</v>
      </c>
    </row>
    <row r="122" spans="1:25" x14ac:dyDescent="0.4">
      <c r="A122" t="s">
        <v>67</v>
      </c>
      <c r="B122" t="s">
        <v>69</v>
      </c>
      <c r="C122">
        <v>21</v>
      </c>
      <c r="D122" t="s">
        <v>74</v>
      </c>
      <c r="E122" t="s">
        <v>71</v>
      </c>
      <c r="F122" t="s">
        <v>72</v>
      </c>
      <c r="G122">
        <v>0</v>
      </c>
      <c r="H122">
        <v>0</v>
      </c>
      <c r="I122">
        <v>0</v>
      </c>
      <c r="J122">
        <v>0</v>
      </c>
      <c r="K122">
        <v>513</v>
      </c>
      <c r="L122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541.12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4">
      <c r="A123" t="s">
        <v>67</v>
      </c>
      <c r="B123" t="s">
        <v>69</v>
      </c>
      <c r="C123">
        <v>22</v>
      </c>
      <c r="D123" t="s">
        <v>74</v>
      </c>
      <c r="E123" t="s">
        <v>71</v>
      </c>
      <c r="F123" t="s">
        <v>72</v>
      </c>
      <c r="G123">
        <v>0</v>
      </c>
      <c r="H123">
        <v>0</v>
      </c>
      <c r="I123">
        <v>0</v>
      </c>
      <c r="J123">
        <v>0</v>
      </c>
      <c r="K123">
        <v>535</v>
      </c>
      <c r="L123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541.12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4">
      <c r="A124" t="s">
        <v>67</v>
      </c>
      <c r="B124" t="s">
        <v>69</v>
      </c>
      <c r="C124">
        <v>23</v>
      </c>
      <c r="D124" t="s">
        <v>74</v>
      </c>
      <c r="E124" t="s">
        <v>71</v>
      </c>
      <c r="F124" t="s">
        <v>72</v>
      </c>
      <c r="G124">
        <v>0</v>
      </c>
      <c r="H124">
        <v>0</v>
      </c>
      <c r="I124">
        <v>0</v>
      </c>
      <c r="J124">
        <v>0</v>
      </c>
      <c r="K124">
        <v>572</v>
      </c>
      <c r="L124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541.12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4">
      <c r="A125" t="s">
        <v>67</v>
      </c>
      <c r="B125" t="s">
        <v>69</v>
      </c>
      <c r="C125">
        <v>24</v>
      </c>
      <c r="D125" t="s">
        <v>74</v>
      </c>
      <c r="E125" t="s">
        <v>71</v>
      </c>
      <c r="F125" t="s">
        <v>72</v>
      </c>
      <c r="G125">
        <v>0</v>
      </c>
      <c r="H125">
        <v>0</v>
      </c>
      <c r="I125">
        <v>0</v>
      </c>
      <c r="J125">
        <v>0</v>
      </c>
      <c r="K125">
        <v>537</v>
      </c>
      <c r="L125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541.12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4">
      <c r="A126" t="s">
        <v>67</v>
      </c>
      <c r="B126" t="s">
        <v>69</v>
      </c>
      <c r="C126">
        <v>25</v>
      </c>
      <c r="D126" t="s">
        <v>74</v>
      </c>
      <c r="E126" t="s">
        <v>71</v>
      </c>
      <c r="F126" t="s">
        <v>72</v>
      </c>
      <c r="G126">
        <v>0</v>
      </c>
      <c r="H126">
        <v>0</v>
      </c>
      <c r="I126">
        <v>0</v>
      </c>
      <c r="J126">
        <v>0</v>
      </c>
      <c r="K126">
        <v>590</v>
      </c>
      <c r="L126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541.12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4">
      <c r="A127" t="s">
        <v>67</v>
      </c>
      <c r="B127" t="s">
        <v>69</v>
      </c>
      <c r="C127">
        <v>26</v>
      </c>
      <c r="D127" t="s">
        <v>74</v>
      </c>
      <c r="E127" t="s">
        <v>71</v>
      </c>
      <c r="F127" t="s">
        <v>72</v>
      </c>
      <c r="G127">
        <v>0</v>
      </c>
      <c r="H127">
        <v>0</v>
      </c>
      <c r="I127">
        <v>0</v>
      </c>
      <c r="J127">
        <v>0</v>
      </c>
      <c r="K127">
        <v>519</v>
      </c>
      <c r="L127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541.12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4">
      <c r="A128" t="s">
        <v>67</v>
      </c>
      <c r="B128" t="s">
        <v>69</v>
      </c>
      <c r="C128">
        <v>27</v>
      </c>
      <c r="D128" t="s">
        <v>74</v>
      </c>
      <c r="E128" t="s">
        <v>71</v>
      </c>
      <c r="F128" t="s">
        <v>72</v>
      </c>
      <c r="G128">
        <v>0</v>
      </c>
      <c r="H128">
        <v>0</v>
      </c>
      <c r="I128">
        <v>0</v>
      </c>
      <c r="J128">
        <v>0</v>
      </c>
      <c r="K128">
        <v>518</v>
      </c>
      <c r="L128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541.12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4">
      <c r="A129" t="s">
        <v>67</v>
      </c>
      <c r="B129" t="s">
        <v>69</v>
      </c>
      <c r="C129">
        <v>28</v>
      </c>
      <c r="D129" t="s">
        <v>74</v>
      </c>
      <c r="E129" t="s">
        <v>71</v>
      </c>
      <c r="F129" t="s">
        <v>72</v>
      </c>
      <c r="G129">
        <v>0</v>
      </c>
      <c r="H129">
        <v>0</v>
      </c>
      <c r="I129">
        <v>0</v>
      </c>
      <c r="J129">
        <v>0</v>
      </c>
      <c r="K129">
        <v>473</v>
      </c>
      <c r="L129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541.12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4">
      <c r="A130" t="s">
        <v>67</v>
      </c>
      <c r="B130" t="s">
        <v>69</v>
      </c>
      <c r="C130">
        <v>29</v>
      </c>
      <c r="D130" t="s">
        <v>74</v>
      </c>
      <c r="E130" t="s">
        <v>71</v>
      </c>
      <c r="F130" t="s">
        <v>72</v>
      </c>
      <c r="G130">
        <v>0</v>
      </c>
      <c r="H130">
        <v>0</v>
      </c>
      <c r="I130">
        <v>0</v>
      </c>
      <c r="J130">
        <v>0</v>
      </c>
      <c r="K130">
        <v>586</v>
      </c>
      <c r="L130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541.12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4">
      <c r="A131" t="s">
        <v>67</v>
      </c>
      <c r="B131" t="s">
        <v>69</v>
      </c>
      <c r="C131">
        <v>30</v>
      </c>
      <c r="D131" t="s">
        <v>74</v>
      </c>
      <c r="E131" t="s">
        <v>71</v>
      </c>
      <c r="F131" t="s">
        <v>72</v>
      </c>
      <c r="G131">
        <v>0</v>
      </c>
      <c r="H131">
        <v>0</v>
      </c>
      <c r="I131">
        <v>0</v>
      </c>
      <c r="J131">
        <v>0</v>
      </c>
      <c r="K131">
        <v>529</v>
      </c>
      <c r="L131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541.12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4">
      <c r="A132" t="s">
        <v>67</v>
      </c>
      <c r="B132" t="s">
        <v>69</v>
      </c>
      <c r="C132">
        <v>31</v>
      </c>
      <c r="D132" t="s">
        <v>74</v>
      </c>
      <c r="E132" t="s">
        <v>71</v>
      </c>
      <c r="F132" t="s">
        <v>72</v>
      </c>
      <c r="G132">
        <v>0</v>
      </c>
      <c r="H132">
        <v>0</v>
      </c>
      <c r="I132">
        <v>0</v>
      </c>
      <c r="J132">
        <v>0</v>
      </c>
      <c r="K132">
        <v>578</v>
      </c>
      <c r="L132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541.12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4">
      <c r="A133" t="s">
        <v>67</v>
      </c>
      <c r="B133" t="s">
        <v>69</v>
      </c>
      <c r="C133">
        <v>32</v>
      </c>
      <c r="D133" t="s">
        <v>74</v>
      </c>
      <c r="E133" t="s">
        <v>71</v>
      </c>
      <c r="F133" t="s">
        <v>72</v>
      </c>
      <c r="G133">
        <v>0</v>
      </c>
      <c r="H133">
        <v>0</v>
      </c>
      <c r="I133">
        <v>0</v>
      </c>
      <c r="J133">
        <v>0</v>
      </c>
      <c r="K133">
        <v>540</v>
      </c>
      <c r="L133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541.12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4">
      <c r="A134" t="s">
        <v>67</v>
      </c>
      <c r="B134" t="s">
        <v>69</v>
      </c>
      <c r="C134">
        <v>33</v>
      </c>
      <c r="D134" t="s">
        <v>74</v>
      </c>
      <c r="E134" t="s">
        <v>71</v>
      </c>
      <c r="F134" t="s">
        <v>72</v>
      </c>
      <c r="G134">
        <v>0</v>
      </c>
      <c r="H134">
        <v>0</v>
      </c>
      <c r="I134">
        <v>0</v>
      </c>
      <c r="J134">
        <v>0</v>
      </c>
      <c r="K134">
        <v>555</v>
      </c>
      <c r="L134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541.12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4">
      <c r="A135" t="s">
        <v>67</v>
      </c>
      <c r="B135" t="s">
        <v>69</v>
      </c>
      <c r="C135">
        <v>34</v>
      </c>
      <c r="D135" t="s">
        <v>74</v>
      </c>
      <c r="E135" t="s">
        <v>71</v>
      </c>
      <c r="F135" t="s">
        <v>72</v>
      </c>
      <c r="G135">
        <v>0</v>
      </c>
      <c r="H135">
        <v>0</v>
      </c>
      <c r="I135">
        <v>0</v>
      </c>
      <c r="J135">
        <v>0</v>
      </c>
      <c r="K135">
        <v>566</v>
      </c>
      <c r="L135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541.12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4">
      <c r="A136" t="s">
        <v>67</v>
      </c>
      <c r="B136" t="s">
        <v>69</v>
      </c>
      <c r="C136">
        <v>35</v>
      </c>
      <c r="D136" t="s">
        <v>74</v>
      </c>
      <c r="E136" t="s">
        <v>71</v>
      </c>
      <c r="F136" t="s">
        <v>72</v>
      </c>
      <c r="G136">
        <v>0</v>
      </c>
      <c r="H136">
        <v>0</v>
      </c>
      <c r="I136">
        <v>0</v>
      </c>
      <c r="J136">
        <v>0</v>
      </c>
      <c r="K136">
        <v>546</v>
      </c>
      <c r="L136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541.12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4">
      <c r="A137" t="s">
        <v>67</v>
      </c>
      <c r="B137" t="s">
        <v>69</v>
      </c>
      <c r="C137">
        <v>36</v>
      </c>
      <c r="D137" t="s">
        <v>74</v>
      </c>
      <c r="E137" t="s">
        <v>71</v>
      </c>
      <c r="F137" t="s">
        <v>72</v>
      </c>
      <c r="G137">
        <v>0</v>
      </c>
      <c r="H137">
        <v>0</v>
      </c>
      <c r="I137">
        <v>0</v>
      </c>
      <c r="J137">
        <v>0</v>
      </c>
      <c r="K137">
        <v>564</v>
      </c>
      <c r="L137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541.12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4">
      <c r="A138" t="s">
        <v>67</v>
      </c>
      <c r="B138" t="s">
        <v>69</v>
      </c>
      <c r="C138">
        <v>37</v>
      </c>
      <c r="D138" t="s">
        <v>74</v>
      </c>
      <c r="E138" t="s">
        <v>71</v>
      </c>
      <c r="F138" t="s">
        <v>72</v>
      </c>
      <c r="G138">
        <v>0</v>
      </c>
      <c r="H138">
        <v>0</v>
      </c>
      <c r="I138">
        <v>0</v>
      </c>
      <c r="J138">
        <v>0</v>
      </c>
      <c r="K138">
        <v>534</v>
      </c>
      <c r="L138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541.12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4">
      <c r="A139" t="s">
        <v>67</v>
      </c>
      <c r="B139" t="s">
        <v>69</v>
      </c>
      <c r="C139">
        <v>38</v>
      </c>
      <c r="D139" t="s">
        <v>74</v>
      </c>
      <c r="E139" t="s">
        <v>71</v>
      </c>
      <c r="F139" t="s">
        <v>72</v>
      </c>
      <c r="G139">
        <v>0</v>
      </c>
      <c r="H139">
        <v>0</v>
      </c>
      <c r="I139">
        <v>0</v>
      </c>
      <c r="J139">
        <v>0</v>
      </c>
      <c r="K139">
        <v>608</v>
      </c>
      <c r="L139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541.12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4">
      <c r="A140" t="s">
        <v>67</v>
      </c>
      <c r="B140" t="s">
        <v>69</v>
      </c>
      <c r="C140">
        <v>39</v>
      </c>
      <c r="D140" t="s">
        <v>74</v>
      </c>
      <c r="E140" t="s">
        <v>71</v>
      </c>
      <c r="F140" t="s">
        <v>72</v>
      </c>
      <c r="G140">
        <v>0</v>
      </c>
      <c r="H140">
        <v>0</v>
      </c>
      <c r="I140">
        <v>0</v>
      </c>
      <c r="J140">
        <v>0</v>
      </c>
      <c r="K140">
        <v>485</v>
      </c>
      <c r="L140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541.12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4">
      <c r="A141" t="s">
        <v>67</v>
      </c>
      <c r="B141" t="s">
        <v>69</v>
      </c>
      <c r="C141">
        <v>40</v>
      </c>
      <c r="D141" t="s">
        <v>74</v>
      </c>
      <c r="E141" t="s">
        <v>71</v>
      </c>
      <c r="F141" t="s">
        <v>72</v>
      </c>
      <c r="G141">
        <v>0</v>
      </c>
      <c r="H141">
        <v>0</v>
      </c>
      <c r="I141">
        <v>0</v>
      </c>
      <c r="J141">
        <v>0</v>
      </c>
      <c r="K141">
        <v>588</v>
      </c>
      <c r="L141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541.12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4">
      <c r="A142" t="s">
        <v>67</v>
      </c>
      <c r="B142" t="s">
        <v>69</v>
      </c>
      <c r="C142">
        <v>41</v>
      </c>
      <c r="D142" t="s">
        <v>74</v>
      </c>
      <c r="E142" t="s">
        <v>71</v>
      </c>
      <c r="F142" t="s">
        <v>72</v>
      </c>
      <c r="G142">
        <v>0</v>
      </c>
      <c r="H142">
        <v>0</v>
      </c>
      <c r="I142">
        <v>0</v>
      </c>
      <c r="J142">
        <v>0</v>
      </c>
      <c r="K142">
        <v>450</v>
      </c>
      <c r="L142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541.12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4">
      <c r="A143" t="s">
        <v>67</v>
      </c>
      <c r="B143" t="s">
        <v>69</v>
      </c>
      <c r="C143">
        <v>42</v>
      </c>
      <c r="D143" t="s">
        <v>74</v>
      </c>
      <c r="E143" t="s">
        <v>71</v>
      </c>
      <c r="F143" t="s">
        <v>72</v>
      </c>
      <c r="G143">
        <v>0</v>
      </c>
      <c r="H143">
        <v>0</v>
      </c>
      <c r="I143">
        <v>0</v>
      </c>
      <c r="J143">
        <v>0</v>
      </c>
      <c r="K143">
        <v>501</v>
      </c>
      <c r="L143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541.12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4">
      <c r="A144" t="s">
        <v>67</v>
      </c>
      <c r="B144" t="s">
        <v>69</v>
      </c>
      <c r="C144">
        <v>43</v>
      </c>
      <c r="D144" t="s">
        <v>74</v>
      </c>
      <c r="E144" t="s">
        <v>71</v>
      </c>
      <c r="F144" t="s">
        <v>72</v>
      </c>
      <c r="G144">
        <v>0</v>
      </c>
      <c r="H144">
        <v>0</v>
      </c>
      <c r="I144">
        <v>0</v>
      </c>
      <c r="J144">
        <v>0</v>
      </c>
      <c r="K144">
        <v>555</v>
      </c>
      <c r="L144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541.12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4">
      <c r="A145" t="s">
        <v>67</v>
      </c>
      <c r="B145" t="s">
        <v>69</v>
      </c>
      <c r="C145">
        <v>44</v>
      </c>
      <c r="D145" t="s">
        <v>74</v>
      </c>
      <c r="E145" t="s">
        <v>71</v>
      </c>
      <c r="F145" t="s">
        <v>72</v>
      </c>
      <c r="G145">
        <v>0</v>
      </c>
      <c r="H145">
        <v>0</v>
      </c>
      <c r="I145">
        <v>0</v>
      </c>
      <c r="J145">
        <v>0</v>
      </c>
      <c r="K145">
        <v>507</v>
      </c>
      <c r="L145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541.12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4">
      <c r="A146" t="s">
        <v>67</v>
      </c>
      <c r="B146" t="s">
        <v>69</v>
      </c>
      <c r="C146">
        <v>45</v>
      </c>
      <c r="D146" t="s">
        <v>74</v>
      </c>
      <c r="E146" t="s">
        <v>71</v>
      </c>
      <c r="F146" t="s">
        <v>72</v>
      </c>
      <c r="G146">
        <v>0</v>
      </c>
      <c r="H146">
        <v>0</v>
      </c>
      <c r="I146">
        <v>0</v>
      </c>
      <c r="J146">
        <v>0</v>
      </c>
      <c r="K146">
        <v>528</v>
      </c>
      <c r="L146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541.12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4">
      <c r="A147" t="s">
        <v>67</v>
      </c>
      <c r="B147" t="s">
        <v>69</v>
      </c>
      <c r="C147">
        <v>46</v>
      </c>
      <c r="D147" t="s">
        <v>74</v>
      </c>
      <c r="E147" t="s">
        <v>71</v>
      </c>
      <c r="F147" t="s">
        <v>72</v>
      </c>
      <c r="G147">
        <v>0</v>
      </c>
      <c r="H147">
        <v>0</v>
      </c>
      <c r="I147">
        <v>0</v>
      </c>
      <c r="J147">
        <v>0</v>
      </c>
      <c r="K147">
        <v>558</v>
      </c>
      <c r="L147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541.12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4">
      <c r="A148" t="s">
        <v>67</v>
      </c>
      <c r="B148" t="s">
        <v>69</v>
      </c>
      <c r="C148">
        <v>47</v>
      </c>
      <c r="D148" t="s">
        <v>74</v>
      </c>
      <c r="E148" t="s">
        <v>71</v>
      </c>
      <c r="F148" t="s">
        <v>72</v>
      </c>
      <c r="G148">
        <v>0</v>
      </c>
      <c r="H148">
        <v>0</v>
      </c>
      <c r="I148">
        <v>0</v>
      </c>
      <c r="J148">
        <v>0</v>
      </c>
      <c r="K148">
        <v>520</v>
      </c>
      <c r="L148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541.12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4">
      <c r="A149" t="s">
        <v>67</v>
      </c>
      <c r="B149" t="s">
        <v>69</v>
      </c>
      <c r="C149">
        <v>48</v>
      </c>
      <c r="D149" t="s">
        <v>74</v>
      </c>
      <c r="E149" t="s">
        <v>71</v>
      </c>
      <c r="F149" t="s">
        <v>72</v>
      </c>
      <c r="G149">
        <v>0</v>
      </c>
      <c r="H149">
        <v>0</v>
      </c>
      <c r="I149">
        <v>0</v>
      </c>
      <c r="J149">
        <v>0</v>
      </c>
      <c r="K149">
        <v>525</v>
      </c>
      <c r="L149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541.12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4">
      <c r="A150" t="s">
        <v>67</v>
      </c>
      <c r="B150" t="s">
        <v>69</v>
      </c>
      <c r="C150">
        <v>49</v>
      </c>
      <c r="D150" t="s">
        <v>74</v>
      </c>
      <c r="E150" t="s">
        <v>71</v>
      </c>
      <c r="F150" t="s">
        <v>72</v>
      </c>
      <c r="G150">
        <v>0</v>
      </c>
      <c r="H150">
        <v>0</v>
      </c>
      <c r="I150">
        <v>0</v>
      </c>
      <c r="J150">
        <v>0</v>
      </c>
      <c r="K150">
        <v>571</v>
      </c>
      <c r="L150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541.12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4">
      <c r="A151" t="s">
        <v>67</v>
      </c>
      <c r="B151" t="s">
        <v>69</v>
      </c>
      <c r="C151">
        <v>50</v>
      </c>
      <c r="D151" t="s">
        <v>74</v>
      </c>
      <c r="E151" t="s">
        <v>71</v>
      </c>
      <c r="F151" t="s">
        <v>72</v>
      </c>
      <c r="G151">
        <v>0</v>
      </c>
      <c r="H151">
        <v>0</v>
      </c>
      <c r="I151">
        <v>0</v>
      </c>
      <c r="J151">
        <v>0</v>
      </c>
      <c r="K151">
        <v>561</v>
      </c>
      <c r="L151" s="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541.12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4">
      <c r="A152" t="s">
        <v>67</v>
      </c>
      <c r="B152" t="s">
        <v>69</v>
      </c>
      <c r="C152">
        <v>1</v>
      </c>
      <c r="D152" t="s">
        <v>75</v>
      </c>
      <c r="E152" t="s">
        <v>71</v>
      </c>
      <c r="F152" t="s">
        <v>72</v>
      </c>
      <c r="G152">
        <v>0</v>
      </c>
      <c r="H152">
        <v>0</v>
      </c>
      <c r="I152">
        <v>0</v>
      </c>
      <c r="J152">
        <v>0</v>
      </c>
      <c r="K152">
        <v>544</v>
      </c>
      <c r="L152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545.6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4">
      <c r="A153" t="s">
        <v>67</v>
      </c>
      <c r="B153" t="s">
        <v>69</v>
      </c>
      <c r="C153">
        <v>2</v>
      </c>
      <c r="D153" t="s">
        <v>75</v>
      </c>
      <c r="E153" t="s">
        <v>71</v>
      </c>
      <c r="F153" t="s">
        <v>72</v>
      </c>
      <c r="G153">
        <v>0</v>
      </c>
      <c r="H153">
        <v>0</v>
      </c>
      <c r="I153">
        <v>0</v>
      </c>
      <c r="J153">
        <v>0</v>
      </c>
      <c r="K153">
        <v>556</v>
      </c>
      <c r="L153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545.6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4">
      <c r="A154" t="s">
        <v>67</v>
      </c>
      <c r="B154" t="s">
        <v>69</v>
      </c>
      <c r="C154">
        <v>3</v>
      </c>
      <c r="D154" t="s">
        <v>75</v>
      </c>
      <c r="E154" t="s">
        <v>71</v>
      </c>
      <c r="F154" t="s">
        <v>72</v>
      </c>
      <c r="G154">
        <v>0</v>
      </c>
      <c r="H154">
        <v>0</v>
      </c>
      <c r="I154">
        <v>0</v>
      </c>
      <c r="J154">
        <v>0</v>
      </c>
      <c r="K154">
        <v>526</v>
      </c>
      <c r="L154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545.6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4">
      <c r="A155" t="s">
        <v>67</v>
      </c>
      <c r="B155" t="s">
        <v>69</v>
      </c>
      <c r="C155">
        <v>4</v>
      </c>
      <c r="D155" t="s">
        <v>75</v>
      </c>
      <c r="E155" t="s">
        <v>71</v>
      </c>
      <c r="F155" t="s">
        <v>72</v>
      </c>
      <c r="G155">
        <v>0</v>
      </c>
      <c r="H155">
        <v>0</v>
      </c>
      <c r="I155">
        <v>0</v>
      </c>
      <c r="J155">
        <v>0</v>
      </c>
      <c r="K155">
        <v>502</v>
      </c>
      <c r="L155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545.6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4">
      <c r="A156" t="s">
        <v>67</v>
      </c>
      <c r="B156" t="s">
        <v>69</v>
      </c>
      <c r="C156">
        <v>5</v>
      </c>
      <c r="D156" t="s">
        <v>75</v>
      </c>
      <c r="E156" t="s">
        <v>71</v>
      </c>
      <c r="F156" t="s">
        <v>72</v>
      </c>
      <c r="G156">
        <v>0</v>
      </c>
      <c r="H156">
        <v>0</v>
      </c>
      <c r="I156">
        <v>0</v>
      </c>
      <c r="J156">
        <v>0</v>
      </c>
      <c r="K156">
        <v>540</v>
      </c>
      <c r="L156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545.6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4">
      <c r="A157" t="s">
        <v>67</v>
      </c>
      <c r="B157" t="s">
        <v>69</v>
      </c>
      <c r="C157">
        <v>6</v>
      </c>
      <c r="D157" t="s">
        <v>75</v>
      </c>
      <c r="E157" t="s">
        <v>71</v>
      </c>
      <c r="F157" t="s">
        <v>72</v>
      </c>
      <c r="G157">
        <v>0</v>
      </c>
      <c r="H157">
        <v>0</v>
      </c>
      <c r="I157">
        <v>0</v>
      </c>
      <c r="J157">
        <v>0</v>
      </c>
      <c r="K157">
        <v>582</v>
      </c>
      <c r="L157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545.6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4">
      <c r="A158" t="s">
        <v>67</v>
      </c>
      <c r="B158" t="s">
        <v>69</v>
      </c>
      <c r="C158">
        <v>7</v>
      </c>
      <c r="D158" t="s">
        <v>75</v>
      </c>
      <c r="E158" t="s">
        <v>71</v>
      </c>
      <c r="F158" t="s">
        <v>72</v>
      </c>
      <c r="G158">
        <v>0</v>
      </c>
      <c r="H158">
        <v>0</v>
      </c>
      <c r="I158">
        <v>0</v>
      </c>
      <c r="J158">
        <v>0</v>
      </c>
      <c r="K158">
        <v>567</v>
      </c>
      <c r="L158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545.6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4">
      <c r="A159" t="s">
        <v>67</v>
      </c>
      <c r="B159" t="s">
        <v>69</v>
      </c>
      <c r="C159">
        <v>8</v>
      </c>
      <c r="D159" t="s">
        <v>75</v>
      </c>
      <c r="E159" t="s">
        <v>71</v>
      </c>
      <c r="F159" t="s">
        <v>72</v>
      </c>
      <c r="G159">
        <v>0</v>
      </c>
      <c r="H159">
        <v>0</v>
      </c>
      <c r="I159">
        <v>0</v>
      </c>
      <c r="J159">
        <v>0</v>
      </c>
      <c r="K159">
        <v>506</v>
      </c>
      <c r="L159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545.6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4">
      <c r="A160" t="s">
        <v>67</v>
      </c>
      <c r="B160" t="s">
        <v>69</v>
      </c>
      <c r="C160">
        <v>9</v>
      </c>
      <c r="D160" t="s">
        <v>75</v>
      </c>
      <c r="E160" t="s">
        <v>71</v>
      </c>
      <c r="F160" t="s">
        <v>72</v>
      </c>
      <c r="G160">
        <v>0</v>
      </c>
      <c r="H160">
        <v>0</v>
      </c>
      <c r="I160">
        <v>0</v>
      </c>
      <c r="J160">
        <v>0</v>
      </c>
      <c r="K160">
        <v>521</v>
      </c>
      <c r="L160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545.6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4">
      <c r="A161" t="s">
        <v>67</v>
      </c>
      <c r="B161" t="s">
        <v>69</v>
      </c>
      <c r="C161">
        <v>10</v>
      </c>
      <c r="D161" t="s">
        <v>75</v>
      </c>
      <c r="E161" t="s">
        <v>71</v>
      </c>
      <c r="F161" t="s">
        <v>72</v>
      </c>
      <c r="G161">
        <v>0</v>
      </c>
      <c r="H161">
        <v>0</v>
      </c>
      <c r="I161">
        <v>0</v>
      </c>
      <c r="J161">
        <v>0</v>
      </c>
      <c r="K161">
        <v>544</v>
      </c>
      <c r="L161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545.6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4">
      <c r="A162" t="s">
        <v>67</v>
      </c>
      <c r="B162" t="s">
        <v>69</v>
      </c>
      <c r="C162">
        <v>11</v>
      </c>
      <c r="D162" t="s">
        <v>75</v>
      </c>
      <c r="E162" t="s">
        <v>71</v>
      </c>
      <c r="F162" t="s">
        <v>72</v>
      </c>
      <c r="G162">
        <v>0</v>
      </c>
      <c r="H162">
        <v>0</v>
      </c>
      <c r="I162">
        <v>0</v>
      </c>
      <c r="J162">
        <v>0</v>
      </c>
      <c r="K162">
        <v>585</v>
      </c>
      <c r="L162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545.6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4">
      <c r="A163" t="s">
        <v>67</v>
      </c>
      <c r="B163" t="s">
        <v>69</v>
      </c>
      <c r="C163">
        <v>12</v>
      </c>
      <c r="D163" t="s">
        <v>75</v>
      </c>
      <c r="E163" t="s">
        <v>71</v>
      </c>
      <c r="F163" t="s">
        <v>72</v>
      </c>
      <c r="G163">
        <v>0</v>
      </c>
      <c r="H163">
        <v>0</v>
      </c>
      <c r="I163">
        <v>0</v>
      </c>
      <c r="J163">
        <v>0</v>
      </c>
      <c r="K163">
        <v>520</v>
      </c>
      <c r="L163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545.6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4">
      <c r="A164" t="s">
        <v>67</v>
      </c>
      <c r="B164" t="s">
        <v>69</v>
      </c>
      <c r="C164">
        <v>13</v>
      </c>
      <c r="D164" t="s">
        <v>75</v>
      </c>
      <c r="E164" t="s">
        <v>71</v>
      </c>
      <c r="F164" t="s">
        <v>72</v>
      </c>
      <c r="G164">
        <v>0</v>
      </c>
      <c r="H164">
        <v>0</v>
      </c>
      <c r="I164">
        <v>0</v>
      </c>
      <c r="J164">
        <v>0</v>
      </c>
      <c r="K164">
        <v>550</v>
      </c>
      <c r="L164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545.6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4">
      <c r="A165" t="s">
        <v>67</v>
      </c>
      <c r="B165" t="s">
        <v>69</v>
      </c>
      <c r="C165">
        <v>14</v>
      </c>
      <c r="D165" t="s">
        <v>75</v>
      </c>
      <c r="E165" t="s">
        <v>71</v>
      </c>
      <c r="F165" t="s">
        <v>72</v>
      </c>
      <c r="G165">
        <v>0</v>
      </c>
      <c r="H165">
        <v>0</v>
      </c>
      <c r="I165">
        <v>0</v>
      </c>
      <c r="J165">
        <v>0</v>
      </c>
      <c r="K165">
        <v>559</v>
      </c>
      <c r="L165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545.6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4">
      <c r="A166" t="s">
        <v>67</v>
      </c>
      <c r="B166" t="s">
        <v>69</v>
      </c>
      <c r="C166">
        <v>15</v>
      </c>
      <c r="D166" t="s">
        <v>75</v>
      </c>
      <c r="E166" t="s">
        <v>71</v>
      </c>
      <c r="F166" t="s">
        <v>72</v>
      </c>
      <c r="G166">
        <v>0</v>
      </c>
      <c r="H166">
        <v>0</v>
      </c>
      <c r="I166">
        <v>0</v>
      </c>
      <c r="J166">
        <v>0</v>
      </c>
      <c r="K166">
        <v>550</v>
      </c>
      <c r="L166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545.6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4">
      <c r="A167" t="s">
        <v>67</v>
      </c>
      <c r="B167" t="s">
        <v>69</v>
      </c>
      <c r="C167">
        <v>16</v>
      </c>
      <c r="D167" t="s">
        <v>75</v>
      </c>
      <c r="E167" t="s">
        <v>71</v>
      </c>
      <c r="F167" t="s">
        <v>72</v>
      </c>
      <c r="G167">
        <v>0</v>
      </c>
      <c r="H167">
        <v>0</v>
      </c>
      <c r="I167">
        <v>0</v>
      </c>
      <c r="J167">
        <v>0</v>
      </c>
      <c r="K167">
        <v>504</v>
      </c>
      <c r="L167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545.6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4">
      <c r="A168" t="s">
        <v>67</v>
      </c>
      <c r="B168" t="s">
        <v>69</v>
      </c>
      <c r="C168">
        <v>17</v>
      </c>
      <c r="D168" t="s">
        <v>75</v>
      </c>
      <c r="E168" t="s">
        <v>71</v>
      </c>
      <c r="F168" t="s">
        <v>72</v>
      </c>
      <c r="G168">
        <v>0</v>
      </c>
      <c r="H168">
        <v>0</v>
      </c>
      <c r="I168">
        <v>0</v>
      </c>
      <c r="J168">
        <v>0</v>
      </c>
      <c r="K168">
        <v>566</v>
      </c>
      <c r="L168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545.6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4">
      <c r="A169" t="s">
        <v>67</v>
      </c>
      <c r="B169" t="s">
        <v>69</v>
      </c>
      <c r="C169">
        <v>18</v>
      </c>
      <c r="D169" t="s">
        <v>75</v>
      </c>
      <c r="E169" t="s">
        <v>71</v>
      </c>
      <c r="F169" t="s">
        <v>72</v>
      </c>
      <c r="G169">
        <v>0</v>
      </c>
      <c r="H169">
        <v>0</v>
      </c>
      <c r="I169">
        <v>0</v>
      </c>
      <c r="J169">
        <v>0</v>
      </c>
      <c r="K169">
        <v>530</v>
      </c>
      <c r="L169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545.6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4">
      <c r="A170" t="s">
        <v>67</v>
      </c>
      <c r="B170" t="s">
        <v>69</v>
      </c>
      <c r="C170">
        <v>19</v>
      </c>
      <c r="D170" t="s">
        <v>75</v>
      </c>
      <c r="E170" t="s">
        <v>71</v>
      </c>
      <c r="F170" t="s">
        <v>72</v>
      </c>
      <c r="G170">
        <v>0</v>
      </c>
      <c r="H170">
        <v>0</v>
      </c>
      <c r="I170">
        <v>0</v>
      </c>
      <c r="J170">
        <v>0</v>
      </c>
      <c r="K170">
        <v>564</v>
      </c>
      <c r="L170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545.6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4">
      <c r="A171" t="s">
        <v>67</v>
      </c>
      <c r="B171" t="s">
        <v>69</v>
      </c>
      <c r="C171">
        <v>20</v>
      </c>
      <c r="D171" t="s">
        <v>75</v>
      </c>
      <c r="E171" t="s">
        <v>71</v>
      </c>
      <c r="F171" t="s">
        <v>72</v>
      </c>
      <c r="G171">
        <v>0</v>
      </c>
      <c r="H171">
        <v>0</v>
      </c>
      <c r="I171">
        <v>0</v>
      </c>
      <c r="J171">
        <v>0</v>
      </c>
      <c r="K171">
        <v>568</v>
      </c>
      <c r="L171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545.6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4">
      <c r="A172" t="s">
        <v>67</v>
      </c>
      <c r="B172" t="s">
        <v>69</v>
      </c>
      <c r="C172">
        <v>21</v>
      </c>
      <c r="D172" t="s">
        <v>75</v>
      </c>
      <c r="E172" t="s">
        <v>71</v>
      </c>
      <c r="F172" t="s">
        <v>72</v>
      </c>
      <c r="G172">
        <v>0</v>
      </c>
      <c r="H172">
        <v>0</v>
      </c>
      <c r="I172">
        <v>0</v>
      </c>
      <c r="J172">
        <v>0</v>
      </c>
      <c r="K172">
        <v>547</v>
      </c>
      <c r="L172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545.6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4">
      <c r="A173" t="s">
        <v>67</v>
      </c>
      <c r="B173" t="s">
        <v>69</v>
      </c>
      <c r="C173">
        <v>22</v>
      </c>
      <c r="D173" t="s">
        <v>75</v>
      </c>
      <c r="E173" t="s">
        <v>71</v>
      </c>
      <c r="F173" t="s">
        <v>72</v>
      </c>
      <c r="G173">
        <v>0</v>
      </c>
      <c r="H173">
        <v>0</v>
      </c>
      <c r="I173">
        <v>0</v>
      </c>
      <c r="J173">
        <v>0</v>
      </c>
      <c r="K173">
        <v>547</v>
      </c>
      <c r="L173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545.6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4">
      <c r="A174" t="s">
        <v>67</v>
      </c>
      <c r="B174" t="s">
        <v>69</v>
      </c>
      <c r="C174">
        <v>23</v>
      </c>
      <c r="D174" t="s">
        <v>75</v>
      </c>
      <c r="E174" t="s">
        <v>71</v>
      </c>
      <c r="F174" t="s">
        <v>72</v>
      </c>
      <c r="G174">
        <v>0</v>
      </c>
      <c r="H174">
        <v>0</v>
      </c>
      <c r="I174">
        <v>0</v>
      </c>
      <c r="J174">
        <v>0</v>
      </c>
      <c r="K174">
        <v>563</v>
      </c>
      <c r="L174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545.6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4">
      <c r="A175" t="s">
        <v>67</v>
      </c>
      <c r="B175" t="s">
        <v>69</v>
      </c>
      <c r="C175">
        <v>24</v>
      </c>
      <c r="D175" t="s">
        <v>75</v>
      </c>
      <c r="E175" t="s">
        <v>71</v>
      </c>
      <c r="F175" t="s">
        <v>72</v>
      </c>
      <c r="G175">
        <v>0</v>
      </c>
      <c r="H175">
        <v>0</v>
      </c>
      <c r="I175">
        <v>0</v>
      </c>
      <c r="J175">
        <v>0</v>
      </c>
      <c r="K175">
        <v>581</v>
      </c>
      <c r="L175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545.6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4">
      <c r="A176" t="s">
        <v>67</v>
      </c>
      <c r="B176" t="s">
        <v>69</v>
      </c>
      <c r="C176">
        <v>25</v>
      </c>
      <c r="D176" t="s">
        <v>75</v>
      </c>
      <c r="E176" t="s">
        <v>71</v>
      </c>
      <c r="F176" t="s">
        <v>72</v>
      </c>
      <c r="G176">
        <v>0</v>
      </c>
      <c r="H176">
        <v>0</v>
      </c>
      <c r="I176">
        <v>0</v>
      </c>
      <c r="J176">
        <v>0</v>
      </c>
      <c r="K176">
        <v>590</v>
      </c>
      <c r="L176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545.6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4">
      <c r="A177" t="s">
        <v>67</v>
      </c>
      <c r="B177" t="s">
        <v>69</v>
      </c>
      <c r="C177">
        <v>26</v>
      </c>
      <c r="D177" t="s">
        <v>75</v>
      </c>
      <c r="E177" t="s">
        <v>71</v>
      </c>
      <c r="F177" t="s">
        <v>72</v>
      </c>
      <c r="G177">
        <v>0</v>
      </c>
      <c r="H177">
        <v>0</v>
      </c>
      <c r="I177">
        <v>0</v>
      </c>
      <c r="J177">
        <v>0</v>
      </c>
      <c r="K177">
        <v>558</v>
      </c>
      <c r="L177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545.6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4">
      <c r="A178" t="s">
        <v>67</v>
      </c>
      <c r="B178" t="s">
        <v>69</v>
      </c>
      <c r="C178">
        <v>27</v>
      </c>
      <c r="D178" t="s">
        <v>75</v>
      </c>
      <c r="E178" t="s">
        <v>71</v>
      </c>
      <c r="F178" t="s">
        <v>72</v>
      </c>
      <c r="G178">
        <v>0</v>
      </c>
      <c r="H178">
        <v>0</v>
      </c>
      <c r="I178">
        <v>0</v>
      </c>
      <c r="J178">
        <v>0</v>
      </c>
      <c r="K178">
        <v>523</v>
      </c>
      <c r="L178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545.6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4">
      <c r="A179" t="s">
        <v>67</v>
      </c>
      <c r="B179" t="s">
        <v>69</v>
      </c>
      <c r="C179">
        <v>28</v>
      </c>
      <c r="D179" t="s">
        <v>75</v>
      </c>
      <c r="E179" t="s">
        <v>71</v>
      </c>
      <c r="F179" t="s">
        <v>72</v>
      </c>
      <c r="G179">
        <v>0</v>
      </c>
      <c r="H179">
        <v>0</v>
      </c>
      <c r="I179">
        <v>0</v>
      </c>
      <c r="J179">
        <v>0</v>
      </c>
      <c r="K179">
        <v>510</v>
      </c>
      <c r="L179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545.6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4">
      <c r="A180" t="s">
        <v>67</v>
      </c>
      <c r="B180" t="s">
        <v>69</v>
      </c>
      <c r="C180">
        <v>29</v>
      </c>
      <c r="D180" t="s">
        <v>75</v>
      </c>
      <c r="E180" t="s">
        <v>71</v>
      </c>
      <c r="F180" t="s">
        <v>72</v>
      </c>
      <c r="G180">
        <v>0</v>
      </c>
      <c r="H180">
        <v>0</v>
      </c>
      <c r="I180">
        <v>0</v>
      </c>
      <c r="J180">
        <v>0</v>
      </c>
      <c r="K180">
        <v>588</v>
      </c>
      <c r="L180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545.6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4">
      <c r="A181" t="s">
        <v>67</v>
      </c>
      <c r="B181" t="s">
        <v>69</v>
      </c>
      <c r="C181">
        <v>30</v>
      </c>
      <c r="D181" t="s">
        <v>75</v>
      </c>
      <c r="E181" t="s">
        <v>71</v>
      </c>
      <c r="F181" t="s">
        <v>72</v>
      </c>
      <c r="G181">
        <v>0</v>
      </c>
      <c r="H181">
        <v>0</v>
      </c>
      <c r="I181">
        <v>0</v>
      </c>
      <c r="J181">
        <v>0</v>
      </c>
      <c r="K181">
        <v>577</v>
      </c>
      <c r="L181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545.6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4">
      <c r="A182" t="s">
        <v>67</v>
      </c>
      <c r="B182" t="s">
        <v>69</v>
      </c>
      <c r="C182">
        <v>31</v>
      </c>
      <c r="D182" t="s">
        <v>75</v>
      </c>
      <c r="E182" t="s">
        <v>71</v>
      </c>
      <c r="F182" t="s">
        <v>72</v>
      </c>
      <c r="G182">
        <v>0</v>
      </c>
      <c r="H182">
        <v>0</v>
      </c>
      <c r="I182">
        <v>0</v>
      </c>
      <c r="J182">
        <v>0</v>
      </c>
      <c r="K182">
        <v>549</v>
      </c>
      <c r="L182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545.6</v>
      </c>
      <c r="W182" s="5">
        <f>IF((DiscreteStatsTable[[#This Row],[RepsRequested]]&gt;1),DiscreteStatsTable[[#This Row],[HalfWidth]],DiscreteStatsTable[[#This Row],[BatchMeansHalfWidth]])</f>
        <v>0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4">
      <c r="A183" t="s">
        <v>67</v>
      </c>
      <c r="B183" t="s">
        <v>69</v>
      </c>
      <c r="C183">
        <v>32</v>
      </c>
      <c r="D183" t="s">
        <v>75</v>
      </c>
      <c r="E183" t="s">
        <v>71</v>
      </c>
      <c r="F183" t="s">
        <v>72</v>
      </c>
      <c r="G183">
        <v>0</v>
      </c>
      <c r="H183">
        <v>0</v>
      </c>
      <c r="I183">
        <v>0</v>
      </c>
      <c r="J183">
        <v>0</v>
      </c>
      <c r="K183">
        <v>559</v>
      </c>
      <c r="L183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545.6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4">
      <c r="A184" t="s">
        <v>67</v>
      </c>
      <c r="B184" t="s">
        <v>69</v>
      </c>
      <c r="C184">
        <v>33</v>
      </c>
      <c r="D184" t="s">
        <v>75</v>
      </c>
      <c r="E184" t="s">
        <v>71</v>
      </c>
      <c r="F184" t="s">
        <v>72</v>
      </c>
      <c r="G184">
        <v>0</v>
      </c>
      <c r="H184">
        <v>0</v>
      </c>
      <c r="I184">
        <v>0</v>
      </c>
      <c r="J184">
        <v>0</v>
      </c>
      <c r="K184">
        <v>543</v>
      </c>
      <c r="L184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545.6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4">
      <c r="A185" t="s">
        <v>67</v>
      </c>
      <c r="B185" t="s">
        <v>69</v>
      </c>
      <c r="C185">
        <v>34</v>
      </c>
      <c r="D185" t="s">
        <v>75</v>
      </c>
      <c r="E185" t="s">
        <v>71</v>
      </c>
      <c r="F185" t="s">
        <v>72</v>
      </c>
      <c r="G185">
        <v>0</v>
      </c>
      <c r="H185">
        <v>0</v>
      </c>
      <c r="I185">
        <v>0</v>
      </c>
      <c r="J185">
        <v>0</v>
      </c>
      <c r="K185">
        <v>574</v>
      </c>
      <c r="L185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545.6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4">
      <c r="A186" t="s">
        <v>67</v>
      </c>
      <c r="B186" t="s">
        <v>69</v>
      </c>
      <c r="C186">
        <v>35</v>
      </c>
      <c r="D186" t="s">
        <v>75</v>
      </c>
      <c r="E186" t="s">
        <v>71</v>
      </c>
      <c r="F186" t="s">
        <v>72</v>
      </c>
      <c r="G186">
        <v>0</v>
      </c>
      <c r="H186">
        <v>0</v>
      </c>
      <c r="I186">
        <v>0</v>
      </c>
      <c r="J186">
        <v>0</v>
      </c>
      <c r="K186">
        <v>554</v>
      </c>
      <c r="L186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545.6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4">
      <c r="A187" t="s">
        <v>67</v>
      </c>
      <c r="B187" t="s">
        <v>69</v>
      </c>
      <c r="C187">
        <v>36</v>
      </c>
      <c r="D187" t="s">
        <v>75</v>
      </c>
      <c r="E187" t="s">
        <v>71</v>
      </c>
      <c r="F187" t="s">
        <v>72</v>
      </c>
      <c r="G187">
        <v>0</v>
      </c>
      <c r="H187">
        <v>0</v>
      </c>
      <c r="I187">
        <v>0</v>
      </c>
      <c r="J187">
        <v>0</v>
      </c>
      <c r="K187">
        <v>517</v>
      </c>
      <c r="L187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545.6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4">
      <c r="A188" t="s">
        <v>67</v>
      </c>
      <c r="B188" t="s">
        <v>69</v>
      </c>
      <c r="C188">
        <v>37</v>
      </c>
      <c r="D188" t="s">
        <v>75</v>
      </c>
      <c r="E188" t="s">
        <v>71</v>
      </c>
      <c r="F188" t="s">
        <v>72</v>
      </c>
      <c r="G188">
        <v>0</v>
      </c>
      <c r="H188">
        <v>0</v>
      </c>
      <c r="I188">
        <v>0</v>
      </c>
      <c r="J188">
        <v>0</v>
      </c>
      <c r="K188">
        <v>504</v>
      </c>
      <c r="L188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545.6</v>
      </c>
      <c r="W188" s="5">
        <f>IF((DiscreteStatsTable[[#This Row],[RepsRequested]]&gt;1),DiscreteStatsTable[[#This Row],[HalfWidth]],DiscreteStatsTable[[#This Row],[BatchMeansHalfWidth]])</f>
        <v>0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4">
      <c r="A189" t="s">
        <v>67</v>
      </c>
      <c r="B189" t="s">
        <v>69</v>
      </c>
      <c r="C189">
        <v>38</v>
      </c>
      <c r="D189" t="s">
        <v>75</v>
      </c>
      <c r="E189" t="s">
        <v>71</v>
      </c>
      <c r="F189" t="s">
        <v>72</v>
      </c>
      <c r="G189">
        <v>0</v>
      </c>
      <c r="H189">
        <v>0</v>
      </c>
      <c r="I189">
        <v>0</v>
      </c>
      <c r="J189">
        <v>0</v>
      </c>
      <c r="K189">
        <v>584</v>
      </c>
      <c r="L189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545.6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4">
      <c r="A190" t="s">
        <v>67</v>
      </c>
      <c r="B190" t="s">
        <v>69</v>
      </c>
      <c r="C190">
        <v>39</v>
      </c>
      <c r="D190" t="s">
        <v>75</v>
      </c>
      <c r="E190" t="s">
        <v>71</v>
      </c>
      <c r="F190" t="s">
        <v>72</v>
      </c>
      <c r="G190">
        <v>0</v>
      </c>
      <c r="H190">
        <v>0</v>
      </c>
      <c r="I190">
        <v>0</v>
      </c>
      <c r="J190">
        <v>0</v>
      </c>
      <c r="K190">
        <v>517</v>
      </c>
      <c r="L190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545.6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4">
      <c r="A191" t="s">
        <v>67</v>
      </c>
      <c r="B191" t="s">
        <v>69</v>
      </c>
      <c r="C191">
        <v>40</v>
      </c>
      <c r="D191" t="s">
        <v>75</v>
      </c>
      <c r="E191" t="s">
        <v>71</v>
      </c>
      <c r="F191" t="s">
        <v>72</v>
      </c>
      <c r="G191">
        <v>0</v>
      </c>
      <c r="H191">
        <v>0</v>
      </c>
      <c r="I191">
        <v>0</v>
      </c>
      <c r="J191">
        <v>0</v>
      </c>
      <c r="K191">
        <v>453</v>
      </c>
      <c r="L191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545.6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4">
      <c r="A192" t="s">
        <v>67</v>
      </c>
      <c r="B192" t="s">
        <v>69</v>
      </c>
      <c r="C192">
        <v>41</v>
      </c>
      <c r="D192" t="s">
        <v>75</v>
      </c>
      <c r="E192" t="s">
        <v>71</v>
      </c>
      <c r="F192" t="s">
        <v>72</v>
      </c>
      <c r="G192">
        <v>0</v>
      </c>
      <c r="H192">
        <v>0</v>
      </c>
      <c r="I192">
        <v>0</v>
      </c>
      <c r="J192">
        <v>0</v>
      </c>
      <c r="K192">
        <v>488</v>
      </c>
      <c r="L192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545.6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4">
      <c r="A193" t="s">
        <v>67</v>
      </c>
      <c r="B193" t="s">
        <v>69</v>
      </c>
      <c r="C193">
        <v>42</v>
      </c>
      <c r="D193" t="s">
        <v>75</v>
      </c>
      <c r="E193" t="s">
        <v>71</v>
      </c>
      <c r="F193" t="s">
        <v>72</v>
      </c>
      <c r="G193">
        <v>0</v>
      </c>
      <c r="H193">
        <v>0</v>
      </c>
      <c r="I193">
        <v>0</v>
      </c>
      <c r="J193">
        <v>0</v>
      </c>
      <c r="K193">
        <v>523</v>
      </c>
      <c r="L193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545.6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4">
      <c r="A194" t="s">
        <v>67</v>
      </c>
      <c r="B194" t="s">
        <v>69</v>
      </c>
      <c r="C194">
        <v>43</v>
      </c>
      <c r="D194" t="s">
        <v>75</v>
      </c>
      <c r="E194" t="s">
        <v>71</v>
      </c>
      <c r="F194" t="s">
        <v>72</v>
      </c>
      <c r="G194">
        <v>0</v>
      </c>
      <c r="H194">
        <v>0</v>
      </c>
      <c r="I194">
        <v>0</v>
      </c>
      <c r="J194">
        <v>0</v>
      </c>
      <c r="K194">
        <v>585</v>
      </c>
      <c r="L194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545.6</v>
      </c>
      <c r="W194" s="5">
        <f>IF((DiscreteStatsTable[[#This Row],[RepsRequested]]&gt;1),DiscreteStatsTable[[#This Row],[HalfWidth]],DiscreteStatsTable[[#This Row],[BatchMeansHalfWidth]])</f>
        <v>0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4">
      <c r="A195" t="s">
        <v>67</v>
      </c>
      <c r="B195" t="s">
        <v>69</v>
      </c>
      <c r="C195">
        <v>44</v>
      </c>
      <c r="D195" t="s">
        <v>75</v>
      </c>
      <c r="E195" t="s">
        <v>71</v>
      </c>
      <c r="F195" t="s">
        <v>72</v>
      </c>
      <c r="G195">
        <v>0</v>
      </c>
      <c r="H195">
        <v>0</v>
      </c>
      <c r="I195">
        <v>0</v>
      </c>
      <c r="J195">
        <v>0</v>
      </c>
      <c r="K195">
        <v>530</v>
      </c>
      <c r="L195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545.6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4">
      <c r="A196" t="s">
        <v>67</v>
      </c>
      <c r="B196" t="s">
        <v>69</v>
      </c>
      <c r="C196">
        <v>45</v>
      </c>
      <c r="D196" t="s">
        <v>75</v>
      </c>
      <c r="E196" t="s">
        <v>71</v>
      </c>
      <c r="F196" t="s">
        <v>72</v>
      </c>
      <c r="G196">
        <v>0</v>
      </c>
      <c r="H196">
        <v>0</v>
      </c>
      <c r="I196">
        <v>0</v>
      </c>
      <c r="J196">
        <v>0</v>
      </c>
      <c r="K196">
        <v>544</v>
      </c>
      <c r="L196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545.6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4">
      <c r="A197" t="s">
        <v>67</v>
      </c>
      <c r="B197" t="s">
        <v>69</v>
      </c>
      <c r="C197">
        <v>46</v>
      </c>
      <c r="D197" t="s">
        <v>75</v>
      </c>
      <c r="E197" t="s">
        <v>71</v>
      </c>
      <c r="F197" t="s">
        <v>72</v>
      </c>
      <c r="G197">
        <v>0</v>
      </c>
      <c r="H197">
        <v>0</v>
      </c>
      <c r="I197">
        <v>0</v>
      </c>
      <c r="J197">
        <v>0</v>
      </c>
      <c r="K197">
        <v>598</v>
      </c>
      <c r="L197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545.6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4">
      <c r="A198" t="s">
        <v>67</v>
      </c>
      <c r="B198" t="s">
        <v>69</v>
      </c>
      <c r="C198">
        <v>47</v>
      </c>
      <c r="D198" t="s">
        <v>75</v>
      </c>
      <c r="E198" t="s">
        <v>71</v>
      </c>
      <c r="F198" t="s">
        <v>72</v>
      </c>
      <c r="G198">
        <v>0</v>
      </c>
      <c r="H198">
        <v>0</v>
      </c>
      <c r="I198">
        <v>0</v>
      </c>
      <c r="J198">
        <v>0</v>
      </c>
      <c r="K198">
        <v>557</v>
      </c>
      <c r="L198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545.6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4">
      <c r="A199" t="s">
        <v>67</v>
      </c>
      <c r="B199" t="s">
        <v>69</v>
      </c>
      <c r="C199">
        <v>48</v>
      </c>
      <c r="D199" t="s">
        <v>75</v>
      </c>
      <c r="E199" t="s">
        <v>71</v>
      </c>
      <c r="F199" t="s">
        <v>72</v>
      </c>
      <c r="G199">
        <v>0</v>
      </c>
      <c r="H199">
        <v>0</v>
      </c>
      <c r="I199">
        <v>0</v>
      </c>
      <c r="J199">
        <v>0</v>
      </c>
      <c r="K199">
        <v>551</v>
      </c>
      <c r="L199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545.6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4">
      <c r="A200" t="s">
        <v>67</v>
      </c>
      <c r="B200" t="s">
        <v>69</v>
      </c>
      <c r="C200">
        <v>49</v>
      </c>
      <c r="D200" t="s">
        <v>75</v>
      </c>
      <c r="E200" t="s">
        <v>71</v>
      </c>
      <c r="F200" t="s">
        <v>72</v>
      </c>
      <c r="G200">
        <v>0</v>
      </c>
      <c r="H200">
        <v>0</v>
      </c>
      <c r="I200">
        <v>0</v>
      </c>
      <c r="J200">
        <v>0</v>
      </c>
      <c r="K200">
        <v>511</v>
      </c>
      <c r="L200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545.6</v>
      </c>
      <c r="W200" s="5">
        <f>IF((DiscreteStatsTable[[#This Row],[RepsRequested]]&gt;1),DiscreteStatsTable[[#This Row],[HalfWidth]],DiscreteStatsTable[[#This Row],[BatchMeansHalfWidth]])</f>
        <v>0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4">
      <c r="A201" t="s">
        <v>67</v>
      </c>
      <c r="B201" t="s">
        <v>69</v>
      </c>
      <c r="C201">
        <v>50</v>
      </c>
      <c r="D201" t="s">
        <v>75</v>
      </c>
      <c r="E201" t="s">
        <v>71</v>
      </c>
      <c r="F201" t="s">
        <v>72</v>
      </c>
      <c r="G201">
        <v>0</v>
      </c>
      <c r="H201">
        <v>0</v>
      </c>
      <c r="I201">
        <v>0</v>
      </c>
      <c r="J201">
        <v>0</v>
      </c>
      <c r="K201">
        <v>571</v>
      </c>
      <c r="L201" s="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545.6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4">
      <c r="A202" t="s">
        <v>67</v>
      </c>
      <c r="B202" t="s">
        <v>69</v>
      </c>
      <c r="C202">
        <v>1</v>
      </c>
      <c r="D202" t="s">
        <v>76</v>
      </c>
      <c r="E202" t="s">
        <v>71</v>
      </c>
      <c r="F202" t="s">
        <v>72</v>
      </c>
      <c r="G202">
        <v>0</v>
      </c>
      <c r="H202">
        <v>0</v>
      </c>
      <c r="I202">
        <v>0</v>
      </c>
      <c r="J202">
        <v>0</v>
      </c>
      <c r="K202">
        <v>544</v>
      </c>
      <c r="L202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11.175327412794363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147.54638400017501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309.99361754327998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542.98</v>
      </c>
      <c r="W202" s="5">
        <f>IF((DiscreteStatsTable[[#This Row],[RepsRequested]]&gt;1),DiscreteStatsTable[[#This Row],[HalfWidth]],DiscreteStatsTable[[#This Row],[BatchMeansHalfWidth]])</f>
        <v>8.1111945040912481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4">
      <c r="A203" t="s">
        <v>67</v>
      </c>
      <c r="B203" t="s">
        <v>69</v>
      </c>
      <c r="C203">
        <v>2</v>
      </c>
      <c r="D203" t="s">
        <v>76</v>
      </c>
      <c r="E203" t="s">
        <v>71</v>
      </c>
      <c r="F203" t="s">
        <v>72</v>
      </c>
      <c r="G203">
        <v>25.0863108007925</v>
      </c>
      <c r="H203">
        <v>3E+20</v>
      </c>
      <c r="I203">
        <v>0</v>
      </c>
      <c r="J203">
        <v>98.344688457029207</v>
      </c>
      <c r="K203">
        <v>555</v>
      </c>
      <c r="L203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11.175327412794363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147.54638400017501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309.99361754327998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542.98</v>
      </c>
      <c r="W203" s="5">
        <f>IF((DiscreteStatsTable[[#This Row],[RepsRequested]]&gt;1),DiscreteStatsTable[[#This Row],[HalfWidth]],DiscreteStatsTable[[#This Row],[BatchMeansHalfWidth]])</f>
        <v>8.1111945040912481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4">
      <c r="A204" t="s">
        <v>67</v>
      </c>
      <c r="B204" t="s">
        <v>69</v>
      </c>
      <c r="C204">
        <v>3</v>
      </c>
      <c r="D204" t="s">
        <v>76</v>
      </c>
      <c r="E204" t="s">
        <v>71</v>
      </c>
      <c r="F204" t="s">
        <v>72</v>
      </c>
      <c r="G204">
        <v>53.839244484964098</v>
      </c>
      <c r="H204">
        <v>3E+20</v>
      </c>
      <c r="I204">
        <v>0</v>
      </c>
      <c r="J204">
        <v>199.8029613718</v>
      </c>
      <c r="K204">
        <v>510</v>
      </c>
      <c r="L204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11.175327412794363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147.54638400017501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309.99361754327998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542.98</v>
      </c>
      <c r="W204" s="5">
        <f>IF((DiscreteStatsTable[[#This Row],[RepsRequested]]&gt;1),DiscreteStatsTable[[#This Row],[HalfWidth]],DiscreteStatsTable[[#This Row],[BatchMeansHalfWidth]])</f>
        <v>8.1111945040912481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4">
      <c r="A205" t="s">
        <v>67</v>
      </c>
      <c r="B205" t="s">
        <v>69</v>
      </c>
      <c r="C205">
        <v>4</v>
      </c>
      <c r="D205" t="s">
        <v>76</v>
      </c>
      <c r="E205" t="s">
        <v>71</v>
      </c>
      <c r="F205" t="s">
        <v>72</v>
      </c>
      <c r="G205">
        <v>2.3332684614563899</v>
      </c>
      <c r="H205">
        <v>3E+20</v>
      </c>
      <c r="I205">
        <v>0</v>
      </c>
      <c r="J205">
        <v>63.8878232651929</v>
      </c>
      <c r="K205">
        <v>501</v>
      </c>
      <c r="L205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11.175327412794363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147.54638400017501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309.99361754327998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542.98</v>
      </c>
      <c r="W205" s="5">
        <f>IF((DiscreteStatsTable[[#This Row],[RepsRequested]]&gt;1),DiscreteStatsTable[[#This Row],[HalfWidth]],DiscreteStatsTable[[#This Row],[BatchMeansHalfWidth]])</f>
        <v>8.1111945040912481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4">
      <c r="A206" t="s">
        <v>67</v>
      </c>
      <c r="B206" t="s">
        <v>69</v>
      </c>
      <c r="C206">
        <v>5</v>
      </c>
      <c r="D206" t="s">
        <v>76</v>
      </c>
      <c r="E206" t="s">
        <v>71</v>
      </c>
      <c r="F206" t="s">
        <v>72</v>
      </c>
      <c r="G206">
        <v>9.57378364790031</v>
      </c>
      <c r="H206">
        <v>3E+20</v>
      </c>
      <c r="I206">
        <v>0</v>
      </c>
      <c r="J206">
        <v>96.020770468159</v>
      </c>
      <c r="K206">
        <v>539</v>
      </c>
      <c r="L206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11.175327412794363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147.54638400017501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309.99361754327998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542.98</v>
      </c>
      <c r="W206" s="5">
        <f>IF((DiscreteStatsTable[[#This Row],[RepsRequested]]&gt;1),DiscreteStatsTable[[#This Row],[HalfWidth]],DiscreteStatsTable[[#This Row],[BatchMeansHalfWidth]])</f>
        <v>8.1111945040912481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4">
      <c r="A207" t="s">
        <v>67</v>
      </c>
      <c r="B207" t="s">
        <v>69</v>
      </c>
      <c r="C207">
        <v>6</v>
      </c>
      <c r="D207" t="s">
        <v>76</v>
      </c>
      <c r="E207" t="s">
        <v>71</v>
      </c>
      <c r="F207" t="s">
        <v>72</v>
      </c>
      <c r="G207">
        <v>2.6962385259572001</v>
      </c>
      <c r="H207">
        <v>3E+20</v>
      </c>
      <c r="I207">
        <v>0</v>
      </c>
      <c r="J207">
        <v>51.1237281719647</v>
      </c>
      <c r="K207">
        <v>580</v>
      </c>
      <c r="L207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11.175327412794363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147.54638400017501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309.99361754327998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542.98</v>
      </c>
      <c r="W207" s="5">
        <f>IF((DiscreteStatsTable[[#This Row],[RepsRequested]]&gt;1),DiscreteStatsTable[[#This Row],[HalfWidth]],DiscreteStatsTable[[#This Row],[BatchMeansHalfWidth]])</f>
        <v>8.1111945040912481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4">
      <c r="A208" t="s">
        <v>67</v>
      </c>
      <c r="B208" t="s">
        <v>69</v>
      </c>
      <c r="C208">
        <v>7</v>
      </c>
      <c r="D208" t="s">
        <v>76</v>
      </c>
      <c r="E208" t="s">
        <v>71</v>
      </c>
      <c r="F208" t="s">
        <v>72</v>
      </c>
      <c r="G208">
        <v>1.5164563963676599E-2</v>
      </c>
      <c r="H208">
        <v>3E+20</v>
      </c>
      <c r="I208">
        <v>0</v>
      </c>
      <c r="J208">
        <v>4.1271906521554502</v>
      </c>
      <c r="K208">
        <v>567</v>
      </c>
      <c r="L208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11.175327412794363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147.54638400017501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309.99361754327998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542.98</v>
      </c>
      <c r="W208" s="5">
        <f>IF((DiscreteStatsTable[[#This Row],[RepsRequested]]&gt;1),DiscreteStatsTable[[#This Row],[HalfWidth]],DiscreteStatsTable[[#This Row],[BatchMeansHalfWidth]])</f>
        <v>8.1111945040912481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4">
      <c r="A209" t="s">
        <v>67</v>
      </c>
      <c r="B209" t="s">
        <v>69</v>
      </c>
      <c r="C209">
        <v>8</v>
      </c>
      <c r="D209" t="s">
        <v>76</v>
      </c>
      <c r="E209" t="s">
        <v>71</v>
      </c>
      <c r="F209" t="s">
        <v>72</v>
      </c>
      <c r="G209">
        <v>0.31069672836617102</v>
      </c>
      <c r="H209">
        <v>3E+20</v>
      </c>
      <c r="I209">
        <v>0</v>
      </c>
      <c r="J209">
        <v>13.7016535659368</v>
      </c>
      <c r="K209">
        <v>506</v>
      </c>
      <c r="L209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11.175327412794363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28.540760910048576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147.54638400017501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309.99361754327998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542.98</v>
      </c>
      <c r="W209" s="5">
        <f>IF((DiscreteStatsTable[[#This Row],[RepsRequested]]&gt;1),DiscreteStatsTable[[#This Row],[HalfWidth]],DiscreteStatsTable[[#This Row],[BatchMeansHalfWidth]])</f>
        <v>8.1111945040912481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4">
      <c r="A210" t="s">
        <v>67</v>
      </c>
      <c r="B210" t="s">
        <v>69</v>
      </c>
      <c r="C210">
        <v>9</v>
      </c>
      <c r="D210" t="s">
        <v>76</v>
      </c>
      <c r="E210" t="s">
        <v>71</v>
      </c>
      <c r="F210" t="s">
        <v>72</v>
      </c>
      <c r="G210">
        <v>0.14296324894253201</v>
      </c>
      <c r="H210">
        <v>3E+20</v>
      </c>
      <c r="I210">
        <v>0</v>
      </c>
      <c r="J210">
        <v>12.3013263439239</v>
      </c>
      <c r="K210">
        <v>521</v>
      </c>
      <c r="L210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11.175327412794363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147.54638400017501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309.99361754327998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542.98</v>
      </c>
      <c r="W210" s="5">
        <f>IF((DiscreteStatsTable[[#This Row],[RepsRequested]]&gt;1),DiscreteStatsTable[[#This Row],[HalfWidth]],DiscreteStatsTable[[#This Row],[BatchMeansHalfWidth]])</f>
        <v>8.1111945040912481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4">
      <c r="A211" t="s">
        <v>67</v>
      </c>
      <c r="B211" t="s">
        <v>69</v>
      </c>
      <c r="C211">
        <v>10</v>
      </c>
      <c r="D211" t="s">
        <v>76</v>
      </c>
      <c r="E211" t="s">
        <v>71</v>
      </c>
      <c r="F211" t="s">
        <v>72</v>
      </c>
      <c r="G211">
        <v>1.92757439654346</v>
      </c>
      <c r="H211">
        <v>3E+20</v>
      </c>
      <c r="I211">
        <v>0</v>
      </c>
      <c r="J211">
        <v>36.490513146399401</v>
      </c>
      <c r="K211">
        <v>543</v>
      </c>
      <c r="L211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11.175327412794363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147.54638400017501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309.99361754327998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542.98</v>
      </c>
      <c r="W211" s="5">
        <f>IF((DiscreteStatsTable[[#This Row],[RepsRequested]]&gt;1),DiscreteStatsTable[[#This Row],[HalfWidth]],DiscreteStatsTable[[#This Row],[BatchMeansHalfWidth]])</f>
        <v>8.1111945040912481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4">
      <c r="A212" t="s">
        <v>67</v>
      </c>
      <c r="B212" t="s">
        <v>69</v>
      </c>
      <c r="C212">
        <v>11</v>
      </c>
      <c r="D212" t="s">
        <v>76</v>
      </c>
      <c r="E212" t="s">
        <v>71</v>
      </c>
      <c r="F212" t="s">
        <v>72</v>
      </c>
      <c r="G212">
        <v>7.3487406141894099E-2</v>
      </c>
      <c r="H212">
        <v>3E+20</v>
      </c>
      <c r="I212">
        <v>0</v>
      </c>
      <c r="J212">
        <v>12.1842032601333</v>
      </c>
      <c r="K212">
        <v>582</v>
      </c>
      <c r="L212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11.175327412794363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147.54638400017501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309.99361754327998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542.98</v>
      </c>
      <c r="W212" s="5">
        <f>IF((DiscreteStatsTable[[#This Row],[RepsRequested]]&gt;1),DiscreteStatsTable[[#This Row],[HalfWidth]],DiscreteStatsTable[[#This Row],[BatchMeansHalfWidth]])</f>
        <v>8.1111945040912481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4">
      <c r="A213" t="s">
        <v>67</v>
      </c>
      <c r="B213" t="s">
        <v>69</v>
      </c>
      <c r="C213">
        <v>12</v>
      </c>
      <c r="D213" t="s">
        <v>76</v>
      </c>
      <c r="E213" t="s">
        <v>71</v>
      </c>
      <c r="F213" t="s">
        <v>72</v>
      </c>
      <c r="G213">
        <v>0.15678350318503401</v>
      </c>
      <c r="H213">
        <v>3E+20</v>
      </c>
      <c r="I213">
        <v>0</v>
      </c>
      <c r="J213">
        <v>19.7555706692938</v>
      </c>
      <c r="K213">
        <v>519</v>
      </c>
      <c r="L213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11.175327412794363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147.54638400017501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309.99361754327998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542.98</v>
      </c>
      <c r="W213" s="5">
        <f>IF((DiscreteStatsTable[[#This Row],[RepsRequested]]&gt;1),DiscreteStatsTable[[#This Row],[HalfWidth]],DiscreteStatsTable[[#This Row],[BatchMeansHalfWidth]])</f>
        <v>8.1111945040912481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4">
      <c r="A214" t="s">
        <v>67</v>
      </c>
      <c r="B214" t="s">
        <v>69</v>
      </c>
      <c r="C214">
        <v>13</v>
      </c>
      <c r="D214" t="s">
        <v>76</v>
      </c>
      <c r="E214" t="s">
        <v>71</v>
      </c>
      <c r="F214" t="s">
        <v>72</v>
      </c>
      <c r="G214">
        <v>3.8705900710778597E-2</v>
      </c>
      <c r="H214">
        <v>3E+20</v>
      </c>
      <c r="I214">
        <v>0</v>
      </c>
      <c r="J214">
        <v>11.037744121656999</v>
      </c>
      <c r="K214">
        <v>550</v>
      </c>
      <c r="L214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11.175327412794363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147.54638400017501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309.99361754327998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542.98</v>
      </c>
      <c r="W214" s="5">
        <f>IF((DiscreteStatsTable[[#This Row],[RepsRequested]]&gt;1),DiscreteStatsTable[[#This Row],[HalfWidth]],DiscreteStatsTable[[#This Row],[BatchMeansHalfWidth]])</f>
        <v>8.1111945040912481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4">
      <c r="A215" t="s">
        <v>67</v>
      </c>
      <c r="B215" t="s">
        <v>69</v>
      </c>
      <c r="C215">
        <v>14</v>
      </c>
      <c r="D215" t="s">
        <v>76</v>
      </c>
      <c r="E215" t="s">
        <v>71</v>
      </c>
      <c r="F215" t="s">
        <v>72</v>
      </c>
      <c r="G215">
        <v>10.6374516819908</v>
      </c>
      <c r="H215">
        <v>3E+20</v>
      </c>
      <c r="I215">
        <v>0</v>
      </c>
      <c r="J215">
        <v>84.027991031111895</v>
      </c>
      <c r="K215">
        <v>547</v>
      </c>
      <c r="L215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11.175327412794363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147.54638400017501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309.99361754327998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542.98</v>
      </c>
      <c r="W215" s="5">
        <f>IF((DiscreteStatsTable[[#This Row],[RepsRequested]]&gt;1),DiscreteStatsTable[[#This Row],[HalfWidth]],DiscreteStatsTable[[#This Row],[BatchMeansHalfWidth]])</f>
        <v>8.1111945040912481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4">
      <c r="A216" t="s">
        <v>67</v>
      </c>
      <c r="B216" t="s">
        <v>69</v>
      </c>
      <c r="C216">
        <v>15</v>
      </c>
      <c r="D216" t="s">
        <v>76</v>
      </c>
      <c r="E216" t="s">
        <v>71</v>
      </c>
      <c r="F216" t="s">
        <v>72</v>
      </c>
      <c r="G216">
        <v>0.67471571688584797</v>
      </c>
      <c r="H216">
        <v>3E+20</v>
      </c>
      <c r="I216">
        <v>0</v>
      </c>
      <c r="J216">
        <v>22.559900172760301</v>
      </c>
      <c r="K216">
        <v>550</v>
      </c>
      <c r="L216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11.175327412794363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147.54638400017501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309.99361754327998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542.98</v>
      </c>
      <c r="W216" s="5">
        <f>IF((DiscreteStatsTable[[#This Row],[RepsRequested]]&gt;1),DiscreteStatsTable[[#This Row],[HalfWidth]],DiscreteStatsTable[[#This Row],[BatchMeansHalfWidth]])</f>
        <v>8.1111945040912481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4">
      <c r="A217" t="s">
        <v>67</v>
      </c>
      <c r="B217" t="s">
        <v>69</v>
      </c>
      <c r="C217">
        <v>16</v>
      </c>
      <c r="D217" t="s">
        <v>76</v>
      </c>
      <c r="E217" t="s">
        <v>71</v>
      </c>
      <c r="F217" t="s">
        <v>72</v>
      </c>
      <c r="G217">
        <v>2.2366603444123698E-3</v>
      </c>
      <c r="H217">
        <v>3E+20</v>
      </c>
      <c r="I217">
        <v>0</v>
      </c>
      <c r="J217">
        <v>1.1250401532394201</v>
      </c>
      <c r="K217">
        <v>503</v>
      </c>
      <c r="L217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11.175327412794363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147.54638400017501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309.99361754327998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542.98</v>
      </c>
      <c r="W217" s="5">
        <f>IF((DiscreteStatsTable[[#This Row],[RepsRequested]]&gt;1),DiscreteStatsTable[[#This Row],[HalfWidth]],DiscreteStatsTable[[#This Row],[BatchMeansHalfWidth]])</f>
        <v>8.1111945040912481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4">
      <c r="A218" t="s">
        <v>67</v>
      </c>
      <c r="B218" t="s">
        <v>69</v>
      </c>
      <c r="C218">
        <v>17</v>
      </c>
      <c r="D218" t="s">
        <v>76</v>
      </c>
      <c r="E218" t="s">
        <v>71</v>
      </c>
      <c r="F218" t="s">
        <v>72</v>
      </c>
      <c r="G218">
        <v>2.96345575018447E-2</v>
      </c>
      <c r="H218">
        <v>3E+20</v>
      </c>
      <c r="I218">
        <v>0</v>
      </c>
      <c r="J218">
        <v>6.77904866251854</v>
      </c>
      <c r="K218">
        <v>566</v>
      </c>
      <c r="L218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11.175327412794363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147.54638400017501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309.99361754327998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542.98</v>
      </c>
      <c r="W218" s="5">
        <f>IF((DiscreteStatsTable[[#This Row],[RepsRequested]]&gt;1),DiscreteStatsTable[[#This Row],[HalfWidth]],DiscreteStatsTable[[#This Row],[BatchMeansHalfWidth]])</f>
        <v>8.1111945040912481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4">
      <c r="A219" t="s">
        <v>67</v>
      </c>
      <c r="B219" t="s">
        <v>69</v>
      </c>
      <c r="C219">
        <v>18</v>
      </c>
      <c r="D219" t="s">
        <v>76</v>
      </c>
      <c r="E219" t="s">
        <v>71</v>
      </c>
      <c r="F219" t="s">
        <v>72</v>
      </c>
      <c r="G219">
        <v>0.11077674948633701</v>
      </c>
      <c r="H219">
        <v>3E+20</v>
      </c>
      <c r="I219">
        <v>0</v>
      </c>
      <c r="J219">
        <v>11.4037350872381</v>
      </c>
      <c r="K219">
        <v>529</v>
      </c>
      <c r="L219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11.175327412794363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28.540760910048576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147.54638400017501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309.99361754327998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542.98</v>
      </c>
      <c r="W219" s="5">
        <f>IF((DiscreteStatsTable[[#This Row],[RepsRequested]]&gt;1),DiscreteStatsTable[[#This Row],[HalfWidth]],DiscreteStatsTable[[#This Row],[BatchMeansHalfWidth]])</f>
        <v>8.1111945040912481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4">
      <c r="A220" t="s">
        <v>67</v>
      </c>
      <c r="B220" t="s">
        <v>69</v>
      </c>
      <c r="C220">
        <v>19</v>
      </c>
      <c r="D220" t="s">
        <v>76</v>
      </c>
      <c r="E220" t="s">
        <v>71</v>
      </c>
      <c r="F220" t="s">
        <v>72</v>
      </c>
      <c r="G220">
        <v>5.5457077684651397</v>
      </c>
      <c r="H220">
        <v>3E+20</v>
      </c>
      <c r="I220">
        <v>0</v>
      </c>
      <c r="J220">
        <v>67.437608213460393</v>
      </c>
      <c r="K220">
        <v>563</v>
      </c>
      <c r="L220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11.175327412794363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147.54638400017501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309.99361754327998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542.98</v>
      </c>
      <c r="W220" s="5">
        <f>IF((DiscreteStatsTable[[#This Row],[RepsRequested]]&gt;1),DiscreteStatsTable[[#This Row],[HalfWidth]],DiscreteStatsTable[[#This Row],[BatchMeansHalfWidth]])</f>
        <v>8.1111945040912481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4">
      <c r="A221" t="s">
        <v>67</v>
      </c>
      <c r="B221" t="s">
        <v>69</v>
      </c>
      <c r="C221">
        <v>20</v>
      </c>
      <c r="D221" t="s">
        <v>76</v>
      </c>
      <c r="E221" t="s">
        <v>71</v>
      </c>
      <c r="F221" t="s">
        <v>72</v>
      </c>
      <c r="G221">
        <v>21.561832433656999</v>
      </c>
      <c r="H221">
        <v>3E+20</v>
      </c>
      <c r="I221">
        <v>0</v>
      </c>
      <c r="J221">
        <v>97.907791008773401</v>
      </c>
      <c r="K221">
        <v>568</v>
      </c>
      <c r="L221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11.175327412794363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147.54638400017501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309.99361754327998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542.98</v>
      </c>
      <c r="W221" s="5">
        <f>IF((DiscreteStatsTable[[#This Row],[RepsRequested]]&gt;1),DiscreteStatsTable[[#This Row],[HalfWidth]],DiscreteStatsTable[[#This Row],[BatchMeansHalfWidth]])</f>
        <v>8.1111945040912481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4">
      <c r="A222" t="s">
        <v>67</v>
      </c>
      <c r="B222" t="s">
        <v>69</v>
      </c>
      <c r="C222">
        <v>21</v>
      </c>
      <c r="D222" t="s">
        <v>76</v>
      </c>
      <c r="E222" t="s">
        <v>71</v>
      </c>
      <c r="F222" t="s">
        <v>72</v>
      </c>
      <c r="G222">
        <v>0.638115810958093</v>
      </c>
      <c r="H222">
        <v>3E+20</v>
      </c>
      <c r="I222">
        <v>0</v>
      </c>
      <c r="J222">
        <v>16.8810268393242</v>
      </c>
      <c r="K222">
        <v>546</v>
      </c>
      <c r="L222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11.175327412794363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147.54638400017501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309.99361754327998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542.98</v>
      </c>
      <c r="W222" s="5">
        <f>IF((DiscreteStatsTable[[#This Row],[RepsRequested]]&gt;1),DiscreteStatsTable[[#This Row],[HalfWidth]],DiscreteStatsTable[[#This Row],[BatchMeansHalfWidth]])</f>
        <v>8.1111945040912481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4">
      <c r="A223" t="s">
        <v>67</v>
      </c>
      <c r="B223" t="s">
        <v>69</v>
      </c>
      <c r="C223">
        <v>22</v>
      </c>
      <c r="D223" t="s">
        <v>76</v>
      </c>
      <c r="E223" t="s">
        <v>71</v>
      </c>
      <c r="F223" t="s">
        <v>72</v>
      </c>
      <c r="G223">
        <v>0</v>
      </c>
      <c r="H223">
        <v>0</v>
      </c>
      <c r="I223">
        <v>0</v>
      </c>
      <c r="J223">
        <v>0</v>
      </c>
      <c r="K223">
        <v>547</v>
      </c>
      <c r="L223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11.175327412794363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147.54638400017501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309.99361754327998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542.98</v>
      </c>
      <c r="W223" s="5">
        <f>IF((DiscreteStatsTable[[#This Row],[RepsRequested]]&gt;1),DiscreteStatsTable[[#This Row],[HalfWidth]],DiscreteStatsTable[[#This Row],[BatchMeansHalfWidth]])</f>
        <v>8.1111945040912481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4">
      <c r="A224" t="s">
        <v>67</v>
      </c>
      <c r="B224" t="s">
        <v>69</v>
      </c>
      <c r="C224">
        <v>23</v>
      </c>
      <c r="D224" t="s">
        <v>76</v>
      </c>
      <c r="E224" t="s">
        <v>71</v>
      </c>
      <c r="F224" t="s">
        <v>72</v>
      </c>
      <c r="G224">
        <v>147.54638400017501</v>
      </c>
      <c r="H224">
        <v>3E+20</v>
      </c>
      <c r="I224">
        <v>0</v>
      </c>
      <c r="J224">
        <v>309.99361754327998</v>
      </c>
      <c r="K224">
        <v>557</v>
      </c>
      <c r="L224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11.175327412794363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147.54638400017501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309.99361754327998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542.98</v>
      </c>
      <c r="W224" s="5">
        <f>IF((DiscreteStatsTable[[#This Row],[RepsRequested]]&gt;1),DiscreteStatsTable[[#This Row],[HalfWidth]],DiscreteStatsTable[[#This Row],[BatchMeansHalfWidth]])</f>
        <v>8.1111945040912481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4">
      <c r="A225" t="s">
        <v>67</v>
      </c>
      <c r="B225" t="s">
        <v>69</v>
      </c>
      <c r="C225">
        <v>24</v>
      </c>
      <c r="D225" t="s">
        <v>76</v>
      </c>
      <c r="E225" t="s">
        <v>71</v>
      </c>
      <c r="F225" t="s">
        <v>72</v>
      </c>
      <c r="G225">
        <v>6.9430698477686903</v>
      </c>
      <c r="H225">
        <v>3E+20</v>
      </c>
      <c r="I225">
        <v>0</v>
      </c>
      <c r="J225">
        <v>53.050046131311298</v>
      </c>
      <c r="K225">
        <v>580</v>
      </c>
      <c r="L225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11.175327412794363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147.54638400017501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309.99361754327998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542.98</v>
      </c>
      <c r="W225" s="5">
        <f>IF((DiscreteStatsTable[[#This Row],[RepsRequested]]&gt;1),DiscreteStatsTable[[#This Row],[HalfWidth]],DiscreteStatsTable[[#This Row],[BatchMeansHalfWidth]])</f>
        <v>8.1111945040912481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4">
      <c r="A226" t="s">
        <v>67</v>
      </c>
      <c r="B226" t="s">
        <v>69</v>
      </c>
      <c r="C226">
        <v>25</v>
      </c>
      <c r="D226" t="s">
        <v>76</v>
      </c>
      <c r="E226" t="s">
        <v>71</v>
      </c>
      <c r="F226" t="s">
        <v>72</v>
      </c>
      <c r="G226">
        <v>0</v>
      </c>
      <c r="H226">
        <v>0</v>
      </c>
      <c r="I226">
        <v>0</v>
      </c>
      <c r="J226">
        <v>0</v>
      </c>
      <c r="K226">
        <v>588</v>
      </c>
      <c r="L226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11.175327412794363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147.54638400017501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309.99361754327998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542.98</v>
      </c>
      <c r="W226" s="5">
        <f>IF((DiscreteStatsTable[[#This Row],[RepsRequested]]&gt;1),DiscreteStatsTable[[#This Row],[HalfWidth]],DiscreteStatsTable[[#This Row],[BatchMeansHalfWidth]])</f>
        <v>8.1111945040912481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4">
      <c r="A227" t="s">
        <v>67</v>
      </c>
      <c r="B227" t="s">
        <v>69</v>
      </c>
      <c r="C227">
        <v>26</v>
      </c>
      <c r="D227" t="s">
        <v>76</v>
      </c>
      <c r="E227" t="s">
        <v>71</v>
      </c>
      <c r="F227" t="s">
        <v>72</v>
      </c>
      <c r="G227">
        <v>0.14078943798976401</v>
      </c>
      <c r="H227">
        <v>3E+20</v>
      </c>
      <c r="I227">
        <v>0</v>
      </c>
      <c r="J227">
        <v>20.228911326239398</v>
      </c>
      <c r="K227">
        <v>555</v>
      </c>
      <c r="L227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11.175327412794363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147.54638400017501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309.99361754327998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542.98</v>
      </c>
      <c r="W227" s="5">
        <f>IF((DiscreteStatsTable[[#This Row],[RepsRequested]]&gt;1),DiscreteStatsTable[[#This Row],[HalfWidth]],DiscreteStatsTable[[#This Row],[BatchMeansHalfWidth]])</f>
        <v>8.1111945040912481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4">
      <c r="A228" t="s">
        <v>67</v>
      </c>
      <c r="B228" t="s">
        <v>69</v>
      </c>
      <c r="C228">
        <v>27</v>
      </c>
      <c r="D228" t="s">
        <v>76</v>
      </c>
      <c r="E228" t="s">
        <v>71</v>
      </c>
      <c r="F228" t="s">
        <v>72</v>
      </c>
      <c r="G228">
        <v>0</v>
      </c>
      <c r="H228">
        <v>0</v>
      </c>
      <c r="I228">
        <v>0</v>
      </c>
      <c r="J228">
        <v>0</v>
      </c>
      <c r="K228">
        <v>521</v>
      </c>
      <c r="L228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11.175327412794363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147.54638400017501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309.99361754327998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542.98</v>
      </c>
      <c r="W228" s="5">
        <f>IF((DiscreteStatsTable[[#This Row],[RepsRequested]]&gt;1),DiscreteStatsTable[[#This Row],[HalfWidth]],DiscreteStatsTable[[#This Row],[BatchMeansHalfWidth]])</f>
        <v>8.1111945040912481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4">
      <c r="A229" t="s">
        <v>67</v>
      </c>
      <c r="B229" t="s">
        <v>69</v>
      </c>
      <c r="C229">
        <v>28</v>
      </c>
      <c r="D229" t="s">
        <v>76</v>
      </c>
      <c r="E229" t="s">
        <v>71</v>
      </c>
      <c r="F229" t="s">
        <v>72</v>
      </c>
      <c r="G229">
        <v>0</v>
      </c>
      <c r="H229">
        <v>0</v>
      </c>
      <c r="I229">
        <v>0</v>
      </c>
      <c r="J229">
        <v>0</v>
      </c>
      <c r="K229">
        <v>508</v>
      </c>
      <c r="L229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11.175327412794363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28.540760910048576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147.54638400017501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309.99361754327998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542.98</v>
      </c>
      <c r="W229" s="5">
        <f>IF((DiscreteStatsTable[[#This Row],[RepsRequested]]&gt;1),DiscreteStatsTable[[#This Row],[HalfWidth]],DiscreteStatsTable[[#This Row],[BatchMeansHalfWidth]])</f>
        <v>8.1111945040912481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4">
      <c r="A230" t="s">
        <v>67</v>
      </c>
      <c r="B230" t="s">
        <v>69</v>
      </c>
      <c r="C230">
        <v>29</v>
      </c>
      <c r="D230" t="s">
        <v>76</v>
      </c>
      <c r="E230" t="s">
        <v>71</v>
      </c>
      <c r="F230" t="s">
        <v>72</v>
      </c>
      <c r="G230">
        <v>0.25402626904388298</v>
      </c>
      <c r="H230">
        <v>3E+20</v>
      </c>
      <c r="I230">
        <v>0</v>
      </c>
      <c r="J230">
        <v>18.6367039369892</v>
      </c>
      <c r="K230">
        <v>588</v>
      </c>
      <c r="L230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11.175327412794363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147.54638400017501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309.99361754327998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542.98</v>
      </c>
      <c r="W230" s="5">
        <f>IF((DiscreteStatsTable[[#This Row],[RepsRequested]]&gt;1),DiscreteStatsTable[[#This Row],[HalfWidth]],DiscreteStatsTable[[#This Row],[BatchMeansHalfWidth]])</f>
        <v>8.1111945040912481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4">
      <c r="A231" t="s">
        <v>67</v>
      </c>
      <c r="B231" t="s">
        <v>69</v>
      </c>
      <c r="C231">
        <v>30</v>
      </c>
      <c r="D231" t="s">
        <v>76</v>
      </c>
      <c r="E231" t="s">
        <v>71</v>
      </c>
      <c r="F231" t="s">
        <v>72</v>
      </c>
      <c r="G231">
        <v>65.020242135771298</v>
      </c>
      <c r="H231">
        <v>3E+20</v>
      </c>
      <c r="I231">
        <v>0</v>
      </c>
      <c r="J231">
        <v>152.67263759377499</v>
      </c>
      <c r="K231">
        <v>576</v>
      </c>
      <c r="L231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11.175327412794363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147.54638400017501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309.99361754327998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542.98</v>
      </c>
      <c r="W231" s="5">
        <f>IF((DiscreteStatsTable[[#This Row],[RepsRequested]]&gt;1),DiscreteStatsTable[[#This Row],[HalfWidth]],DiscreteStatsTable[[#This Row],[BatchMeansHalfWidth]])</f>
        <v>8.1111945040912481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4">
      <c r="A232" t="s">
        <v>67</v>
      </c>
      <c r="B232" t="s">
        <v>69</v>
      </c>
      <c r="C232">
        <v>31</v>
      </c>
      <c r="D232" t="s">
        <v>76</v>
      </c>
      <c r="E232" t="s">
        <v>71</v>
      </c>
      <c r="F232" t="s">
        <v>72</v>
      </c>
      <c r="G232">
        <v>0.80408528359161702</v>
      </c>
      <c r="H232">
        <v>0.82459387270162998</v>
      </c>
      <c r="I232">
        <v>0</v>
      </c>
      <c r="J232">
        <v>18.0343635590683</v>
      </c>
      <c r="K232">
        <v>547</v>
      </c>
      <c r="L232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11.175327412794363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147.54638400017501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309.99361754327998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542.98</v>
      </c>
      <c r="W232" s="5">
        <f>IF((DiscreteStatsTable[[#This Row],[RepsRequested]]&gt;1),DiscreteStatsTable[[#This Row],[HalfWidth]],DiscreteStatsTable[[#This Row],[BatchMeansHalfWidth]])</f>
        <v>8.1111945040912481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4">
      <c r="A233" t="s">
        <v>67</v>
      </c>
      <c r="B233" t="s">
        <v>69</v>
      </c>
      <c r="C233">
        <v>32</v>
      </c>
      <c r="D233" t="s">
        <v>76</v>
      </c>
      <c r="E233" t="s">
        <v>71</v>
      </c>
      <c r="F233" t="s">
        <v>72</v>
      </c>
      <c r="G233">
        <v>3.1609263366210198</v>
      </c>
      <c r="H233">
        <v>3E+20</v>
      </c>
      <c r="I233">
        <v>0</v>
      </c>
      <c r="J233">
        <v>38.616023348865397</v>
      </c>
      <c r="K233">
        <v>558</v>
      </c>
      <c r="L233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11.175327412794363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147.54638400017501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309.99361754327998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542.98</v>
      </c>
      <c r="W233" s="5">
        <f>IF((DiscreteStatsTable[[#This Row],[RepsRequested]]&gt;1),DiscreteStatsTable[[#This Row],[HalfWidth]],DiscreteStatsTable[[#This Row],[BatchMeansHalfWidth]])</f>
        <v>8.1111945040912481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4">
      <c r="A234" t="s">
        <v>67</v>
      </c>
      <c r="B234" t="s">
        <v>69</v>
      </c>
      <c r="C234">
        <v>33</v>
      </c>
      <c r="D234" t="s">
        <v>76</v>
      </c>
      <c r="E234" t="s">
        <v>71</v>
      </c>
      <c r="F234" t="s">
        <v>72</v>
      </c>
      <c r="G234">
        <v>0.40656623150715299</v>
      </c>
      <c r="H234">
        <v>3E+20</v>
      </c>
      <c r="I234">
        <v>0</v>
      </c>
      <c r="J234">
        <v>27.220683180479099</v>
      </c>
      <c r="K234">
        <v>542</v>
      </c>
      <c r="L234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11.175327412794363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147.54638400017501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309.99361754327998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542.98</v>
      </c>
      <c r="W234" s="5">
        <f>IF((DiscreteStatsTable[[#This Row],[RepsRequested]]&gt;1),DiscreteStatsTable[[#This Row],[HalfWidth]],DiscreteStatsTable[[#This Row],[BatchMeansHalfWidth]])</f>
        <v>8.1111945040912481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4">
      <c r="A235" t="s">
        <v>67</v>
      </c>
      <c r="B235" t="s">
        <v>69</v>
      </c>
      <c r="C235">
        <v>34</v>
      </c>
      <c r="D235" t="s">
        <v>76</v>
      </c>
      <c r="E235" t="s">
        <v>71</v>
      </c>
      <c r="F235" t="s">
        <v>72</v>
      </c>
      <c r="G235">
        <v>0</v>
      </c>
      <c r="H235">
        <v>0</v>
      </c>
      <c r="I235">
        <v>0</v>
      </c>
      <c r="J235">
        <v>0</v>
      </c>
      <c r="K235">
        <v>574</v>
      </c>
      <c r="L235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11.175327412794363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147.54638400017501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309.99361754327998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542.98</v>
      </c>
      <c r="W235" s="5">
        <f>IF((DiscreteStatsTable[[#This Row],[RepsRequested]]&gt;1),DiscreteStatsTable[[#This Row],[HalfWidth]],DiscreteStatsTable[[#This Row],[BatchMeansHalfWidth]])</f>
        <v>8.1111945040912481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4">
      <c r="A236" t="s">
        <v>67</v>
      </c>
      <c r="B236" t="s">
        <v>69</v>
      </c>
      <c r="C236">
        <v>35</v>
      </c>
      <c r="D236" t="s">
        <v>76</v>
      </c>
      <c r="E236" t="s">
        <v>71</v>
      </c>
      <c r="F236" t="s">
        <v>72</v>
      </c>
      <c r="G236">
        <v>0.171404578090704</v>
      </c>
      <c r="H236">
        <v>0.195296743447262</v>
      </c>
      <c r="I236">
        <v>0</v>
      </c>
      <c r="J236">
        <v>7.6292405527977998</v>
      </c>
      <c r="K236">
        <v>554</v>
      </c>
      <c r="L236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11.175327412794363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147.54638400017501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309.99361754327998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542.98</v>
      </c>
      <c r="W236" s="5">
        <f>IF((DiscreteStatsTable[[#This Row],[RepsRequested]]&gt;1),DiscreteStatsTable[[#This Row],[HalfWidth]],DiscreteStatsTable[[#This Row],[BatchMeansHalfWidth]])</f>
        <v>8.1111945040912481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4">
      <c r="A237" t="s">
        <v>67</v>
      </c>
      <c r="B237" t="s">
        <v>69</v>
      </c>
      <c r="C237">
        <v>36</v>
      </c>
      <c r="D237" t="s">
        <v>76</v>
      </c>
      <c r="E237" t="s">
        <v>71</v>
      </c>
      <c r="F237" t="s">
        <v>72</v>
      </c>
      <c r="G237">
        <v>1.09860374471621E-2</v>
      </c>
      <c r="H237">
        <v>3E+20</v>
      </c>
      <c r="I237">
        <v>0</v>
      </c>
      <c r="J237">
        <v>4.2081060157499897</v>
      </c>
      <c r="K237">
        <v>517</v>
      </c>
      <c r="L237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11.175327412794363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147.54638400017501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309.99361754327998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542.98</v>
      </c>
      <c r="W237" s="5">
        <f>IF((DiscreteStatsTable[[#This Row],[RepsRequested]]&gt;1),DiscreteStatsTable[[#This Row],[HalfWidth]],DiscreteStatsTable[[#This Row],[BatchMeansHalfWidth]])</f>
        <v>8.1111945040912481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4">
      <c r="A238" t="s">
        <v>67</v>
      </c>
      <c r="B238" t="s">
        <v>69</v>
      </c>
      <c r="C238">
        <v>37</v>
      </c>
      <c r="D238" t="s">
        <v>76</v>
      </c>
      <c r="E238" t="s">
        <v>71</v>
      </c>
      <c r="F238" t="s">
        <v>72</v>
      </c>
      <c r="G238">
        <v>3.4508104703202601E-3</v>
      </c>
      <c r="H238">
        <v>3E+20</v>
      </c>
      <c r="I238">
        <v>0</v>
      </c>
      <c r="J238">
        <v>0.81881457026065596</v>
      </c>
      <c r="K238">
        <v>503</v>
      </c>
      <c r="L238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11.175327412794363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147.54638400017501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309.99361754327998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542.98</v>
      </c>
      <c r="W238" s="5">
        <f>IF((DiscreteStatsTable[[#This Row],[RepsRequested]]&gt;1),DiscreteStatsTable[[#This Row],[HalfWidth]],DiscreteStatsTable[[#This Row],[BatchMeansHalfWidth]])</f>
        <v>8.1111945040912481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4">
      <c r="A239" t="s">
        <v>67</v>
      </c>
      <c r="B239" t="s">
        <v>69</v>
      </c>
      <c r="C239">
        <v>38</v>
      </c>
      <c r="D239" t="s">
        <v>76</v>
      </c>
      <c r="E239" t="s">
        <v>71</v>
      </c>
      <c r="F239" t="s">
        <v>72</v>
      </c>
      <c r="G239">
        <v>5.8803504356458397E-2</v>
      </c>
      <c r="H239">
        <v>3E+20</v>
      </c>
      <c r="I239">
        <v>0</v>
      </c>
      <c r="J239">
        <v>6.2752798116989199</v>
      </c>
      <c r="K239">
        <v>584</v>
      </c>
      <c r="L239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11.175327412794363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28.540760910048576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147.54638400017501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309.99361754327998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542.98</v>
      </c>
      <c r="W239" s="5">
        <f>IF((DiscreteStatsTable[[#This Row],[RepsRequested]]&gt;1),DiscreteStatsTable[[#This Row],[HalfWidth]],DiscreteStatsTable[[#This Row],[BatchMeansHalfWidth]])</f>
        <v>8.1111945040912481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4">
      <c r="A240" t="s">
        <v>67</v>
      </c>
      <c r="B240" t="s">
        <v>69</v>
      </c>
      <c r="C240">
        <v>39</v>
      </c>
      <c r="D240" t="s">
        <v>76</v>
      </c>
      <c r="E240" t="s">
        <v>71</v>
      </c>
      <c r="F240" t="s">
        <v>72</v>
      </c>
      <c r="G240">
        <v>0.72004944587019104</v>
      </c>
      <c r="H240">
        <v>3E+20</v>
      </c>
      <c r="I240">
        <v>0</v>
      </c>
      <c r="J240">
        <v>20.221908511507699</v>
      </c>
      <c r="K240">
        <v>517</v>
      </c>
      <c r="L240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11.175327412794363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147.54638400017501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309.99361754327998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542.98</v>
      </c>
      <c r="W240" s="5">
        <f>IF((DiscreteStatsTable[[#This Row],[RepsRequested]]&gt;1),DiscreteStatsTable[[#This Row],[HalfWidth]],DiscreteStatsTable[[#This Row],[BatchMeansHalfWidth]])</f>
        <v>8.1111945040912481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4">
      <c r="A241" t="s">
        <v>67</v>
      </c>
      <c r="B241" t="s">
        <v>69</v>
      </c>
      <c r="C241">
        <v>40</v>
      </c>
      <c r="D241" t="s">
        <v>76</v>
      </c>
      <c r="E241" t="s">
        <v>71</v>
      </c>
      <c r="F241" t="s">
        <v>72</v>
      </c>
      <c r="G241">
        <v>7.5753349033828004</v>
      </c>
      <c r="H241">
        <v>3E+20</v>
      </c>
      <c r="I241">
        <v>0</v>
      </c>
      <c r="J241">
        <v>44.212378274922003</v>
      </c>
      <c r="K241">
        <v>453</v>
      </c>
      <c r="L241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11.175327412794363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147.54638400017501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309.99361754327998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542.98</v>
      </c>
      <c r="W241" s="5">
        <f>IF((DiscreteStatsTable[[#This Row],[RepsRequested]]&gt;1),DiscreteStatsTable[[#This Row],[HalfWidth]],DiscreteStatsTable[[#This Row],[BatchMeansHalfWidth]])</f>
        <v>8.1111945040912481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4">
      <c r="A242" t="s">
        <v>67</v>
      </c>
      <c r="B242" t="s">
        <v>69</v>
      </c>
      <c r="C242">
        <v>41</v>
      </c>
      <c r="D242" t="s">
        <v>76</v>
      </c>
      <c r="E242" t="s">
        <v>71</v>
      </c>
      <c r="F242" t="s">
        <v>72</v>
      </c>
      <c r="G242">
        <v>1.65038951079386</v>
      </c>
      <c r="H242">
        <v>3E+20</v>
      </c>
      <c r="I242">
        <v>0</v>
      </c>
      <c r="J242">
        <v>28.367646853636799</v>
      </c>
      <c r="K242">
        <v>488</v>
      </c>
      <c r="L242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11.175327412794363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147.54638400017501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309.99361754327998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542.98</v>
      </c>
      <c r="W242" s="5">
        <f>IF((DiscreteStatsTable[[#This Row],[RepsRequested]]&gt;1),DiscreteStatsTable[[#This Row],[HalfWidth]],DiscreteStatsTable[[#This Row],[BatchMeansHalfWidth]])</f>
        <v>8.1111945040912481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4">
      <c r="A243" t="s">
        <v>67</v>
      </c>
      <c r="B243" t="s">
        <v>69</v>
      </c>
      <c r="C243">
        <v>42</v>
      </c>
      <c r="D243" t="s">
        <v>76</v>
      </c>
      <c r="E243" t="s">
        <v>71</v>
      </c>
      <c r="F243" t="s">
        <v>72</v>
      </c>
      <c r="G243">
        <v>1.97576208127502E-3</v>
      </c>
      <c r="H243">
        <v>3E+20</v>
      </c>
      <c r="I243">
        <v>0</v>
      </c>
      <c r="J243">
        <v>1.02937204434429</v>
      </c>
      <c r="K243">
        <v>521</v>
      </c>
      <c r="L243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11.175327412794363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147.54638400017501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309.99361754327998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542.98</v>
      </c>
      <c r="W243" s="5">
        <f>IF((DiscreteStatsTable[[#This Row],[RepsRequested]]&gt;1),DiscreteStatsTable[[#This Row],[HalfWidth]],DiscreteStatsTable[[#This Row],[BatchMeansHalfWidth]])</f>
        <v>8.1111945040912481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4">
      <c r="A244" t="s">
        <v>67</v>
      </c>
      <c r="B244" t="s">
        <v>69</v>
      </c>
      <c r="C244">
        <v>43</v>
      </c>
      <c r="D244" t="s">
        <v>76</v>
      </c>
      <c r="E244" t="s">
        <v>71</v>
      </c>
      <c r="F244" t="s">
        <v>72</v>
      </c>
      <c r="G244">
        <v>108.07913409437499</v>
      </c>
      <c r="H244">
        <v>3E+20</v>
      </c>
      <c r="I244">
        <v>0</v>
      </c>
      <c r="J244">
        <v>241.62439333428301</v>
      </c>
      <c r="K244">
        <v>532</v>
      </c>
      <c r="L244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11.175327412794363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147.54638400017501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309.99361754327998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542.98</v>
      </c>
      <c r="W244" s="5">
        <f>IF((DiscreteStatsTable[[#This Row],[RepsRequested]]&gt;1),DiscreteStatsTable[[#This Row],[HalfWidth]],DiscreteStatsTable[[#This Row],[BatchMeansHalfWidth]])</f>
        <v>8.1111945040912481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4">
      <c r="A245" t="s">
        <v>67</v>
      </c>
      <c r="B245" t="s">
        <v>69</v>
      </c>
      <c r="C245">
        <v>44</v>
      </c>
      <c r="D245" t="s">
        <v>76</v>
      </c>
      <c r="E245" t="s">
        <v>71</v>
      </c>
      <c r="F245" t="s">
        <v>72</v>
      </c>
      <c r="G245">
        <v>0</v>
      </c>
      <c r="H245">
        <v>0</v>
      </c>
      <c r="I245">
        <v>0</v>
      </c>
      <c r="J245">
        <v>0</v>
      </c>
      <c r="K245">
        <v>528</v>
      </c>
      <c r="L245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11.175327412794363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147.54638400017501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309.99361754327998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542.98</v>
      </c>
      <c r="W245" s="5">
        <f>IF((DiscreteStatsTable[[#This Row],[RepsRequested]]&gt;1),DiscreteStatsTable[[#This Row],[HalfWidth]],DiscreteStatsTable[[#This Row],[BatchMeansHalfWidth]])</f>
        <v>8.1111945040912481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4">
      <c r="A246" t="s">
        <v>67</v>
      </c>
      <c r="B246" t="s">
        <v>69</v>
      </c>
      <c r="C246">
        <v>45</v>
      </c>
      <c r="D246" t="s">
        <v>76</v>
      </c>
      <c r="E246" t="s">
        <v>71</v>
      </c>
      <c r="F246" t="s">
        <v>72</v>
      </c>
      <c r="G246">
        <v>9.4221637656721704</v>
      </c>
      <c r="H246">
        <v>3E+20</v>
      </c>
      <c r="I246">
        <v>0</v>
      </c>
      <c r="J246">
        <v>76.376207351680804</v>
      </c>
      <c r="K246">
        <v>542</v>
      </c>
      <c r="L246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11.175327412794363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147.54638400017501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309.99361754327998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542.98</v>
      </c>
      <c r="W246" s="5">
        <f>IF((DiscreteStatsTable[[#This Row],[RepsRequested]]&gt;1),DiscreteStatsTable[[#This Row],[HalfWidth]],DiscreteStatsTable[[#This Row],[BatchMeansHalfWidth]])</f>
        <v>8.1111945040912481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4">
      <c r="A247" t="s">
        <v>67</v>
      </c>
      <c r="B247" t="s">
        <v>69</v>
      </c>
      <c r="C247">
        <v>46</v>
      </c>
      <c r="D247" t="s">
        <v>76</v>
      </c>
      <c r="E247" t="s">
        <v>71</v>
      </c>
      <c r="F247" t="s">
        <v>72</v>
      </c>
      <c r="G247">
        <v>4.33846115455193E-2</v>
      </c>
      <c r="H247">
        <v>3E+20</v>
      </c>
      <c r="I247">
        <v>0</v>
      </c>
      <c r="J247">
        <v>10.9738152628611</v>
      </c>
      <c r="K247">
        <v>597</v>
      </c>
      <c r="L247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11.175327412794363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147.54638400017501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309.99361754327998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542.98</v>
      </c>
      <c r="W247" s="5">
        <f>IF((DiscreteStatsTable[[#This Row],[RepsRequested]]&gt;1),DiscreteStatsTable[[#This Row],[HalfWidth]],DiscreteStatsTable[[#This Row],[BatchMeansHalfWidth]])</f>
        <v>8.1111945040912481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4">
      <c r="A248" t="s">
        <v>67</v>
      </c>
      <c r="B248" t="s">
        <v>69</v>
      </c>
      <c r="C248">
        <v>47</v>
      </c>
      <c r="D248" t="s">
        <v>76</v>
      </c>
      <c r="E248" t="s">
        <v>71</v>
      </c>
      <c r="F248" t="s">
        <v>72</v>
      </c>
      <c r="G248">
        <v>63.164222274872699</v>
      </c>
      <c r="H248">
        <v>3E+20</v>
      </c>
      <c r="I248">
        <v>0</v>
      </c>
      <c r="J248">
        <v>141.79311922212801</v>
      </c>
      <c r="K248">
        <v>555</v>
      </c>
      <c r="L248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11.175327412794363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147.54638400017501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309.99361754327998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542.98</v>
      </c>
      <c r="W248" s="5">
        <f>IF((DiscreteStatsTable[[#This Row],[RepsRequested]]&gt;1),DiscreteStatsTable[[#This Row],[HalfWidth]],DiscreteStatsTable[[#This Row],[BatchMeansHalfWidth]])</f>
        <v>8.1111945040912481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4">
      <c r="A249" t="s">
        <v>67</v>
      </c>
      <c r="B249" t="s">
        <v>69</v>
      </c>
      <c r="C249">
        <v>48</v>
      </c>
      <c r="D249" t="s">
        <v>76</v>
      </c>
      <c r="E249" t="s">
        <v>71</v>
      </c>
      <c r="F249" t="s">
        <v>72</v>
      </c>
      <c r="G249">
        <v>5.2020055429473597</v>
      </c>
      <c r="H249">
        <v>3E+20</v>
      </c>
      <c r="I249">
        <v>0</v>
      </c>
      <c r="J249">
        <v>39.417752948520999</v>
      </c>
      <c r="K249">
        <v>548</v>
      </c>
      <c r="L249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11.175327412794363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28.540760910048576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147.54638400017501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309.99361754327998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542.98</v>
      </c>
      <c r="W249" s="5">
        <f>IF((DiscreteStatsTable[[#This Row],[RepsRequested]]&gt;1),DiscreteStatsTable[[#This Row],[HalfWidth]],DiscreteStatsTable[[#This Row],[BatchMeansHalfWidth]])</f>
        <v>8.1111945040912481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4">
      <c r="A250" t="s">
        <v>67</v>
      </c>
      <c r="B250" t="s">
        <v>69</v>
      </c>
      <c r="C250">
        <v>49</v>
      </c>
      <c r="D250" t="s">
        <v>76</v>
      </c>
      <c r="E250" t="s">
        <v>71</v>
      </c>
      <c r="F250" t="s">
        <v>72</v>
      </c>
      <c r="G250">
        <v>4.7770466555753698E-2</v>
      </c>
      <c r="H250">
        <v>3E+20</v>
      </c>
      <c r="I250">
        <v>0</v>
      </c>
      <c r="J250">
        <v>14.527859575666699</v>
      </c>
      <c r="K250">
        <v>511</v>
      </c>
      <c r="L250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11.175327412794363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28.540760910048576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147.54638400017501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309.99361754327998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542.98</v>
      </c>
      <c r="W250" s="5">
        <f>IF((DiscreteStatsTable[[#This Row],[RepsRequested]]&gt;1),DiscreteStatsTable[[#This Row],[HalfWidth]],DiscreteStatsTable[[#This Row],[BatchMeansHalfWidth]])</f>
        <v>8.1111945040912481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4">
      <c r="A251" t="s">
        <v>67</v>
      </c>
      <c r="B251" t="s">
        <v>69</v>
      </c>
      <c r="C251">
        <v>50</v>
      </c>
      <c r="D251" t="s">
        <v>76</v>
      </c>
      <c r="E251" t="s">
        <v>71</v>
      </c>
      <c r="F251" t="s">
        <v>72</v>
      </c>
      <c r="G251">
        <v>2.94451274057506</v>
      </c>
      <c r="H251">
        <v>3E+20</v>
      </c>
      <c r="I251">
        <v>0</v>
      </c>
      <c r="J251">
        <v>27.448776333202801</v>
      </c>
      <c r="K251">
        <v>569</v>
      </c>
      <c r="L251" s="5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11.175327412794363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28.540760910048576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8.1111945040912481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147.54638400017501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309.99361754327998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542.98</v>
      </c>
      <c r="W251" s="5">
        <f>IF((DiscreteStatsTable[[#This Row],[RepsRequested]]&gt;1),DiscreteStatsTable[[#This Row],[HalfWidth]],DiscreteStatsTable[[#This Row],[BatchMeansHalfWidth]])</f>
        <v>8.1111945040912481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4">
      <c r="A252" t="s">
        <v>67</v>
      </c>
      <c r="B252" t="s">
        <v>69</v>
      </c>
      <c r="C252">
        <v>1</v>
      </c>
      <c r="D252" t="s">
        <v>77</v>
      </c>
      <c r="E252" t="s">
        <v>71</v>
      </c>
      <c r="F252" t="s">
        <v>72</v>
      </c>
      <c r="G252">
        <v>40.750758417583697</v>
      </c>
      <c r="H252">
        <v>3E+20</v>
      </c>
      <c r="I252">
        <v>0</v>
      </c>
      <c r="J252">
        <v>134.91731097626001</v>
      </c>
      <c r="K252">
        <v>546</v>
      </c>
      <c r="L252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38.952903305784723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184.584786754118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330.22742130715898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550.36</v>
      </c>
      <c r="W252" s="5">
        <f>IF((DiscreteStatsTable[[#This Row],[RepsRequested]]&gt;1),DiscreteStatsTable[[#This Row],[HalfWidth]],DiscreteStatsTable[[#This Row],[BatchMeansHalfWidth]])</f>
        <v>13.727654325228857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4">
      <c r="A253" t="s">
        <v>67</v>
      </c>
      <c r="B253" t="s">
        <v>69</v>
      </c>
      <c r="C253">
        <v>2</v>
      </c>
      <c r="D253" t="s">
        <v>77</v>
      </c>
      <c r="E253" t="s">
        <v>71</v>
      </c>
      <c r="F253" t="s">
        <v>72</v>
      </c>
      <c r="G253">
        <v>25.9382682069926</v>
      </c>
      <c r="H253">
        <v>3E+20</v>
      </c>
      <c r="I253">
        <v>0</v>
      </c>
      <c r="J253">
        <v>191.856268017698</v>
      </c>
      <c r="K253">
        <v>510</v>
      </c>
      <c r="L253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38.952903305784723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184.584786754118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330.22742130715898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550.36</v>
      </c>
      <c r="W253" s="5">
        <f>IF((DiscreteStatsTable[[#This Row],[RepsRequested]]&gt;1),DiscreteStatsTable[[#This Row],[HalfWidth]],DiscreteStatsTable[[#This Row],[BatchMeansHalfWidth]])</f>
        <v>13.727654325228857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4">
      <c r="A254" t="s">
        <v>67</v>
      </c>
      <c r="B254" t="s">
        <v>69</v>
      </c>
      <c r="C254">
        <v>3</v>
      </c>
      <c r="D254" t="s">
        <v>77</v>
      </c>
      <c r="E254" t="s">
        <v>71</v>
      </c>
      <c r="F254" t="s">
        <v>72</v>
      </c>
      <c r="G254">
        <v>0.52490255581437195</v>
      </c>
      <c r="H254">
        <v>3E+20</v>
      </c>
      <c r="I254">
        <v>0</v>
      </c>
      <c r="J254">
        <v>15.1725106760146</v>
      </c>
      <c r="K254">
        <v>507</v>
      </c>
      <c r="L254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38.952903305784723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184.584786754118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330.22742130715898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550.36</v>
      </c>
      <c r="W254" s="5">
        <f>IF((DiscreteStatsTable[[#This Row],[RepsRequested]]&gt;1),DiscreteStatsTable[[#This Row],[HalfWidth]],DiscreteStatsTable[[#This Row],[BatchMeansHalfWidth]])</f>
        <v>13.727654325228857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4">
      <c r="A255" t="s">
        <v>67</v>
      </c>
      <c r="B255" t="s">
        <v>69</v>
      </c>
      <c r="C255">
        <v>4</v>
      </c>
      <c r="D255" t="s">
        <v>77</v>
      </c>
      <c r="E255" t="s">
        <v>71</v>
      </c>
      <c r="F255" t="s">
        <v>72</v>
      </c>
      <c r="G255">
        <v>0.24751721730910201</v>
      </c>
      <c r="H255">
        <v>3E+20</v>
      </c>
      <c r="I255">
        <v>0</v>
      </c>
      <c r="J255">
        <v>19.208994530528599</v>
      </c>
      <c r="K255">
        <v>541</v>
      </c>
      <c r="L255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38.952903305784723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184.584786754118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330.22742130715898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550.36</v>
      </c>
      <c r="W255" s="5">
        <f>IF((DiscreteStatsTable[[#This Row],[RepsRequested]]&gt;1),DiscreteStatsTable[[#This Row],[HalfWidth]],DiscreteStatsTable[[#This Row],[BatchMeansHalfWidth]])</f>
        <v>13.727654325228857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4">
      <c r="A256" t="s">
        <v>67</v>
      </c>
      <c r="B256" t="s">
        <v>69</v>
      </c>
      <c r="C256">
        <v>5</v>
      </c>
      <c r="D256" t="s">
        <v>77</v>
      </c>
      <c r="E256" t="s">
        <v>71</v>
      </c>
      <c r="F256" t="s">
        <v>72</v>
      </c>
      <c r="G256">
        <v>2.8662175262434801E-3</v>
      </c>
      <c r="H256">
        <v>3E+20</v>
      </c>
      <c r="I256">
        <v>0</v>
      </c>
      <c r="J256">
        <v>1.54775746417148</v>
      </c>
      <c r="K256">
        <v>540</v>
      </c>
      <c r="L256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38.952903305784723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184.584786754118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330.22742130715898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550.36</v>
      </c>
      <c r="W256" s="5">
        <f>IF((DiscreteStatsTable[[#This Row],[RepsRequested]]&gt;1),DiscreteStatsTable[[#This Row],[HalfWidth]],DiscreteStatsTable[[#This Row],[BatchMeansHalfWidth]])</f>
        <v>13.727654325228857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4">
      <c r="A257" t="s">
        <v>67</v>
      </c>
      <c r="B257" t="s">
        <v>69</v>
      </c>
      <c r="C257">
        <v>6</v>
      </c>
      <c r="D257" t="s">
        <v>77</v>
      </c>
      <c r="E257" t="s">
        <v>71</v>
      </c>
      <c r="F257" t="s">
        <v>72</v>
      </c>
      <c r="G257">
        <v>2.2701293118959202E-3</v>
      </c>
      <c r="H257">
        <v>3E+20</v>
      </c>
      <c r="I257">
        <v>0</v>
      </c>
      <c r="J257">
        <v>1.3484568112661699</v>
      </c>
      <c r="K257">
        <v>594</v>
      </c>
      <c r="L257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38.952903305784723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184.584786754118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330.22742130715898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550.36</v>
      </c>
      <c r="W257" s="5">
        <f>IF((DiscreteStatsTable[[#This Row],[RepsRequested]]&gt;1),DiscreteStatsTable[[#This Row],[HalfWidth]],DiscreteStatsTable[[#This Row],[BatchMeansHalfWidth]])</f>
        <v>13.727654325228857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4">
      <c r="A258" t="s">
        <v>67</v>
      </c>
      <c r="B258" t="s">
        <v>69</v>
      </c>
      <c r="C258">
        <v>7</v>
      </c>
      <c r="D258" t="s">
        <v>77</v>
      </c>
      <c r="E258" t="s">
        <v>71</v>
      </c>
      <c r="F258" t="s">
        <v>72</v>
      </c>
      <c r="G258">
        <v>144.483656057704</v>
      </c>
      <c r="H258">
        <v>3E+20</v>
      </c>
      <c r="I258">
        <v>0</v>
      </c>
      <c r="J258">
        <v>324.94546178450298</v>
      </c>
      <c r="K258">
        <v>507</v>
      </c>
      <c r="L258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38.952903305784723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184.584786754118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330.22742130715898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550.36</v>
      </c>
      <c r="W258" s="5">
        <f>IF((DiscreteStatsTable[[#This Row],[RepsRequested]]&gt;1),DiscreteStatsTable[[#This Row],[HalfWidth]],DiscreteStatsTable[[#This Row],[BatchMeansHalfWidth]])</f>
        <v>13.727654325228857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4">
      <c r="A259" t="s">
        <v>67</v>
      </c>
      <c r="B259" t="s">
        <v>69</v>
      </c>
      <c r="C259">
        <v>8</v>
      </c>
      <c r="D259" t="s">
        <v>77</v>
      </c>
      <c r="E259" t="s">
        <v>71</v>
      </c>
      <c r="F259" t="s">
        <v>72</v>
      </c>
      <c r="G259">
        <v>18.092632285609401</v>
      </c>
      <c r="H259">
        <v>3E+20</v>
      </c>
      <c r="I259">
        <v>0</v>
      </c>
      <c r="J259">
        <v>84.263290673879993</v>
      </c>
      <c r="K259">
        <v>524</v>
      </c>
      <c r="L259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38.952903305784723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48.303329399206255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184.584786754118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330.22742130715898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550.36</v>
      </c>
      <c r="W259" s="5">
        <f>IF((DiscreteStatsTable[[#This Row],[RepsRequested]]&gt;1),DiscreteStatsTable[[#This Row],[HalfWidth]],DiscreteStatsTable[[#This Row],[BatchMeansHalfWidth]])</f>
        <v>13.727654325228857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4">
      <c r="A260" t="s">
        <v>67</v>
      </c>
      <c r="B260" t="s">
        <v>69</v>
      </c>
      <c r="C260">
        <v>9</v>
      </c>
      <c r="D260" t="s">
        <v>77</v>
      </c>
      <c r="E260" t="s">
        <v>71</v>
      </c>
      <c r="F260" t="s">
        <v>72</v>
      </c>
      <c r="G260">
        <v>0</v>
      </c>
      <c r="H260">
        <v>0</v>
      </c>
      <c r="I260">
        <v>0</v>
      </c>
      <c r="J260">
        <v>0</v>
      </c>
      <c r="K260">
        <v>565</v>
      </c>
      <c r="L260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38.952903305784723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184.584786754118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330.22742130715898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550.36</v>
      </c>
      <c r="W260" s="5">
        <f>IF((DiscreteStatsTable[[#This Row],[RepsRequested]]&gt;1),DiscreteStatsTable[[#This Row],[HalfWidth]],DiscreteStatsTable[[#This Row],[BatchMeansHalfWidth]])</f>
        <v>13.727654325228857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4">
      <c r="A261" t="s">
        <v>67</v>
      </c>
      <c r="B261" t="s">
        <v>69</v>
      </c>
      <c r="C261">
        <v>10</v>
      </c>
      <c r="D261" t="s">
        <v>77</v>
      </c>
      <c r="E261" t="s">
        <v>71</v>
      </c>
      <c r="F261" t="s">
        <v>72</v>
      </c>
      <c r="G261">
        <v>2.0827901537836702E-2</v>
      </c>
      <c r="H261">
        <v>3E+20</v>
      </c>
      <c r="I261">
        <v>0</v>
      </c>
      <c r="J261">
        <v>5.69945049198272</v>
      </c>
      <c r="K261">
        <v>561</v>
      </c>
      <c r="L261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38.952903305784723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184.584786754118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330.22742130715898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550.36</v>
      </c>
      <c r="W261" s="5">
        <f>IF((DiscreteStatsTable[[#This Row],[RepsRequested]]&gt;1),DiscreteStatsTable[[#This Row],[HalfWidth]],DiscreteStatsTable[[#This Row],[BatchMeansHalfWidth]])</f>
        <v>13.727654325228857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4">
      <c r="A262" t="s">
        <v>67</v>
      </c>
      <c r="B262" t="s">
        <v>69</v>
      </c>
      <c r="C262">
        <v>11</v>
      </c>
      <c r="D262" t="s">
        <v>77</v>
      </c>
      <c r="E262" t="s">
        <v>71</v>
      </c>
      <c r="F262" t="s">
        <v>72</v>
      </c>
      <c r="G262">
        <v>17.278949670155999</v>
      </c>
      <c r="H262">
        <v>3E+20</v>
      </c>
      <c r="I262">
        <v>0</v>
      </c>
      <c r="J262">
        <v>110.179469834242</v>
      </c>
      <c r="K262">
        <v>581</v>
      </c>
      <c r="L262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38.952903305784723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184.584786754118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330.22742130715898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550.36</v>
      </c>
      <c r="W262" s="5">
        <f>IF((DiscreteStatsTable[[#This Row],[RepsRequested]]&gt;1),DiscreteStatsTable[[#This Row],[HalfWidth]],DiscreteStatsTable[[#This Row],[BatchMeansHalfWidth]])</f>
        <v>13.727654325228857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4">
      <c r="A263" t="s">
        <v>67</v>
      </c>
      <c r="B263" t="s">
        <v>69</v>
      </c>
      <c r="C263">
        <v>12</v>
      </c>
      <c r="D263" t="s">
        <v>77</v>
      </c>
      <c r="E263" t="s">
        <v>71</v>
      </c>
      <c r="F263" t="s">
        <v>72</v>
      </c>
      <c r="G263">
        <v>18.614008289527501</v>
      </c>
      <c r="H263">
        <v>3E+20</v>
      </c>
      <c r="I263">
        <v>0</v>
      </c>
      <c r="J263">
        <v>78.263106883196102</v>
      </c>
      <c r="K263">
        <v>573</v>
      </c>
      <c r="L263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38.952903305784723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184.584786754118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330.22742130715898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550.36</v>
      </c>
      <c r="W263" s="5">
        <f>IF((DiscreteStatsTable[[#This Row],[RepsRequested]]&gt;1),DiscreteStatsTable[[#This Row],[HalfWidth]],DiscreteStatsTable[[#This Row],[BatchMeansHalfWidth]])</f>
        <v>13.727654325228857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4">
      <c r="A264" t="s">
        <v>67</v>
      </c>
      <c r="B264" t="s">
        <v>69</v>
      </c>
      <c r="C264">
        <v>13</v>
      </c>
      <c r="D264" t="s">
        <v>77</v>
      </c>
      <c r="E264" t="s">
        <v>71</v>
      </c>
      <c r="F264" t="s">
        <v>72</v>
      </c>
      <c r="G264">
        <v>84.166795417825796</v>
      </c>
      <c r="H264">
        <v>3E+20</v>
      </c>
      <c r="I264">
        <v>0</v>
      </c>
      <c r="J264">
        <v>233.21055645392499</v>
      </c>
      <c r="K264">
        <v>576</v>
      </c>
      <c r="L264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38.952903305784723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184.584786754118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330.22742130715898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550.36</v>
      </c>
      <c r="W264" s="5">
        <f>IF((DiscreteStatsTable[[#This Row],[RepsRequested]]&gt;1),DiscreteStatsTable[[#This Row],[HalfWidth]],DiscreteStatsTable[[#This Row],[BatchMeansHalfWidth]])</f>
        <v>13.727654325228857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4">
      <c r="A265" t="s">
        <v>67</v>
      </c>
      <c r="B265" t="s">
        <v>69</v>
      </c>
      <c r="C265">
        <v>14</v>
      </c>
      <c r="D265" t="s">
        <v>77</v>
      </c>
      <c r="E265" t="s">
        <v>71</v>
      </c>
      <c r="F265" t="s">
        <v>72</v>
      </c>
      <c r="G265">
        <v>91.504089033688103</v>
      </c>
      <c r="H265">
        <v>3E+20</v>
      </c>
      <c r="I265">
        <v>0</v>
      </c>
      <c r="J265">
        <v>231.36783293183601</v>
      </c>
      <c r="K265">
        <v>514</v>
      </c>
      <c r="L265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38.952903305784723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184.584786754118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330.22742130715898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550.36</v>
      </c>
      <c r="W265" s="5">
        <f>IF((DiscreteStatsTable[[#This Row],[RepsRequested]]&gt;1),DiscreteStatsTable[[#This Row],[HalfWidth]],DiscreteStatsTable[[#This Row],[BatchMeansHalfWidth]])</f>
        <v>13.727654325228857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4">
      <c r="A266" t="s">
        <v>67</v>
      </c>
      <c r="B266" t="s">
        <v>69</v>
      </c>
      <c r="C266">
        <v>15</v>
      </c>
      <c r="D266" t="s">
        <v>77</v>
      </c>
      <c r="E266" t="s">
        <v>71</v>
      </c>
      <c r="F266" t="s">
        <v>72</v>
      </c>
      <c r="G266">
        <v>2.8195804505134001</v>
      </c>
      <c r="H266">
        <v>3E+20</v>
      </c>
      <c r="I266">
        <v>0</v>
      </c>
      <c r="J266">
        <v>35.034097436036497</v>
      </c>
      <c r="K266">
        <v>559</v>
      </c>
      <c r="L266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38.952903305784723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184.584786754118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330.22742130715898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550.36</v>
      </c>
      <c r="W266" s="5">
        <f>IF((DiscreteStatsTable[[#This Row],[RepsRequested]]&gt;1),DiscreteStatsTable[[#This Row],[HalfWidth]],DiscreteStatsTable[[#This Row],[BatchMeansHalfWidth]])</f>
        <v>13.727654325228857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4">
      <c r="A267" t="s">
        <v>67</v>
      </c>
      <c r="B267" t="s">
        <v>69</v>
      </c>
      <c r="C267">
        <v>16</v>
      </c>
      <c r="D267" t="s">
        <v>77</v>
      </c>
      <c r="E267" t="s">
        <v>71</v>
      </c>
      <c r="F267" t="s">
        <v>72</v>
      </c>
      <c r="G267">
        <v>78.771969173380498</v>
      </c>
      <c r="H267">
        <v>3E+20</v>
      </c>
      <c r="I267">
        <v>0</v>
      </c>
      <c r="J267">
        <v>215.497608664859</v>
      </c>
      <c r="K267">
        <v>541</v>
      </c>
      <c r="L267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38.952903305784723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184.584786754118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330.22742130715898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550.36</v>
      </c>
      <c r="W267" s="5">
        <f>IF((DiscreteStatsTable[[#This Row],[RepsRequested]]&gt;1),DiscreteStatsTable[[#This Row],[HalfWidth]],DiscreteStatsTable[[#This Row],[BatchMeansHalfWidth]])</f>
        <v>13.727654325228857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4">
      <c r="A268" t="s">
        <v>67</v>
      </c>
      <c r="B268" t="s">
        <v>69</v>
      </c>
      <c r="C268">
        <v>17</v>
      </c>
      <c r="D268" t="s">
        <v>77</v>
      </c>
      <c r="E268" t="s">
        <v>71</v>
      </c>
      <c r="F268" t="s">
        <v>72</v>
      </c>
      <c r="G268">
        <v>0.482045717174857</v>
      </c>
      <c r="H268">
        <v>3E+20</v>
      </c>
      <c r="I268">
        <v>0</v>
      </c>
      <c r="J268">
        <v>20.5008175075134</v>
      </c>
      <c r="K268">
        <v>569</v>
      </c>
      <c r="L268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38.952903305784723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184.584786754118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330.22742130715898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550.36</v>
      </c>
      <c r="W268" s="5">
        <f>IF((DiscreteStatsTable[[#This Row],[RepsRequested]]&gt;1),DiscreteStatsTable[[#This Row],[HalfWidth]],DiscreteStatsTable[[#This Row],[BatchMeansHalfWidth]])</f>
        <v>13.727654325228857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4">
      <c r="A269" t="s">
        <v>67</v>
      </c>
      <c r="B269" t="s">
        <v>69</v>
      </c>
      <c r="C269">
        <v>18</v>
      </c>
      <c r="D269" t="s">
        <v>77</v>
      </c>
      <c r="E269" t="s">
        <v>71</v>
      </c>
      <c r="F269" t="s">
        <v>72</v>
      </c>
      <c r="G269">
        <v>3.5369232507539698</v>
      </c>
      <c r="H269">
        <v>3E+20</v>
      </c>
      <c r="I269">
        <v>0</v>
      </c>
      <c r="J269">
        <v>56.590262138493003</v>
      </c>
      <c r="K269">
        <v>553</v>
      </c>
      <c r="L269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38.952903305784723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48.303329399206255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184.584786754118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330.22742130715898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550.36</v>
      </c>
      <c r="W269" s="5">
        <f>IF((DiscreteStatsTable[[#This Row],[RepsRequested]]&gt;1),DiscreteStatsTable[[#This Row],[HalfWidth]],DiscreteStatsTable[[#This Row],[BatchMeansHalfWidth]])</f>
        <v>13.727654325228857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4">
      <c r="A270" t="s">
        <v>67</v>
      </c>
      <c r="B270" t="s">
        <v>69</v>
      </c>
      <c r="C270">
        <v>19</v>
      </c>
      <c r="D270" t="s">
        <v>77</v>
      </c>
      <c r="E270" t="s">
        <v>71</v>
      </c>
      <c r="F270" t="s">
        <v>72</v>
      </c>
      <c r="G270">
        <v>63.045027110807602</v>
      </c>
      <c r="H270">
        <v>3E+20</v>
      </c>
      <c r="I270">
        <v>0</v>
      </c>
      <c r="J270">
        <v>136.88903264662801</v>
      </c>
      <c r="K270">
        <v>551</v>
      </c>
      <c r="L270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38.952903305784723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184.584786754118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330.22742130715898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550.36</v>
      </c>
      <c r="W270" s="5">
        <f>IF((DiscreteStatsTable[[#This Row],[RepsRequested]]&gt;1),DiscreteStatsTable[[#This Row],[HalfWidth]],DiscreteStatsTable[[#This Row],[BatchMeansHalfWidth]])</f>
        <v>13.727654325228857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4">
      <c r="A271" t="s">
        <v>67</v>
      </c>
      <c r="B271" t="s">
        <v>69</v>
      </c>
      <c r="C271">
        <v>20</v>
      </c>
      <c r="D271" t="s">
        <v>77</v>
      </c>
      <c r="E271" t="s">
        <v>71</v>
      </c>
      <c r="F271" t="s">
        <v>72</v>
      </c>
      <c r="G271">
        <v>1.5774370019587699E-2</v>
      </c>
      <c r="H271">
        <v>3E+20</v>
      </c>
      <c r="I271">
        <v>0</v>
      </c>
      <c r="J271">
        <v>5.3554631786100302</v>
      </c>
      <c r="K271">
        <v>587</v>
      </c>
      <c r="L271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38.952903305784723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184.584786754118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330.22742130715898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550.36</v>
      </c>
      <c r="W271" s="5">
        <f>IF((DiscreteStatsTable[[#This Row],[RepsRequested]]&gt;1),DiscreteStatsTable[[#This Row],[HalfWidth]],DiscreteStatsTable[[#This Row],[BatchMeansHalfWidth]])</f>
        <v>13.727654325228857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4">
      <c r="A272" t="s">
        <v>67</v>
      </c>
      <c r="B272" t="s">
        <v>69</v>
      </c>
      <c r="C272">
        <v>21</v>
      </c>
      <c r="D272" t="s">
        <v>77</v>
      </c>
      <c r="E272" t="s">
        <v>71</v>
      </c>
      <c r="F272" t="s">
        <v>72</v>
      </c>
      <c r="G272">
        <v>20.559384779545301</v>
      </c>
      <c r="H272">
        <v>3E+20</v>
      </c>
      <c r="I272">
        <v>0</v>
      </c>
      <c r="J272">
        <v>122.690546976896</v>
      </c>
      <c r="K272">
        <v>577</v>
      </c>
      <c r="L272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38.952903305784723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184.584786754118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330.22742130715898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550.36</v>
      </c>
      <c r="W272" s="5">
        <f>IF((DiscreteStatsTable[[#This Row],[RepsRequested]]&gt;1),DiscreteStatsTable[[#This Row],[HalfWidth]],DiscreteStatsTable[[#This Row],[BatchMeansHalfWidth]])</f>
        <v>13.727654325228857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4">
      <c r="A273" t="s">
        <v>67</v>
      </c>
      <c r="B273" t="s">
        <v>69</v>
      </c>
      <c r="C273">
        <v>22</v>
      </c>
      <c r="D273" t="s">
        <v>77</v>
      </c>
      <c r="E273" t="s">
        <v>71</v>
      </c>
      <c r="F273" t="s">
        <v>72</v>
      </c>
      <c r="G273">
        <v>101.090965431546</v>
      </c>
      <c r="H273">
        <v>3E+20</v>
      </c>
      <c r="I273">
        <v>0</v>
      </c>
      <c r="J273">
        <v>178.26922590876799</v>
      </c>
      <c r="K273">
        <v>518</v>
      </c>
      <c r="L273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38.952903305784723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184.584786754118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330.22742130715898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550.36</v>
      </c>
      <c r="W273" s="5">
        <f>IF((DiscreteStatsTable[[#This Row],[RepsRequested]]&gt;1),DiscreteStatsTable[[#This Row],[HalfWidth]],DiscreteStatsTable[[#This Row],[BatchMeansHalfWidth]])</f>
        <v>13.727654325228857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4">
      <c r="A274" t="s">
        <v>67</v>
      </c>
      <c r="B274" t="s">
        <v>69</v>
      </c>
      <c r="C274">
        <v>23</v>
      </c>
      <c r="D274" t="s">
        <v>77</v>
      </c>
      <c r="E274" t="s">
        <v>71</v>
      </c>
      <c r="F274" t="s">
        <v>72</v>
      </c>
      <c r="G274">
        <v>0</v>
      </c>
      <c r="H274">
        <v>0</v>
      </c>
      <c r="I274">
        <v>0</v>
      </c>
      <c r="J274">
        <v>0</v>
      </c>
      <c r="K274">
        <v>556</v>
      </c>
      <c r="L274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38.952903305784723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184.584786754118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330.22742130715898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550.36</v>
      </c>
      <c r="W274" s="5">
        <f>IF((DiscreteStatsTable[[#This Row],[RepsRequested]]&gt;1),DiscreteStatsTable[[#This Row],[HalfWidth]],DiscreteStatsTable[[#This Row],[BatchMeansHalfWidth]])</f>
        <v>13.727654325228857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4">
      <c r="A275" t="s">
        <v>67</v>
      </c>
      <c r="B275" t="s">
        <v>69</v>
      </c>
      <c r="C275">
        <v>24</v>
      </c>
      <c r="D275" t="s">
        <v>77</v>
      </c>
      <c r="E275" t="s">
        <v>71</v>
      </c>
      <c r="F275" t="s">
        <v>72</v>
      </c>
      <c r="G275">
        <v>0</v>
      </c>
      <c r="H275">
        <v>0</v>
      </c>
      <c r="I275">
        <v>0</v>
      </c>
      <c r="J275">
        <v>0</v>
      </c>
      <c r="K275">
        <v>580</v>
      </c>
      <c r="L275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38.952903305784723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184.584786754118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330.22742130715898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550.36</v>
      </c>
      <c r="W275" s="5">
        <f>IF((DiscreteStatsTable[[#This Row],[RepsRequested]]&gt;1),DiscreteStatsTable[[#This Row],[HalfWidth]],DiscreteStatsTable[[#This Row],[BatchMeansHalfWidth]])</f>
        <v>13.727654325228857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4">
      <c r="A276" t="s">
        <v>67</v>
      </c>
      <c r="B276" t="s">
        <v>69</v>
      </c>
      <c r="C276">
        <v>25</v>
      </c>
      <c r="D276" t="s">
        <v>77</v>
      </c>
      <c r="E276" t="s">
        <v>71</v>
      </c>
      <c r="F276" t="s">
        <v>72</v>
      </c>
      <c r="G276">
        <v>0.96855562162113495</v>
      </c>
      <c r="H276">
        <v>1.2850990074245801</v>
      </c>
      <c r="I276">
        <v>0</v>
      </c>
      <c r="J276">
        <v>33.816337576576501</v>
      </c>
      <c r="K276">
        <v>607</v>
      </c>
      <c r="L276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38.952903305784723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184.584786754118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330.22742130715898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550.36</v>
      </c>
      <c r="W276" s="5">
        <f>IF((DiscreteStatsTable[[#This Row],[RepsRequested]]&gt;1),DiscreteStatsTable[[#This Row],[HalfWidth]],DiscreteStatsTable[[#This Row],[BatchMeansHalfWidth]])</f>
        <v>13.727654325228857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4">
      <c r="A277" t="s">
        <v>67</v>
      </c>
      <c r="B277" t="s">
        <v>69</v>
      </c>
      <c r="C277">
        <v>26</v>
      </c>
      <c r="D277" t="s">
        <v>77</v>
      </c>
      <c r="E277" t="s">
        <v>71</v>
      </c>
      <c r="F277" t="s">
        <v>72</v>
      </c>
      <c r="G277">
        <v>184.584786754118</v>
      </c>
      <c r="H277">
        <v>3E+20</v>
      </c>
      <c r="I277">
        <v>0</v>
      </c>
      <c r="J277">
        <v>330.22742130715898</v>
      </c>
      <c r="K277">
        <v>501</v>
      </c>
      <c r="L277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38.952903305784723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184.584786754118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330.22742130715898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550.36</v>
      </c>
      <c r="W277" s="5">
        <f>IF((DiscreteStatsTable[[#This Row],[RepsRequested]]&gt;1),DiscreteStatsTable[[#This Row],[HalfWidth]],DiscreteStatsTable[[#This Row],[BatchMeansHalfWidth]])</f>
        <v>13.727654325228857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4">
      <c r="A278" t="s">
        <v>67</v>
      </c>
      <c r="B278" t="s">
        <v>69</v>
      </c>
      <c r="C278">
        <v>27</v>
      </c>
      <c r="D278" t="s">
        <v>77</v>
      </c>
      <c r="E278" t="s">
        <v>71</v>
      </c>
      <c r="F278" t="s">
        <v>72</v>
      </c>
      <c r="G278">
        <v>24.639667530514298</v>
      </c>
      <c r="H278">
        <v>3E+20</v>
      </c>
      <c r="I278">
        <v>0</v>
      </c>
      <c r="J278">
        <v>83.556176645492798</v>
      </c>
      <c r="K278">
        <v>533</v>
      </c>
      <c r="L278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38.952903305784723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184.584786754118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330.22742130715898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550.36</v>
      </c>
      <c r="W278" s="5">
        <f>IF((DiscreteStatsTable[[#This Row],[RepsRequested]]&gt;1),DiscreteStatsTable[[#This Row],[HalfWidth]],DiscreteStatsTable[[#This Row],[BatchMeansHalfWidth]])</f>
        <v>13.727654325228857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4">
      <c r="A279" t="s">
        <v>67</v>
      </c>
      <c r="B279" t="s">
        <v>69</v>
      </c>
      <c r="C279">
        <v>28</v>
      </c>
      <c r="D279" t="s">
        <v>77</v>
      </c>
      <c r="E279" t="s">
        <v>71</v>
      </c>
      <c r="F279" t="s">
        <v>72</v>
      </c>
      <c r="G279">
        <v>7.57226484468754</v>
      </c>
      <c r="H279">
        <v>3E+20</v>
      </c>
      <c r="I279">
        <v>0</v>
      </c>
      <c r="J279">
        <v>65.3397487921725</v>
      </c>
      <c r="K279">
        <v>535</v>
      </c>
      <c r="L279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38.952903305784723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48.303329399206255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184.584786754118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330.22742130715898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550.36</v>
      </c>
      <c r="W279" s="5">
        <f>IF((DiscreteStatsTable[[#This Row],[RepsRequested]]&gt;1),DiscreteStatsTable[[#This Row],[HalfWidth]],DiscreteStatsTable[[#This Row],[BatchMeansHalfWidth]])</f>
        <v>13.727654325228857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4">
      <c r="A280" t="s">
        <v>67</v>
      </c>
      <c r="B280" t="s">
        <v>69</v>
      </c>
      <c r="C280">
        <v>29</v>
      </c>
      <c r="D280" t="s">
        <v>77</v>
      </c>
      <c r="E280" t="s">
        <v>71</v>
      </c>
      <c r="F280" t="s">
        <v>72</v>
      </c>
      <c r="G280">
        <v>17.295180277519702</v>
      </c>
      <c r="H280">
        <v>3E+20</v>
      </c>
      <c r="I280">
        <v>0</v>
      </c>
      <c r="J280">
        <v>136.94588233469199</v>
      </c>
      <c r="K280">
        <v>572</v>
      </c>
      <c r="L280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38.952903305784723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184.584786754118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330.22742130715898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550.36</v>
      </c>
      <c r="W280" s="5">
        <f>IF((DiscreteStatsTable[[#This Row],[RepsRequested]]&gt;1),DiscreteStatsTable[[#This Row],[HalfWidth]],DiscreteStatsTable[[#This Row],[BatchMeansHalfWidth]])</f>
        <v>13.727654325228857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4">
      <c r="A281" t="s">
        <v>67</v>
      </c>
      <c r="B281" t="s">
        <v>69</v>
      </c>
      <c r="C281">
        <v>30</v>
      </c>
      <c r="D281" t="s">
        <v>77</v>
      </c>
      <c r="E281" t="s">
        <v>71</v>
      </c>
      <c r="F281" t="s">
        <v>72</v>
      </c>
      <c r="G281">
        <v>47.820078309459198</v>
      </c>
      <c r="H281">
        <v>3E+20</v>
      </c>
      <c r="I281">
        <v>0</v>
      </c>
      <c r="J281">
        <v>254.05029037364301</v>
      </c>
      <c r="K281">
        <v>505</v>
      </c>
      <c r="L281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38.952903305784723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184.584786754118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330.22742130715898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550.36</v>
      </c>
      <c r="W281" s="5">
        <f>IF((DiscreteStatsTable[[#This Row],[RepsRequested]]&gt;1),DiscreteStatsTable[[#This Row],[HalfWidth]],DiscreteStatsTable[[#This Row],[BatchMeansHalfWidth]])</f>
        <v>13.727654325228857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4">
      <c r="A282" t="s">
        <v>67</v>
      </c>
      <c r="B282" t="s">
        <v>69</v>
      </c>
      <c r="C282">
        <v>31</v>
      </c>
      <c r="D282" t="s">
        <v>77</v>
      </c>
      <c r="E282" t="s">
        <v>71</v>
      </c>
      <c r="F282" t="s">
        <v>72</v>
      </c>
      <c r="G282">
        <v>49.042564486092303</v>
      </c>
      <c r="H282">
        <v>3E+20</v>
      </c>
      <c r="I282">
        <v>0</v>
      </c>
      <c r="J282">
        <v>139.63294538635199</v>
      </c>
      <c r="K282">
        <v>555</v>
      </c>
      <c r="L282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38.952903305784723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184.584786754118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330.22742130715898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550.36</v>
      </c>
      <c r="W282" s="5">
        <f>IF((DiscreteStatsTable[[#This Row],[RepsRequested]]&gt;1),DiscreteStatsTable[[#This Row],[HalfWidth]],DiscreteStatsTable[[#This Row],[BatchMeansHalfWidth]])</f>
        <v>13.727654325228857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4">
      <c r="A283" t="s">
        <v>67</v>
      </c>
      <c r="B283" t="s">
        <v>69</v>
      </c>
      <c r="C283">
        <v>32</v>
      </c>
      <c r="D283" t="s">
        <v>77</v>
      </c>
      <c r="E283" t="s">
        <v>71</v>
      </c>
      <c r="F283" t="s">
        <v>72</v>
      </c>
      <c r="G283">
        <v>119.54676342596299</v>
      </c>
      <c r="H283">
        <v>3E+20</v>
      </c>
      <c r="I283">
        <v>0</v>
      </c>
      <c r="J283">
        <v>236.64751158794201</v>
      </c>
      <c r="K283">
        <v>518</v>
      </c>
      <c r="L283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38.952903305784723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184.584786754118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330.22742130715898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550.36</v>
      </c>
      <c r="W283" s="5">
        <f>IF((DiscreteStatsTable[[#This Row],[RepsRequested]]&gt;1),DiscreteStatsTable[[#This Row],[HalfWidth]],DiscreteStatsTable[[#This Row],[BatchMeansHalfWidth]])</f>
        <v>13.727654325228857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4">
      <c r="A284" t="s">
        <v>67</v>
      </c>
      <c r="B284" t="s">
        <v>69</v>
      </c>
      <c r="C284">
        <v>33</v>
      </c>
      <c r="D284" t="s">
        <v>77</v>
      </c>
      <c r="E284" t="s">
        <v>71</v>
      </c>
      <c r="F284" t="s">
        <v>72</v>
      </c>
      <c r="G284">
        <v>0.13398719188876099</v>
      </c>
      <c r="H284">
        <v>0.18926872974308401</v>
      </c>
      <c r="I284">
        <v>0</v>
      </c>
      <c r="J284">
        <v>11.719700832007</v>
      </c>
      <c r="K284">
        <v>566</v>
      </c>
      <c r="L284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38.952903305784723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184.584786754118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330.22742130715898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550.36</v>
      </c>
      <c r="W284" s="5">
        <f>IF((DiscreteStatsTable[[#This Row],[RepsRequested]]&gt;1),DiscreteStatsTable[[#This Row],[HalfWidth]],DiscreteStatsTable[[#This Row],[BatchMeansHalfWidth]])</f>
        <v>13.727654325228857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4">
      <c r="A285" t="s">
        <v>67</v>
      </c>
      <c r="B285" t="s">
        <v>69</v>
      </c>
      <c r="C285">
        <v>34</v>
      </c>
      <c r="D285" t="s">
        <v>77</v>
      </c>
      <c r="E285" t="s">
        <v>71</v>
      </c>
      <c r="F285" t="s">
        <v>72</v>
      </c>
      <c r="G285">
        <v>41.6608962160633</v>
      </c>
      <c r="H285">
        <v>3E+20</v>
      </c>
      <c r="I285">
        <v>0</v>
      </c>
      <c r="J285">
        <v>135.08824851404799</v>
      </c>
      <c r="K285">
        <v>561</v>
      </c>
      <c r="L285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38.952903305784723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184.584786754118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330.22742130715898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550.36</v>
      </c>
      <c r="W285" s="5">
        <f>IF((DiscreteStatsTable[[#This Row],[RepsRequested]]&gt;1),DiscreteStatsTable[[#This Row],[HalfWidth]],DiscreteStatsTable[[#This Row],[BatchMeansHalfWidth]])</f>
        <v>13.727654325228857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4">
      <c r="A286" t="s">
        <v>67</v>
      </c>
      <c r="B286" t="s">
        <v>69</v>
      </c>
      <c r="C286">
        <v>35</v>
      </c>
      <c r="D286" t="s">
        <v>77</v>
      </c>
      <c r="E286" t="s">
        <v>71</v>
      </c>
      <c r="F286" t="s">
        <v>72</v>
      </c>
      <c r="G286">
        <v>22.864134835468899</v>
      </c>
      <c r="H286">
        <v>3E+20</v>
      </c>
      <c r="I286">
        <v>0</v>
      </c>
      <c r="J286">
        <v>95.235020066715194</v>
      </c>
      <c r="K286">
        <v>599</v>
      </c>
      <c r="L286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38.952903305784723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184.584786754118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330.22742130715898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550.36</v>
      </c>
      <c r="W286" s="5">
        <f>IF((DiscreteStatsTable[[#This Row],[RepsRequested]]&gt;1),DiscreteStatsTable[[#This Row],[HalfWidth]],DiscreteStatsTable[[#This Row],[BatchMeansHalfWidth]])</f>
        <v>13.727654325228857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4">
      <c r="A287" t="s">
        <v>67</v>
      </c>
      <c r="B287" t="s">
        <v>69</v>
      </c>
      <c r="C287">
        <v>36</v>
      </c>
      <c r="D287" t="s">
        <v>77</v>
      </c>
      <c r="E287" t="s">
        <v>71</v>
      </c>
      <c r="F287" t="s">
        <v>72</v>
      </c>
      <c r="G287">
        <v>3.0594752270531801E-2</v>
      </c>
      <c r="H287">
        <v>3E+20</v>
      </c>
      <c r="I287">
        <v>0</v>
      </c>
      <c r="J287">
        <v>12.393803078049899</v>
      </c>
      <c r="K287">
        <v>547</v>
      </c>
      <c r="L287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38.952903305784723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184.584786754118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330.22742130715898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550.36</v>
      </c>
      <c r="W287" s="5">
        <f>IF((DiscreteStatsTable[[#This Row],[RepsRequested]]&gt;1),DiscreteStatsTable[[#This Row],[HalfWidth]],DiscreteStatsTable[[#This Row],[BatchMeansHalfWidth]])</f>
        <v>13.727654325228857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4">
      <c r="A288" t="s">
        <v>67</v>
      </c>
      <c r="B288" t="s">
        <v>69</v>
      </c>
      <c r="C288">
        <v>37</v>
      </c>
      <c r="D288" t="s">
        <v>77</v>
      </c>
      <c r="E288" t="s">
        <v>71</v>
      </c>
      <c r="F288" t="s">
        <v>72</v>
      </c>
      <c r="G288">
        <v>0.63065979625132795</v>
      </c>
      <c r="H288">
        <v>3E+20</v>
      </c>
      <c r="I288">
        <v>0</v>
      </c>
      <c r="J288">
        <v>28.421922595097602</v>
      </c>
      <c r="K288">
        <v>536</v>
      </c>
      <c r="L288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38.952903305784723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184.584786754118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330.22742130715898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550.36</v>
      </c>
      <c r="W288" s="5">
        <f>IF((DiscreteStatsTable[[#This Row],[RepsRequested]]&gt;1),DiscreteStatsTable[[#This Row],[HalfWidth]],DiscreteStatsTable[[#This Row],[BatchMeansHalfWidth]])</f>
        <v>13.727654325228857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4">
      <c r="A289" t="s">
        <v>67</v>
      </c>
      <c r="B289" t="s">
        <v>69</v>
      </c>
      <c r="C289">
        <v>38</v>
      </c>
      <c r="D289" t="s">
        <v>77</v>
      </c>
      <c r="E289" t="s">
        <v>71</v>
      </c>
      <c r="F289" t="s">
        <v>72</v>
      </c>
      <c r="G289">
        <v>65.012632283367907</v>
      </c>
      <c r="H289">
        <v>3E+20</v>
      </c>
      <c r="I289">
        <v>0</v>
      </c>
      <c r="J289">
        <v>193.76338168677401</v>
      </c>
      <c r="K289">
        <v>590</v>
      </c>
      <c r="L289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38.952903305784723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48.303329399206255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184.584786754118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330.22742130715898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550.36</v>
      </c>
      <c r="W289" s="5">
        <f>IF((DiscreteStatsTable[[#This Row],[RepsRequested]]&gt;1),DiscreteStatsTable[[#This Row],[HalfWidth]],DiscreteStatsTable[[#This Row],[BatchMeansHalfWidth]])</f>
        <v>13.727654325228857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4">
      <c r="A290" t="s">
        <v>67</v>
      </c>
      <c r="B290" t="s">
        <v>69</v>
      </c>
      <c r="C290">
        <v>39</v>
      </c>
      <c r="D290" t="s">
        <v>77</v>
      </c>
      <c r="E290" t="s">
        <v>71</v>
      </c>
      <c r="F290" t="s">
        <v>72</v>
      </c>
      <c r="G290">
        <v>81.913055701822103</v>
      </c>
      <c r="H290">
        <v>3E+20</v>
      </c>
      <c r="I290">
        <v>0</v>
      </c>
      <c r="J290">
        <v>233.752068949668</v>
      </c>
      <c r="K290">
        <v>585</v>
      </c>
      <c r="L290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38.952903305784723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184.584786754118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330.22742130715898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550.36</v>
      </c>
      <c r="W290" s="5">
        <f>IF((DiscreteStatsTable[[#This Row],[RepsRequested]]&gt;1),DiscreteStatsTable[[#This Row],[HalfWidth]],DiscreteStatsTable[[#This Row],[BatchMeansHalfWidth]])</f>
        <v>13.727654325228857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4">
      <c r="A291" t="s">
        <v>67</v>
      </c>
      <c r="B291" t="s">
        <v>69</v>
      </c>
      <c r="C291">
        <v>40</v>
      </c>
      <c r="D291" t="s">
        <v>77</v>
      </c>
      <c r="E291" t="s">
        <v>71</v>
      </c>
      <c r="F291" t="s">
        <v>72</v>
      </c>
      <c r="G291">
        <v>7.7711342290940899E-2</v>
      </c>
      <c r="H291">
        <v>0.107163211049794</v>
      </c>
      <c r="I291">
        <v>0</v>
      </c>
      <c r="J291">
        <v>11.717071908689499</v>
      </c>
      <c r="K291">
        <v>502</v>
      </c>
      <c r="L291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38.952903305784723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184.584786754118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330.22742130715898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550.36</v>
      </c>
      <c r="W291" s="5">
        <f>IF((DiscreteStatsTable[[#This Row],[RepsRequested]]&gt;1),DiscreteStatsTable[[#This Row],[HalfWidth]],DiscreteStatsTable[[#This Row],[BatchMeansHalfWidth]])</f>
        <v>13.727654325228857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4">
      <c r="A292" t="s">
        <v>67</v>
      </c>
      <c r="B292" t="s">
        <v>69</v>
      </c>
      <c r="C292">
        <v>41</v>
      </c>
      <c r="D292" t="s">
        <v>77</v>
      </c>
      <c r="E292" t="s">
        <v>71</v>
      </c>
      <c r="F292" t="s">
        <v>72</v>
      </c>
      <c r="G292">
        <v>44.4359110540058</v>
      </c>
      <c r="H292">
        <v>3E+20</v>
      </c>
      <c r="I292">
        <v>0</v>
      </c>
      <c r="J292">
        <v>166.58813796739699</v>
      </c>
      <c r="K292">
        <v>541</v>
      </c>
      <c r="L292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38.952903305784723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184.584786754118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330.22742130715898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550.36</v>
      </c>
      <c r="W292" s="5">
        <f>IF((DiscreteStatsTable[[#This Row],[RepsRequested]]&gt;1),DiscreteStatsTable[[#This Row],[HalfWidth]],DiscreteStatsTable[[#This Row],[BatchMeansHalfWidth]])</f>
        <v>13.727654325228857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4">
      <c r="A293" t="s">
        <v>67</v>
      </c>
      <c r="B293" t="s">
        <v>69</v>
      </c>
      <c r="C293">
        <v>42</v>
      </c>
      <c r="D293" t="s">
        <v>77</v>
      </c>
      <c r="E293" t="s">
        <v>71</v>
      </c>
      <c r="F293" t="s">
        <v>72</v>
      </c>
      <c r="G293">
        <v>133.27384172387201</v>
      </c>
      <c r="H293">
        <v>3E+20</v>
      </c>
      <c r="I293">
        <v>0</v>
      </c>
      <c r="J293">
        <v>262.62595740827999</v>
      </c>
      <c r="K293">
        <v>532</v>
      </c>
      <c r="L293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38.952903305784723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184.584786754118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330.22742130715898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550.36</v>
      </c>
      <c r="W293" s="5">
        <f>IF((DiscreteStatsTable[[#This Row],[RepsRequested]]&gt;1),DiscreteStatsTable[[#This Row],[HalfWidth]],DiscreteStatsTable[[#This Row],[BatchMeansHalfWidth]])</f>
        <v>13.727654325228857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4">
      <c r="A294" t="s">
        <v>67</v>
      </c>
      <c r="B294" t="s">
        <v>69</v>
      </c>
      <c r="C294">
        <v>43</v>
      </c>
      <c r="D294" t="s">
        <v>77</v>
      </c>
      <c r="E294" t="s">
        <v>71</v>
      </c>
      <c r="F294" t="s">
        <v>72</v>
      </c>
      <c r="G294">
        <v>0.100824886954265</v>
      </c>
      <c r="H294">
        <v>3E+20</v>
      </c>
      <c r="I294">
        <v>0</v>
      </c>
      <c r="J294">
        <v>8.0572869099794406</v>
      </c>
      <c r="K294">
        <v>529</v>
      </c>
      <c r="L294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38.952903305784723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184.584786754118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330.22742130715898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550.36</v>
      </c>
      <c r="W294" s="5">
        <f>IF((DiscreteStatsTable[[#This Row],[RepsRequested]]&gt;1),DiscreteStatsTable[[#This Row],[HalfWidth]],DiscreteStatsTable[[#This Row],[BatchMeansHalfWidth]])</f>
        <v>13.727654325228857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4">
      <c r="A295" t="s">
        <v>67</v>
      </c>
      <c r="B295" t="s">
        <v>69</v>
      </c>
      <c r="C295">
        <v>44</v>
      </c>
      <c r="D295" t="s">
        <v>77</v>
      </c>
      <c r="E295" t="s">
        <v>71</v>
      </c>
      <c r="F295" t="s">
        <v>72</v>
      </c>
      <c r="G295">
        <v>135.59674574837001</v>
      </c>
      <c r="H295">
        <v>3E+20</v>
      </c>
      <c r="I295">
        <v>0</v>
      </c>
      <c r="J295">
        <v>296.12425214962502</v>
      </c>
      <c r="K295">
        <v>544</v>
      </c>
      <c r="L295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38.952903305784723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184.584786754118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330.22742130715898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550.36</v>
      </c>
      <c r="W295" s="5">
        <f>IF((DiscreteStatsTable[[#This Row],[RepsRequested]]&gt;1),DiscreteStatsTable[[#This Row],[HalfWidth]],DiscreteStatsTable[[#This Row],[BatchMeansHalfWidth]])</f>
        <v>13.727654325228857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4">
      <c r="A296" t="s">
        <v>67</v>
      </c>
      <c r="B296" t="s">
        <v>69</v>
      </c>
      <c r="C296">
        <v>45</v>
      </c>
      <c r="D296" t="s">
        <v>77</v>
      </c>
      <c r="E296" t="s">
        <v>71</v>
      </c>
      <c r="F296" t="s">
        <v>72</v>
      </c>
      <c r="G296">
        <v>6.4413762104494801E-2</v>
      </c>
      <c r="H296">
        <v>3E+20</v>
      </c>
      <c r="I296">
        <v>0</v>
      </c>
      <c r="J296">
        <v>7.8744952015931799</v>
      </c>
      <c r="K296">
        <v>576</v>
      </c>
      <c r="L296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38.952903305784723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184.584786754118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330.22742130715898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550.36</v>
      </c>
      <c r="W296" s="5">
        <f>IF((DiscreteStatsTable[[#This Row],[RepsRequested]]&gt;1),DiscreteStatsTable[[#This Row],[HalfWidth]],DiscreteStatsTable[[#This Row],[BatchMeansHalfWidth]])</f>
        <v>13.727654325228857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4">
      <c r="A297" t="s">
        <v>67</v>
      </c>
      <c r="B297" t="s">
        <v>69</v>
      </c>
      <c r="C297">
        <v>46</v>
      </c>
      <c r="D297" t="s">
        <v>77</v>
      </c>
      <c r="E297" t="s">
        <v>71</v>
      </c>
      <c r="F297" t="s">
        <v>72</v>
      </c>
      <c r="G297">
        <v>42.7576461260199</v>
      </c>
      <c r="H297">
        <v>3E+20</v>
      </c>
      <c r="I297">
        <v>0</v>
      </c>
      <c r="J297">
        <v>138.449759667167</v>
      </c>
      <c r="K297">
        <v>595</v>
      </c>
      <c r="L297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38.952903305784723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184.584786754118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330.22742130715898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550.36</v>
      </c>
      <c r="W297" s="5">
        <f>IF((DiscreteStatsTable[[#This Row],[RepsRequested]]&gt;1),DiscreteStatsTable[[#This Row],[HalfWidth]],DiscreteStatsTable[[#This Row],[BatchMeansHalfWidth]])</f>
        <v>13.727654325228857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4">
      <c r="A298" t="s">
        <v>67</v>
      </c>
      <c r="B298" t="s">
        <v>69</v>
      </c>
      <c r="C298">
        <v>47</v>
      </c>
      <c r="D298" t="s">
        <v>77</v>
      </c>
      <c r="E298" t="s">
        <v>71</v>
      </c>
      <c r="F298" t="s">
        <v>72</v>
      </c>
      <c r="G298">
        <v>7.4814092463907897E-2</v>
      </c>
      <c r="H298">
        <v>0.14705329193623101</v>
      </c>
      <c r="I298">
        <v>0</v>
      </c>
      <c r="J298">
        <v>13.2506035153265</v>
      </c>
      <c r="K298">
        <v>558</v>
      </c>
      <c r="L298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38.952903305784723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184.584786754118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330.22742130715898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550.36</v>
      </c>
      <c r="W298" s="5">
        <f>IF((DiscreteStatsTable[[#This Row],[RepsRequested]]&gt;1),DiscreteStatsTable[[#This Row],[HalfWidth]],DiscreteStatsTable[[#This Row],[BatchMeansHalfWidth]])</f>
        <v>13.727654325228857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4">
      <c r="A299" t="s">
        <v>67</v>
      </c>
      <c r="B299" t="s">
        <v>69</v>
      </c>
      <c r="C299">
        <v>48</v>
      </c>
      <c r="D299" t="s">
        <v>77</v>
      </c>
      <c r="E299" t="s">
        <v>71</v>
      </c>
      <c r="F299" t="s">
        <v>72</v>
      </c>
      <c r="G299">
        <v>132.32296825862699</v>
      </c>
      <c r="H299">
        <v>3E+20</v>
      </c>
      <c r="I299">
        <v>0</v>
      </c>
      <c r="J299">
        <v>227.19513789036</v>
      </c>
      <c r="K299">
        <v>494</v>
      </c>
      <c r="L299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38.952903305784723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48.303329399206255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184.584786754118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330.22742130715898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550.36</v>
      </c>
      <c r="W299" s="5">
        <f>IF((DiscreteStatsTable[[#This Row],[RepsRequested]]&gt;1),DiscreteStatsTable[[#This Row],[HalfWidth]],DiscreteStatsTable[[#This Row],[BatchMeansHalfWidth]])</f>
        <v>13.727654325228857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4">
      <c r="A300" t="s">
        <v>67</v>
      </c>
      <c r="B300" t="s">
        <v>69</v>
      </c>
      <c r="C300">
        <v>49</v>
      </c>
      <c r="D300" t="s">
        <v>77</v>
      </c>
      <c r="E300" t="s">
        <v>71</v>
      </c>
      <c r="F300" t="s">
        <v>72</v>
      </c>
      <c r="G300">
        <v>13.6192394219498</v>
      </c>
      <c r="H300">
        <v>3E+20</v>
      </c>
      <c r="I300">
        <v>0</v>
      </c>
      <c r="J300">
        <v>90.785648611796006</v>
      </c>
      <c r="K300">
        <v>543</v>
      </c>
      <c r="L300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38.952903305784723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48.303329399206255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184.584786754118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330.22742130715898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550.36</v>
      </c>
      <c r="W300" s="5">
        <f>IF((DiscreteStatsTable[[#This Row],[RepsRequested]]&gt;1),DiscreteStatsTable[[#This Row],[HalfWidth]],DiscreteStatsTable[[#This Row],[BatchMeansHalfWidth]])</f>
        <v>13.727654325228857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4">
      <c r="A301" t="s">
        <v>67</v>
      </c>
      <c r="B301" t="s">
        <v>69</v>
      </c>
      <c r="C301">
        <v>50</v>
      </c>
      <c r="D301" t="s">
        <v>77</v>
      </c>
      <c r="E301" t="s">
        <v>71</v>
      </c>
      <c r="F301" t="s">
        <v>72</v>
      </c>
      <c r="G301">
        <v>69.656015161142307</v>
      </c>
      <c r="H301">
        <v>3E+20</v>
      </c>
      <c r="I301">
        <v>0</v>
      </c>
      <c r="J301">
        <v>198.42111778431601</v>
      </c>
      <c r="K301">
        <v>564</v>
      </c>
      <c r="L301" s="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38.952903305784723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48.303329399206255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13.727654325228857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184.584786754118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330.22742130715898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550.36</v>
      </c>
      <c r="W301" s="5">
        <f>IF((DiscreteStatsTable[[#This Row],[RepsRequested]]&gt;1),DiscreteStatsTable[[#This Row],[HalfWidth]],DiscreteStatsTable[[#This Row],[BatchMeansHalfWidth]])</f>
        <v>13.727654325228857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4">
      <c r="A302" t="s">
        <v>67</v>
      </c>
      <c r="B302" t="s">
        <v>69</v>
      </c>
      <c r="C302">
        <v>1</v>
      </c>
      <c r="D302" t="s">
        <v>78</v>
      </c>
      <c r="E302" t="s">
        <v>71</v>
      </c>
      <c r="F302" t="s">
        <v>72</v>
      </c>
      <c r="G302">
        <v>19.9278603531728</v>
      </c>
      <c r="H302">
        <v>3E+20</v>
      </c>
      <c r="I302">
        <v>0</v>
      </c>
      <c r="J302">
        <v>108.479049143764</v>
      </c>
      <c r="K302">
        <v>542</v>
      </c>
      <c r="L302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50.824632650223165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219.113737291864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384.33785462031102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2" s="5">
        <f>IF((DiscreteStatsTable[[#This Row],[RepsRequested]]&gt;1),DiscreteStatsTable[[#This Row],[HalfWidth]],DiscreteStatsTable[[#This Row],[BatchMeansHalfWidth]])</f>
        <v>16.356235446387018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4">
      <c r="A303" t="s">
        <v>67</v>
      </c>
      <c r="B303" t="s">
        <v>69</v>
      </c>
      <c r="C303">
        <v>2</v>
      </c>
      <c r="D303" t="s">
        <v>78</v>
      </c>
      <c r="E303" t="s">
        <v>71</v>
      </c>
      <c r="F303" t="s">
        <v>72</v>
      </c>
      <c r="G303">
        <v>4.6581134128016997</v>
      </c>
      <c r="H303">
        <v>3E+20</v>
      </c>
      <c r="I303">
        <v>0</v>
      </c>
      <c r="J303">
        <v>47.371696847495201</v>
      </c>
      <c r="K303">
        <v>509</v>
      </c>
      <c r="L303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50.824632650223165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219.113737291864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384.33785462031102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3" s="5">
        <f>IF((DiscreteStatsTable[[#This Row],[RepsRequested]]&gt;1),DiscreteStatsTable[[#This Row],[HalfWidth]],DiscreteStatsTable[[#This Row],[BatchMeansHalfWidth]])</f>
        <v>16.356235446387018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4">
      <c r="A304" t="s">
        <v>67</v>
      </c>
      <c r="B304" t="s">
        <v>69</v>
      </c>
      <c r="C304">
        <v>3</v>
      </c>
      <c r="D304" t="s">
        <v>78</v>
      </c>
      <c r="E304" t="s">
        <v>71</v>
      </c>
      <c r="F304" t="s">
        <v>72</v>
      </c>
      <c r="G304">
        <v>106.037259547673</v>
      </c>
      <c r="H304">
        <v>3E+20</v>
      </c>
      <c r="I304">
        <v>0</v>
      </c>
      <c r="J304">
        <v>217.225637355841</v>
      </c>
      <c r="K304">
        <v>483</v>
      </c>
      <c r="L304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50.824632650223165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219.113737291864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384.33785462031102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4" s="5">
        <f>IF((DiscreteStatsTable[[#This Row],[RepsRequested]]&gt;1),DiscreteStatsTable[[#This Row],[HalfWidth]],DiscreteStatsTable[[#This Row],[BatchMeansHalfWidth]])</f>
        <v>16.356235446387018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4">
      <c r="A305" t="s">
        <v>67</v>
      </c>
      <c r="B305" t="s">
        <v>69</v>
      </c>
      <c r="C305">
        <v>4</v>
      </c>
      <c r="D305" t="s">
        <v>78</v>
      </c>
      <c r="E305" t="s">
        <v>71</v>
      </c>
      <c r="F305" t="s">
        <v>72</v>
      </c>
      <c r="G305">
        <v>134.44315161642999</v>
      </c>
      <c r="H305">
        <v>3E+20</v>
      </c>
      <c r="I305">
        <v>0</v>
      </c>
      <c r="J305">
        <v>230.07635426370001</v>
      </c>
      <c r="K305">
        <v>492</v>
      </c>
      <c r="L305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50.824632650223165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219.113737291864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384.33785462031102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5" s="5">
        <f>IF((DiscreteStatsTable[[#This Row],[RepsRequested]]&gt;1),DiscreteStatsTable[[#This Row],[HalfWidth]],DiscreteStatsTable[[#This Row],[BatchMeansHalfWidth]])</f>
        <v>16.356235446387018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4">
      <c r="A306" t="s">
        <v>67</v>
      </c>
      <c r="B306" t="s">
        <v>69</v>
      </c>
      <c r="C306">
        <v>5</v>
      </c>
      <c r="D306" t="s">
        <v>78</v>
      </c>
      <c r="E306" t="s">
        <v>71</v>
      </c>
      <c r="F306" t="s">
        <v>72</v>
      </c>
      <c r="G306">
        <v>82.881045585938793</v>
      </c>
      <c r="H306">
        <v>3E+20</v>
      </c>
      <c r="I306">
        <v>0</v>
      </c>
      <c r="J306">
        <v>221.17558788925001</v>
      </c>
      <c r="K306">
        <v>553</v>
      </c>
      <c r="L306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50.824632650223165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219.113737291864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384.33785462031102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6" s="5">
        <f>IF((DiscreteStatsTable[[#This Row],[RepsRequested]]&gt;1),DiscreteStatsTable[[#This Row],[HalfWidth]],DiscreteStatsTable[[#This Row],[BatchMeansHalfWidth]])</f>
        <v>16.356235446387018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4">
      <c r="A307" t="s">
        <v>67</v>
      </c>
      <c r="B307" t="s">
        <v>69</v>
      </c>
      <c r="C307">
        <v>6</v>
      </c>
      <c r="D307" t="s">
        <v>78</v>
      </c>
      <c r="E307" t="s">
        <v>71</v>
      </c>
      <c r="F307" t="s">
        <v>72</v>
      </c>
      <c r="G307">
        <v>1.00893865404783</v>
      </c>
      <c r="H307">
        <v>3E+20</v>
      </c>
      <c r="I307">
        <v>0</v>
      </c>
      <c r="J307">
        <v>21.631818728086099</v>
      </c>
      <c r="K307">
        <v>605</v>
      </c>
      <c r="L307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50.824632650223165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219.113737291864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384.33785462031102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7" s="5">
        <f>IF((DiscreteStatsTable[[#This Row],[RepsRequested]]&gt;1),DiscreteStatsTable[[#This Row],[HalfWidth]],DiscreteStatsTable[[#This Row],[BatchMeansHalfWidth]])</f>
        <v>16.356235446387018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4">
      <c r="A308" t="s">
        <v>67</v>
      </c>
      <c r="B308" t="s">
        <v>69</v>
      </c>
      <c r="C308">
        <v>7</v>
      </c>
      <c r="D308" t="s">
        <v>78</v>
      </c>
      <c r="E308" t="s">
        <v>71</v>
      </c>
      <c r="F308" t="s">
        <v>72</v>
      </c>
      <c r="G308">
        <v>11.2127951741834</v>
      </c>
      <c r="H308">
        <v>3E+20</v>
      </c>
      <c r="I308">
        <v>0</v>
      </c>
      <c r="J308">
        <v>66.547959146392898</v>
      </c>
      <c r="K308">
        <v>503</v>
      </c>
      <c r="L308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50.824632650223165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219.113737291864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384.33785462031102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8" s="5">
        <f>IF((DiscreteStatsTable[[#This Row],[RepsRequested]]&gt;1),DiscreteStatsTable[[#This Row],[HalfWidth]],DiscreteStatsTable[[#This Row],[BatchMeansHalfWidth]])</f>
        <v>16.356235446387018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4">
      <c r="A309" t="s">
        <v>67</v>
      </c>
      <c r="B309" t="s">
        <v>69</v>
      </c>
      <c r="C309">
        <v>8</v>
      </c>
      <c r="D309" t="s">
        <v>78</v>
      </c>
      <c r="E309" t="s">
        <v>71</v>
      </c>
      <c r="F309" t="s">
        <v>72</v>
      </c>
      <c r="G309">
        <v>219.113737291864</v>
      </c>
      <c r="H309">
        <v>3E+20</v>
      </c>
      <c r="I309">
        <v>0</v>
      </c>
      <c r="J309">
        <v>374.21698857487002</v>
      </c>
      <c r="K309">
        <v>464</v>
      </c>
      <c r="L309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50.824632650223165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57.552485645404253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219.113737291864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384.33785462031102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09" s="5">
        <f>IF((DiscreteStatsTable[[#This Row],[RepsRequested]]&gt;1),DiscreteStatsTable[[#This Row],[HalfWidth]],DiscreteStatsTable[[#This Row],[BatchMeansHalfWidth]])</f>
        <v>16.356235446387018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4">
      <c r="A310" t="s">
        <v>67</v>
      </c>
      <c r="B310" t="s">
        <v>69</v>
      </c>
      <c r="C310">
        <v>9</v>
      </c>
      <c r="D310" t="s">
        <v>78</v>
      </c>
      <c r="E310" t="s">
        <v>71</v>
      </c>
      <c r="F310" t="s">
        <v>72</v>
      </c>
      <c r="G310">
        <v>105.25163663999599</v>
      </c>
      <c r="H310">
        <v>3E+20</v>
      </c>
      <c r="I310">
        <v>0</v>
      </c>
      <c r="J310">
        <v>221.328156605826</v>
      </c>
      <c r="K310">
        <v>585</v>
      </c>
      <c r="L310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50.824632650223165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219.113737291864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384.33785462031102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0" s="5">
        <f>IF((DiscreteStatsTable[[#This Row],[RepsRequested]]&gt;1),DiscreteStatsTable[[#This Row],[HalfWidth]],DiscreteStatsTable[[#This Row],[BatchMeansHalfWidth]])</f>
        <v>16.356235446387018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4">
      <c r="A311" t="s">
        <v>67</v>
      </c>
      <c r="B311" t="s">
        <v>69</v>
      </c>
      <c r="C311">
        <v>10</v>
      </c>
      <c r="D311" t="s">
        <v>78</v>
      </c>
      <c r="E311" t="s">
        <v>71</v>
      </c>
      <c r="F311" t="s">
        <v>72</v>
      </c>
      <c r="G311">
        <v>3.2873323524583902</v>
      </c>
      <c r="H311">
        <v>3E+20</v>
      </c>
      <c r="I311">
        <v>0</v>
      </c>
      <c r="J311">
        <v>51.356971646297701</v>
      </c>
      <c r="K311">
        <v>594</v>
      </c>
      <c r="L311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50.824632650223165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219.113737291864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384.33785462031102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1" s="5">
        <f>IF((DiscreteStatsTable[[#This Row],[RepsRequested]]&gt;1),DiscreteStatsTable[[#This Row],[HalfWidth]],DiscreteStatsTable[[#This Row],[BatchMeansHalfWidth]])</f>
        <v>16.356235446387018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4">
      <c r="A312" t="s">
        <v>67</v>
      </c>
      <c r="B312" t="s">
        <v>69</v>
      </c>
      <c r="C312">
        <v>11</v>
      </c>
      <c r="D312" t="s">
        <v>78</v>
      </c>
      <c r="E312" t="s">
        <v>71</v>
      </c>
      <c r="F312" t="s">
        <v>72</v>
      </c>
      <c r="G312">
        <v>179.49616557869999</v>
      </c>
      <c r="H312">
        <v>3E+20</v>
      </c>
      <c r="I312">
        <v>0</v>
      </c>
      <c r="J312">
        <v>384.33785462031102</v>
      </c>
      <c r="K312">
        <v>566</v>
      </c>
      <c r="L312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50.824632650223165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219.113737291864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384.33785462031102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2" s="5">
        <f>IF((DiscreteStatsTable[[#This Row],[RepsRequested]]&gt;1),DiscreteStatsTable[[#This Row],[HalfWidth]],DiscreteStatsTable[[#This Row],[BatchMeansHalfWidth]])</f>
        <v>16.356235446387018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4">
      <c r="A313" t="s">
        <v>67</v>
      </c>
      <c r="B313" t="s">
        <v>69</v>
      </c>
      <c r="C313">
        <v>12</v>
      </c>
      <c r="D313" t="s">
        <v>78</v>
      </c>
      <c r="E313" t="s">
        <v>71</v>
      </c>
      <c r="F313" t="s">
        <v>72</v>
      </c>
      <c r="G313">
        <v>199.962835081213</v>
      </c>
      <c r="H313">
        <v>3E+20</v>
      </c>
      <c r="I313">
        <v>0</v>
      </c>
      <c r="J313">
        <v>345.40948409356002</v>
      </c>
      <c r="K313">
        <v>485</v>
      </c>
      <c r="L313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50.824632650223165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219.113737291864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384.33785462031102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3" s="5">
        <f>IF((DiscreteStatsTable[[#This Row],[RepsRequested]]&gt;1),DiscreteStatsTable[[#This Row],[HalfWidth]],DiscreteStatsTable[[#This Row],[BatchMeansHalfWidth]])</f>
        <v>16.356235446387018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4">
      <c r="A314" t="s">
        <v>67</v>
      </c>
      <c r="B314" t="s">
        <v>69</v>
      </c>
      <c r="C314">
        <v>13</v>
      </c>
      <c r="D314" t="s">
        <v>78</v>
      </c>
      <c r="E314" t="s">
        <v>71</v>
      </c>
      <c r="F314" t="s">
        <v>72</v>
      </c>
      <c r="G314">
        <v>61.098979079419898</v>
      </c>
      <c r="H314">
        <v>3E+20</v>
      </c>
      <c r="I314">
        <v>0</v>
      </c>
      <c r="J314">
        <v>274.013825453869</v>
      </c>
      <c r="K314">
        <v>523</v>
      </c>
      <c r="L314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50.824632650223165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219.113737291864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384.33785462031102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4" s="5">
        <f>IF((DiscreteStatsTable[[#This Row],[RepsRequested]]&gt;1),DiscreteStatsTable[[#This Row],[HalfWidth]],DiscreteStatsTable[[#This Row],[BatchMeansHalfWidth]])</f>
        <v>16.356235446387018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4">
      <c r="A315" t="s">
        <v>67</v>
      </c>
      <c r="B315" t="s">
        <v>69</v>
      </c>
      <c r="C315">
        <v>14</v>
      </c>
      <c r="D315" t="s">
        <v>78</v>
      </c>
      <c r="E315" t="s">
        <v>71</v>
      </c>
      <c r="F315" t="s">
        <v>72</v>
      </c>
      <c r="G315">
        <v>4.3775475169010898</v>
      </c>
      <c r="H315">
        <v>3E+20</v>
      </c>
      <c r="I315">
        <v>0</v>
      </c>
      <c r="J315">
        <v>46.693457806594402</v>
      </c>
      <c r="K315">
        <v>513</v>
      </c>
      <c r="L315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50.824632650223165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219.113737291864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384.33785462031102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5" s="5">
        <f>IF((DiscreteStatsTable[[#This Row],[RepsRequested]]&gt;1),DiscreteStatsTable[[#This Row],[HalfWidth]],DiscreteStatsTable[[#This Row],[BatchMeansHalfWidth]])</f>
        <v>16.356235446387018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4">
      <c r="A316" t="s">
        <v>67</v>
      </c>
      <c r="B316" t="s">
        <v>69</v>
      </c>
      <c r="C316">
        <v>15</v>
      </c>
      <c r="D316" t="s">
        <v>78</v>
      </c>
      <c r="E316" t="s">
        <v>71</v>
      </c>
      <c r="F316" t="s">
        <v>72</v>
      </c>
      <c r="G316">
        <v>41.922367449236702</v>
      </c>
      <c r="H316">
        <v>3E+20</v>
      </c>
      <c r="I316">
        <v>0</v>
      </c>
      <c r="J316">
        <v>121.888443435138</v>
      </c>
      <c r="K316">
        <v>559</v>
      </c>
      <c r="L316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50.824632650223165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219.113737291864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384.33785462031102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6" s="5">
        <f>IF((DiscreteStatsTable[[#This Row],[RepsRequested]]&gt;1),DiscreteStatsTable[[#This Row],[HalfWidth]],DiscreteStatsTable[[#This Row],[BatchMeansHalfWidth]])</f>
        <v>16.356235446387018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4">
      <c r="A317" t="s">
        <v>67</v>
      </c>
      <c r="B317" t="s">
        <v>69</v>
      </c>
      <c r="C317">
        <v>16</v>
      </c>
      <c r="D317" t="s">
        <v>78</v>
      </c>
      <c r="E317" t="s">
        <v>71</v>
      </c>
      <c r="F317" t="s">
        <v>72</v>
      </c>
      <c r="G317">
        <v>79.254321601272196</v>
      </c>
      <c r="H317">
        <v>3E+20</v>
      </c>
      <c r="I317">
        <v>0</v>
      </c>
      <c r="J317">
        <v>332.44614430994199</v>
      </c>
      <c r="K317">
        <v>458</v>
      </c>
      <c r="L317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50.824632650223165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219.113737291864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384.33785462031102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7" s="5">
        <f>IF((DiscreteStatsTable[[#This Row],[RepsRequested]]&gt;1),DiscreteStatsTable[[#This Row],[HalfWidth]],DiscreteStatsTable[[#This Row],[BatchMeansHalfWidth]])</f>
        <v>16.356235446387018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4">
      <c r="A318" t="s">
        <v>67</v>
      </c>
      <c r="B318" t="s">
        <v>69</v>
      </c>
      <c r="C318">
        <v>17</v>
      </c>
      <c r="D318" t="s">
        <v>78</v>
      </c>
      <c r="E318" t="s">
        <v>71</v>
      </c>
      <c r="F318" t="s">
        <v>72</v>
      </c>
      <c r="G318">
        <v>84.714145370547399</v>
      </c>
      <c r="H318">
        <v>3E+20</v>
      </c>
      <c r="I318">
        <v>0</v>
      </c>
      <c r="J318">
        <v>194.53438719502699</v>
      </c>
      <c r="K318">
        <v>548</v>
      </c>
      <c r="L318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50.824632650223165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219.113737291864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384.33785462031102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8" s="5">
        <f>IF((DiscreteStatsTable[[#This Row],[RepsRequested]]&gt;1),DiscreteStatsTable[[#This Row],[HalfWidth]],DiscreteStatsTable[[#This Row],[BatchMeansHalfWidth]])</f>
        <v>16.356235446387018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4">
      <c r="A319" t="s">
        <v>67</v>
      </c>
      <c r="B319" t="s">
        <v>69</v>
      </c>
      <c r="C319">
        <v>18</v>
      </c>
      <c r="D319" t="s">
        <v>78</v>
      </c>
      <c r="E319" t="s">
        <v>71</v>
      </c>
      <c r="F319" t="s">
        <v>72</v>
      </c>
      <c r="G319">
        <v>0.25122952287886602</v>
      </c>
      <c r="H319">
        <v>0.39630032480643501</v>
      </c>
      <c r="I319">
        <v>0</v>
      </c>
      <c r="J319">
        <v>14.6327143727648</v>
      </c>
      <c r="K319">
        <v>586</v>
      </c>
      <c r="L319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50.824632650223165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57.552485645404253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219.113737291864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384.33785462031102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19" s="5">
        <f>IF((DiscreteStatsTable[[#This Row],[RepsRequested]]&gt;1),DiscreteStatsTable[[#This Row],[HalfWidth]],DiscreteStatsTable[[#This Row],[BatchMeansHalfWidth]])</f>
        <v>16.356235446387018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4">
      <c r="A320" t="s">
        <v>67</v>
      </c>
      <c r="B320" t="s">
        <v>69</v>
      </c>
      <c r="C320">
        <v>19</v>
      </c>
      <c r="D320" t="s">
        <v>78</v>
      </c>
      <c r="E320" t="s">
        <v>71</v>
      </c>
      <c r="F320" t="s">
        <v>72</v>
      </c>
      <c r="G320">
        <v>27.6902988622282</v>
      </c>
      <c r="H320">
        <v>3E+20</v>
      </c>
      <c r="I320">
        <v>0</v>
      </c>
      <c r="J320">
        <v>148.42677311817599</v>
      </c>
      <c r="K320">
        <v>543</v>
      </c>
      <c r="L320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50.824632650223165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219.113737291864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384.33785462031102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0" s="5">
        <f>IF((DiscreteStatsTable[[#This Row],[RepsRequested]]&gt;1),DiscreteStatsTable[[#This Row],[HalfWidth]],DiscreteStatsTable[[#This Row],[BatchMeansHalfWidth]])</f>
        <v>16.356235446387018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4">
      <c r="A321" t="s">
        <v>67</v>
      </c>
      <c r="B321" t="s">
        <v>69</v>
      </c>
      <c r="C321">
        <v>20</v>
      </c>
      <c r="D321" t="s">
        <v>78</v>
      </c>
      <c r="E321" t="s">
        <v>71</v>
      </c>
      <c r="F321" t="s">
        <v>72</v>
      </c>
      <c r="G321">
        <v>2.5319456352393601E-2</v>
      </c>
      <c r="H321">
        <v>3E+20</v>
      </c>
      <c r="I321">
        <v>0</v>
      </c>
      <c r="J321">
        <v>5.6573667227590203</v>
      </c>
      <c r="K321">
        <v>601</v>
      </c>
      <c r="L321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50.824632650223165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219.113737291864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384.33785462031102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1" s="5">
        <f>IF((DiscreteStatsTable[[#This Row],[RepsRequested]]&gt;1),DiscreteStatsTable[[#This Row],[HalfWidth]],DiscreteStatsTable[[#This Row],[BatchMeansHalfWidth]])</f>
        <v>16.356235446387018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4">
      <c r="A322" t="s">
        <v>67</v>
      </c>
      <c r="B322" t="s">
        <v>69</v>
      </c>
      <c r="C322">
        <v>21</v>
      </c>
      <c r="D322" t="s">
        <v>78</v>
      </c>
      <c r="E322" t="s">
        <v>71</v>
      </c>
      <c r="F322" t="s">
        <v>72</v>
      </c>
      <c r="G322">
        <v>73.393575461837699</v>
      </c>
      <c r="H322">
        <v>3E+20</v>
      </c>
      <c r="I322">
        <v>0</v>
      </c>
      <c r="J322">
        <v>237.246833187346</v>
      </c>
      <c r="K322">
        <v>513</v>
      </c>
      <c r="L322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50.824632650223165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219.113737291864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384.33785462031102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2" s="5">
        <f>IF((DiscreteStatsTable[[#This Row],[RepsRequested]]&gt;1),DiscreteStatsTable[[#This Row],[HalfWidth]],DiscreteStatsTable[[#This Row],[BatchMeansHalfWidth]])</f>
        <v>16.356235446387018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4">
      <c r="A323" t="s">
        <v>67</v>
      </c>
      <c r="B323" t="s">
        <v>69</v>
      </c>
      <c r="C323">
        <v>22</v>
      </c>
      <c r="D323" t="s">
        <v>78</v>
      </c>
      <c r="E323" t="s">
        <v>71</v>
      </c>
      <c r="F323" t="s">
        <v>72</v>
      </c>
      <c r="G323">
        <v>2.0791870301291699</v>
      </c>
      <c r="H323">
        <v>3E+20</v>
      </c>
      <c r="I323">
        <v>0</v>
      </c>
      <c r="J323">
        <v>30.310667960709001</v>
      </c>
      <c r="K323">
        <v>517</v>
      </c>
      <c r="L323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50.824632650223165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219.113737291864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384.33785462031102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3" s="5">
        <f>IF((DiscreteStatsTable[[#This Row],[RepsRequested]]&gt;1),DiscreteStatsTable[[#This Row],[HalfWidth]],DiscreteStatsTable[[#This Row],[BatchMeansHalfWidth]])</f>
        <v>16.356235446387018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4">
      <c r="A324" t="s">
        <v>67</v>
      </c>
      <c r="B324" t="s">
        <v>69</v>
      </c>
      <c r="C324">
        <v>23</v>
      </c>
      <c r="D324" t="s">
        <v>78</v>
      </c>
      <c r="E324" t="s">
        <v>71</v>
      </c>
      <c r="F324" t="s">
        <v>72</v>
      </c>
      <c r="G324">
        <v>2.8879032191270602</v>
      </c>
      <c r="H324">
        <v>3E+20</v>
      </c>
      <c r="I324">
        <v>0</v>
      </c>
      <c r="J324">
        <v>62.601597564053897</v>
      </c>
      <c r="K324">
        <v>572</v>
      </c>
      <c r="L324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50.824632650223165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219.113737291864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384.33785462031102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4" s="5">
        <f>IF((DiscreteStatsTable[[#This Row],[RepsRequested]]&gt;1),DiscreteStatsTable[[#This Row],[HalfWidth]],DiscreteStatsTable[[#This Row],[BatchMeansHalfWidth]])</f>
        <v>16.356235446387018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4">
      <c r="A325" t="s">
        <v>67</v>
      </c>
      <c r="B325" t="s">
        <v>69</v>
      </c>
      <c r="C325">
        <v>24</v>
      </c>
      <c r="D325" t="s">
        <v>78</v>
      </c>
      <c r="E325" t="s">
        <v>71</v>
      </c>
      <c r="F325" t="s">
        <v>72</v>
      </c>
      <c r="G325">
        <v>118.611690410553</v>
      </c>
      <c r="H325">
        <v>3E+20</v>
      </c>
      <c r="I325">
        <v>0</v>
      </c>
      <c r="J325">
        <v>230.74423445600399</v>
      </c>
      <c r="K325">
        <v>537</v>
      </c>
      <c r="L325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50.824632650223165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219.113737291864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384.33785462031102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5" s="5">
        <f>IF((DiscreteStatsTable[[#This Row],[RepsRequested]]&gt;1),DiscreteStatsTable[[#This Row],[HalfWidth]],DiscreteStatsTable[[#This Row],[BatchMeansHalfWidth]])</f>
        <v>16.356235446387018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4">
      <c r="A326" t="s">
        <v>67</v>
      </c>
      <c r="B326" t="s">
        <v>69</v>
      </c>
      <c r="C326">
        <v>25</v>
      </c>
      <c r="D326" t="s">
        <v>78</v>
      </c>
      <c r="E326" t="s">
        <v>71</v>
      </c>
      <c r="F326" t="s">
        <v>72</v>
      </c>
      <c r="G326">
        <v>81.279688833226302</v>
      </c>
      <c r="H326">
        <v>3E+20</v>
      </c>
      <c r="I326">
        <v>0</v>
      </c>
      <c r="J326">
        <v>148.98632427855301</v>
      </c>
      <c r="K326">
        <v>590</v>
      </c>
      <c r="L326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50.824632650223165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219.113737291864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384.33785462031102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6" s="5">
        <f>IF((DiscreteStatsTable[[#This Row],[RepsRequested]]&gt;1),DiscreteStatsTable[[#This Row],[HalfWidth]],DiscreteStatsTable[[#This Row],[BatchMeansHalfWidth]])</f>
        <v>16.356235446387018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4">
      <c r="A327" t="s">
        <v>67</v>
      </c>
      <c r="B327" t="s">
        <v>69</v>
      </c>
      <c r="C327">
        <v>26</v>
      </c>
      <c r="D327" t="s">
        <v>78</v>
      </c>
      <c r="E327" t="s">
        <v>71</v>
      </c>
      <c r="F327" t="s">
        <v>72</v>
      </c>
      <c r="G327">
        <v>0.36993523403800999</v>
      </c>
      <c r="H327">
        <v>3E+20</v>
      </c>
      <c r="I327">
        <v>0</v>
      </c>
      <c r="J327">
        <v>17.692376441779299</v>
      </c>
      <c r="K327">
        <v>499</v>
      </c>
      <c r="L327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50.824632650223165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219.113737291864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384.33785462031102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7" s="5">
        <f>IF((DiscreteStatsTable[[#This Row],[RepsRequested]]&gt;1),DiscreteStatsTable[[#This Row],[HalfWidth]],DiscreteStatsTable[[#This Row],[BatchMeansHalfWidth]])</f>
        <v>16.356235446387018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4">
      <c r="A328" t="s">
        <v>67</v>
      </c>
      <c r="B328" t="s">
        <v>69</v>
      </c>
      <c r="C328">
        <v>27</v>
      </c>
      <c r="D328" t="s">
        <v>78</v>
      </c>
      <c r="E328" t="s">
        <v>71</v>
      </c>
      <c r="F328" t="s">
        <v>72</v>
      </c>
      <c r="G328">
        <v>57.844700189977203</v>
      </c>
      <c r="H328">
        <v>3E+20</v>
      </c>
      <c r="I328">
        <v>0</v>
      </c>
      <c r="J328">
        <v>149.91788839293301</v>
      </c>
      <c r="K328">
        <v>518</v>
      </c>
      <c r="L328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50.824632650223165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219.113737291864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384.33785462031102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8" s="5">
        <f>IF((DiscreteStatsTable[[#This Row],[RepsRequested]]&gt;1),DiscreteStatsTable[[#This Row],[HalfWidth]],DiscreteStatsTable[[#This Row],[BatchMeansHalfWidth]])</f>
        <v>16.356235446387018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4">
      <c r="A329" t="s">
        <v>67</v>
      </c>
      <c r="B329" t="s">
        <v>69</v>
      </c>
      <c r="C329">
        <v>28</v>
      </c>
      <c r="D329" t="s">
        <v>78</v>
      </c>
      <c r="E329" t="s">
        <v>71</v>
      </c>
      <c r="F329" t="s">
        <v>72</v>
      </c>
      <c r="G329">
        <v>128.552293051985</v>
      </c>
      <c r="H329">
        <v>3E+20</v>
      </c>
      <c r="I329">
        <v>0</v>
      </c>
      <c r="J329">
        <v>300.19314521743797</v>
      </c>
      <c r="K329">
        <v>473</v>
      </c>
      <c r="L329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50.824632650223165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57.552485645404253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219.113737291864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384.33785462031102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29" s="5">
        <f>IF((DiscreteStatsTable[[#This Row],[RepsRequested]]&gt;1),DiscreteStatsTable[[#This Row],[HalfWidth]],DiscreteStatsTable[[#This Row],[BatchMeansHalfWidth]])</f>
        <v>16.356235446387018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4">
      <c r="A330" t="s">
        <v>67</v>
      </c>
      <c r="B330" t="s">
        <v>69</v>
      </c>
      <c r="C330">
        <v>29</v>
      </c>
      <c r="D330" t="s">
        <v>78</v>
      </c>
      <c r="E330" t="s">
        <v>71</v>
      </c>
      <c r="F330" t="s">
        <v>72</v>
      </c>
      <c r="G330">
        <v>29.560152272172001</v>
      </c>
      <c r="H330">
        <v>3E+20</v>
      </c>
      <c r="I330">
        <v>0</v>
      </c>
      <c r="J330">
        <v>108.043540020679</v>
      </c>
      <c r="K330">
        <v>570</v>
      </c>
      <c r="L330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50.824632650223165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219.113737291864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384.33785462031102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0" s="5">
        <f>IF((DiscreteStatsTable[[#This Row],[RepsRequested]]&gt;1),DiscreteStatsTable[[#This Row],[HalfWidth]],DiscreteStatsTable[[#This Row],[BatchMeansHalfWidth]])</f>
        <v>16.356235446387018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4">
      <c r="A331" t="s">
        <v>67</v>
      </c>
      <c r="B331" t="s">
        <v>69</v>
      </c>
      <c r="C331">
        <v>30</v>
      </c>
      <c r="D331" t="s">
        <v>78</v>
      </c>
      <c r="E331" t="s">
        <v>71</v>
      </c>
      <c r="F331" t="s">
        <v>72</v>
      </c>
      <c r="G331">
        <v>0.11669830169331</v>
      </c>
      <c r="H331">
        <v>3E+20</v>
      </c>
      <c r="I331">
        <v>0</v>
      </c>
      <c r="J331">
        <v>12.3734162427758</v>
      </c>
      <c r="K331">
        <v>503</v>
      </c>
      <c r="L331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50.824632650223165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219.113737291864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384.33785462031102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1" s="5">
        <f>IF((DiscreteStatsTable[[#This Row],[RepsRequested]]&gt;1),DiscreteStatsTable[[#This Row],[HalfWidth]],DiscreteStatsTable[[#This Row],[BatchMeansHalfWidth]])</f>
        <v>16.356235446387018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4">
      <c r="A332" t="s">
        <v>67</v>
      </c>
      <c r="B332" t="s">
        <v>69</v>
      </c>
      <c r="C332">
        <v>31</v>
      </c>
      <c r="D332" t="s">
        <v>78</v>
      </c>
      <c r="E332" t="s">
        <v>71</v>
      </c>
      <c r="F332" t="s">
        <v>72</v>
      </c>
      <c r="G332">
        <v>0</v>
      </c>
      <c r="H332">
        <v>0</v>
      </c>
      <c r="I332">
        <v>0</v>
      </c>
      <c r="J332">
        <v>0</v>
      </c>
      <c r="K332">
        <v>552</v>
      </c>
      <c r="L332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50.824632650223165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219.113737291864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384.33785462031102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2" s="5">
        <f>IF((DiscreteStatsTable[[#This Row],[RepsRequested]]&gt;1),DiscreteStatsTable[[#This Row],[HalfWidth]],DiscreteStatsTable[[#This Row],[BatchMeansHalfWidth]])</f>
        <v>16.356235446387018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4">
      <c r="A333" t="s">
        <v>67</v>
      </c>
      <c r="B333" t="s">
        <v>69</v>
      </c>
      <c r="C333">
        <v>32</v>
      </c>
      <c r="D333" t="s">
        <v>78</v>
      </c>
      <c r="E333" t="s">
        <v>71</v>
      </c>
      <c r="F333" t="s">
        <v>72</v>
      </c>
      <c r="G333">
        <v>0.12674341239585599</v>
      </c>
      <c r="H333">
        <v>3E+20</v>
      </c>
      <c r="I333">
        <v>0</v>
      </c>
      <c r="J333">
        <v>13.6733818913742</v>
      </c>
      <c r="K333">
        <v>513</v>
      </c>
      <c r="L333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50.824632650223165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219.113737291864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384.33785462031102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3" s="5">
        <f>IF((DiscreteStatsTable[[#This Row],[RepsRequested]]&gt;1),DiscreteStatsTable[[#This Row],[HalfWidth]],DiscreteStatsTable[[#This Row],[BatchMeansHalfWidth]])</f>
        <v>16.356235446387018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4">
      <c r="A334" t="s">
        <v>67</v>
      </c>
      <c r="B334" t="s">
        <v>69</v>
      </c>
      <c r="C334">
        <v>33</v>
      </c>
      <c r="D334" t="s">
        <v>78</v>
      </c>
      <c r="E334" t="s">
        <v>71</v>
      </c>
      <c r="F334" t="s">
        <v>72</v>
      </c>
      <c r="G334">
        <v>85.1621156021925</v>
      </c>
      <c r="H334">
        <v>3E+20</v>
      </c>
      <c r="I334">
        <v>0</v>
      </c>
      <c r="J334">
        <v>202.01383849981599</v>
      </c>
      <c r="K334">
        <v>555</v>
      </c>
      <c r="L334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50.824632650223165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219.113737291864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384.33785462031102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4" s="5">
        <f>IF((DiscreteStatsTable[[#This Row],[RepsRequested]]&gt;1),DiscreteStatsTable[[#This Row],[HalfWidth]],DiscreteStatsTable[[#This Row],[BatchMeansHalfWidth]])</f>
        <v>16.356235446387018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4">
      <c r="A335" t="s">
        <v>67</v>
      </c>
      <c r="B335" t="s">
        <v>69</v>
      </c>
      <c r="C335">
        <v>34</v>
      </c>
      <c r="D335" t="s">
        <v>78</v>
      </c>
      <c r="E335" t="s">
        <v>71</v>
      </c>
      <c r="F335" t="s">
        <v>72</v>
      </c>
      <c r="G335">
        <v>5.3011035454397</v>
      </c>
      <c r="H335">
        <v>3E+20</v>
      </c>
      <c r="I335">
        <v>0</v>
      </c>
      <c r="J335">
        <v>65.019544606313303</v>
      </c>
      <c r="K335">
        <v>559</v>
      </c>
      <c r="L335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50.824632650223165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219.113737291864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384.33785462031102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5" s="5">
        <f>IF((DiscreteStatsTable[[#This Row],[RepsRequested]]&gt;1),DiscreteStatsTable[[#This Row],[HalfWidth]],DiscreteStatsTable[[#This Row],[BatchMeansHalfWidth]])</f>
        <v>16.356235446387018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4">
      <c r="A336" t="s">
        <v>67</v>
      </c>
      <c r="B336" t="s">
        <v>69</v>
      </c>
      <c r="C336">
        <v>35</v>
      </c>
      <c r="D336" t="s">
        <v>78</v>
      </c>
      <c r="E336" t="s">
        <v>71</v>
      </c>
      <c r="F336" t="s">
        <v>72</v>
      </c>
      <c r="G336">
        <v>67.3580666919745</v>
      </c>
      <c r="H336">
        <v>3E+20</v>
      </c>
      <c r="I336">
        <v>0</v>
      </c>
      <c r="J336">
        <v>275.37299623808701</v>
      </c>
      <c r="K336">
        <v>546</v>
      </c>
      <c r="L336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50.824632650223165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219.113737291864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384.33785462031102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6" s="5">
        <f>IF((DiscreteStatsTable[[#This Row],[RepsRequested]]&gt;1),DiscreteStatsTable[[#This Row],[HalfWidth]],DiscreteStatsTable[[#This Row],[BatchMeansHalfWidth]])</f>
        <v>16.356235446387018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4">
      <c r="A337" t="s">
        <v>67</v>
      </c>
      <c r="B337" t="s">
        <v>69</v>
      </c>
      <c r="C337">
        <v>36</v>
      </c>
      <c r="D337" t="s">
        <v>78</v>
      </c>
      <c r="E337" t="s">
        <v>71</v>
      </c>
      <c r="F337" t="s">
        <v>72</v>
      </c>
      <c r="G337">
        <v>8.9496016061266204</v>
      </c>
      <c r="H337">
        <v>3E+20</v>
      </c>
      <c r="I337">
        <v>0</v>
      </c>
      <c r="J337">
        <v>66.102317523760306</v>
      </c>
      <c r="K337">
        <v>559</v>
      </c>
      <c r="L337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50.824632650223165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219.113737291864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384.33785462031102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7" s="5">
        <f>IF((DiscreteStatsTable[[#This Row],[RepsRequested]]&gt;1),DiscreteStatsTable[[#This Row],[HalfWidth]],DiscreteStatsTable[[#This Row],[BatchMeansHalfWidth]])</f>
        <v>16.356235446387018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4">
      <c r="A338" t="s">
        <v>67</v>
      </c>
      <c r="B338" t="s">
        <v>69</v>
      </c>
      <c r="C338">
        <v>37</v>
      </c>
      <c r="D338" t="s">
        <v>78</v>
      </c>
      <c r="E338" t="s">
        <v>71</v>
      </c>
      <c r="F338" t="s">
        <v>72</v>
      </c>
      <c r="G338">
        <v>5.2264249086283803</v>
      </c>
      <c r="H338">
        <v>3E+20</v>
      </c>
      <c r="I338">
        <v>0</v>
      </c>
      <c r="J338">
        <v>47.930226661616402</v>
      </c>
      <c r="K338">
        <v>534</v>
      </c>
      <c r="L338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50.824632650223165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219.113737291864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384.33785462031102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8" s="5">
        <f>IF((DiscreteStatsTable[[#This Row],[RepsRequested]]&gt;1),DiscreteStatsTable[[#This Row],[HalfWidth]],DiscreteStatsTable[[#This Row],[BatchMeansHalfWidth]])</f>
        <v>16.356235446387018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4">
      <c r="A339" t="s">
        <v>67</v>
      </c>
      <c r="B339" t="s">
        <v>69</v>
      </c>
      <c r="C339">
        <v>38</v>
      </c>
      <c r="D339" t="s">
        <v>78</v>
      </c>
      <c r="E339" t="s">
        <v>71</v>
      </c>
      <c r="F339" t="s">
        <v>72</v>
      </c>
      <c r="G339">
        <v>4.1914905162214701E-3</v>
      </c>
      <c r="H339">
        <v>0</v>
      </c>
      <c r="I339">
        <v>0</v>
      </c>
      <c r="J339">
        <v>2.5148943097328802</v>
      </c>
      <c r="K339">
        <v>600</v>
      </c>
      <c r="L339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50.824632650223165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57.552485645404253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219.113737291864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384.33785462031102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39" s="5">
        <f>IF((DiscreteStatsTable[[#This Row],[RepsRequested]]&gt;1),DiscreteStatsTable[[#This Row],[HalfWidth]],DiscreteStatsTable[[#This Row],[BatchMeansHalfWidth]])</f>
        <v>16.356235446387018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4">
      <c r="A340" t="s">
        <v>67</v>
      </c>
      <c r="B340" t="s">
        <v>69</v>
      </c>
      <c r="C340">
        <v>39</v>
      </c>
      <c r="D340" t="s">
        <v>78</v>
      </c>
      <c r="E340" t="s">
        <v>71</v>
      </c>
      <c r="F340" t="s">
        <v>72</v>
      </c>
      <c r="G340">
        <v>42.176542529533897</v>
      </c>
      <c r="H340">
        <v>3E+20</v>
      </c>
      <c r="I340">
        <v>0</v>
      </c>
      <c r="J340">
        <v>346.71248980443102</v>
      </c>
      <c r="K340">
        <v>485</v>
      </c>
      <c r="L340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50.824632650223165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219.113737291864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384.33785462031102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0" s="5">
        <f>IF((DiscreteStatsTable[[#This Row],[RepsRequested]]&gt;1),DiscreteStatsTable[[#This Row],[HalfWidth]],DiscreteStatsTable[[#This Row],[BatchMeansHalfWidth]])</f>
        <v>16.356235446387018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4">
      <c r="A341" t="s">
        <v>67</v>
      </c>
      <c r="B341" t="s">
        <v>69</v>
      </c>
      <c r="C341">
        <v>40</v>
      </c>
      <c r="D341" t="s">
        <v>78</v>
      </c>
      <c r="E341" t="s">
        <v>71</v>
      </c>
      <c r="F341" t="s">
        <v>72</v>
      </c>
      <c r="G341">
        <v>15.9678437726472</v>
      </c>
      <c r="H341">
        <v>3E+20</v>
      </c>
      <c r="I341">
        <v>0</v>
      </c>
      <c r="J341">
        <v>80.818439235935003</v>
      </c>
      <c r="K341">
        <v>565</v>
      </c>
      <c r="L341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50.824632650223165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219.113737291864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384.33785462031102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1" s="5">
        <f>IF((DiscreteStatsTable[[#This Row],[RepsRequested]]&gt;1),DiscreteStatsTable[[#This Row],[HalfWidth]],DiscreteStatsTable[[#This Row],[BatchMeansHalfWidth]])</f>
        <v>16.356235446387018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4">
      <c r="A342" t="s">
        <v>67</v>
      </c>
      <c r="B342" t="s">
        <v>69</v>
      </c>
      <c r="C342">
        <v>41</v>
      </c>
      <c r="D342" t="s">
        <v>78</v>
      </c>
      <c r="E342" t="s">
        <v>71</v>
      </c>
      <c r="F342" t="s">
        <v>72</v>
      </c>
      <c r="G342">
        <v>107.59321579656999</v>
      </c>
      <c r="H342">
        <v>3E+20</v>
      </c>
      <c r="I342">
        <v>0</v>
      </c>
      <c r="J342">
        <v>296.66440058360803</v>
      </c>
      <c r="K342">
        <v>450</v>
      </c>
      <c r="L342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50.824632650223165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219.113737291864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384.33785462031102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2" s="5">
        <f>IF((DiscreteStatsTable[[#This Row],[RepsRequested]]&gt;1),DiscreteStatsTable[[#This Row],[HalfWidth]],DiscreteStatsTable[[#This Row],[BatchMeansHalfWidth]])</f>
        <v>16.356235446387018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4">
      <c r="A343" t="s">
        <v>67</v>
      </c>
      <c r="B343" t="s">
        <v>69</v>
      </c>
      <c r="C343">
        <v>42</v>
      </c>
      <c r="D343" t="s">
        <v>78</v>
      </c>
      <c r="E343" t="s">
        <v>71</v>
      </c>
      <c r="F343" t="s">
        <v>72</v>
      </c>
      <c r="G343">
        <v>14.9684443337855</v>
      </c>
      <c r="H343">
        <v>3E+20</v>
      </c>
      <c r="I343">
        <v>0</v>
      </c>
      <c r="J343">
        <v>82.704529935121101</v>
      </c>
      <c r="K343">
        <v>501</v>
      </c>
      <c r="L343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50.824632650223165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219.113737291864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384.33785462031102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3" s="5">
        <f>IF((DiscreteStatsTable[[#This Row],[RepsRequested]]&gt;1),DiscreteStatsTable[[#This Row],[HalfWidth]],DiscreteStatsTable[[#This Row],[BatchMeansHalfWidth]])</f>
        <v>16.356235446387018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4">
      <c r="A344" t="s">
        <v>67</v>
      </c>
      <c r="B344" t="s">
        <v>69</v>
      </c>
      <c r="C344">
        <v>43</v>
      </c>
      <c r="D344" t="s">
        <v>78</v>
      </c>
      <c r="E344" t="s">
        <v>71</v>
      </c>
      <c r="F344" t="s">
        <v>72</v>
      </c>
      <c r="G344">
        <v>0.301848301847917</v>
      </c>
      <c r="H344">
        <v>3E+20</v>
      </c>
      <c r="I344">
        <v>0</v>
      </c>
      <c r="J344">
        <v>21.389846973862401</v>
      </c>
      <c r="K344">
        <v>555</v>
      </c>
      <c r="L344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50.824632650223165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219.113737291864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384.33785462031102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4" s="5">
        <f>IF((DiscreteStatsTable[[#This Row],[RepsRequested]]&gt;1),DiscreteStatsTable[[#This Row],[HalfWidth]],DiscreteStatsTable[[#This Row],[BatchMeansHalfWidth]])</f>
        <v>16.356235446387018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4">
      <c r="A345" t="s">
        <v>67</v>
      </c>
      <c r="B345" t="s">
        <v>69</v>
      </c>
      <c r="C345">
        <v>44</v>
      </c>
      <c r="D345" t="s">
        <v>78</v>
      </c>
      <c r="E345" t="s">
        <v>71</v>
      </c>
      <c r="F345" t="s">
        <v>72</v>
      </c>
      <c r="G345">
        <v>14.2589880100714</v>
      </c>
      <c r="H345">
        <v>3E+20</v>
      </c>
      <c r="I345">
        <v>0</v>
      </c>
      <c r="J345">
        <v>129.855834234209</v>
      </c>
      <c r="K345">
        <v>507</v>
      </c>
      <c r="L345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50.824632650223165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219.113737291864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384.33785462031102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5" s="5">
        <f>IF((DiscreteStatsTable[[#This Row],[RepsRequested]]&gt;1),DiscreteStatsTable[[#This Row],[HalfWidth]],DiscreteStatsTable[[#This Row],[BatchMeansHalfWidth]])</f>
        <v>16.356235446387018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4">
      <c r="A346" t="s">
        <v>67</v>
      </c>
      <c r="B346" t="s">
        <v>69</v>
      </c>
      <c r="C346">
        <v>45</v>
      </c>
      <c r="D346" t="s">
        <v>78</v>
      </c>
      <c r="E346" t="s">
        <v>71</v>
      </c>
      <c r="F346" t="s">
        <v>72</v>
      </c>
      <c r="G346">
        <v>139.818646946901</v>
      </c>
      <c r="H346">
        <v>3E+20</v>
      </c>
      <c r="I346">
        <v>0</v>
      </c>
      <c r="J346">
        <v>275.85579944076397</v>
      </c>
      <c r="K346">
        <v>528</v>
      </c>
      <c r="L346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50.824632650223165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219.113737291864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384.33785462031102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6" s="5">
        <f>IF((DiscreteStatsTable[[#This Row],[RepsRequested]]&gt;1),DiscreteStatsTable[[#This Row],[HalfWidth]],DiscreteStatsTable[[#This Row],[BatchMeansHalfWidth]])</f>
        <v>16.356235446387018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4">
      <c r="A347" t="s">
        <v>67</v>
      </c>
      <c r="B347" t="s">
        <v>69</v>
      </c>
      <c r="C347">
        <v>46</v>
      </c>
      <c r="D347" t="s">
        <v>78</v>
      </c>
      <c r="E347" t="s">
        <v>71</v>
      </c>
      <c r="F347" t="s">
        <v>72</v>
      </c>
      <c r="G347">
        <v>86.201747774253207</v>
      </c>
      <c r="H347">
        <v>3E+20</v>
      </c>
      <c r="I347">
        <v>0</v>
      </c>
      <c r="J347">
        <v>157.01496201281799</v>
      </c>
      <c r="K347">
        <v>558</v>
      </c>
      <c r="L347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50.824632650223165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219.113737291864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384.33785462031102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7" s="5">
        <f>IF((DiscreteStatsTable[[#This Row],[RepsRequested]]&gt;1),DiscreteStatsTable[[#This Row],[HalfWidth]],DiscreteStatsTable[[#This Row],[BatchMeansHalfWidth]])</f>
        <v>16.356235446387018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4">
      <c r="A348" t="s">
        <v>67</v>
      </c>
      <c r="B348" t="s">
        <v>69</v>
      </c>
      <c r="C348">
        <v>47</v>
      </c>
      <c r="D348" t="s">
        <v>78</v>
      </c>
      <c r="E348" t="s">
        <v>71</v>
      </c>
      <c r="F348" t="s">
        <v>72</v>
      </c>
      <c r="G348">
        <v>53.408265384374403</v>
      </c>
      <c r="H348">
        <v>3E+20</v>
      </c>
      <c r="I348">
        <v>0</v>
      </c>
      <c r="J348">
        <v>160.508762122907</v>
      </c>
      <c r="K348">
        <v>520</v>
      </c>
      <c r="L348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50.824632650223165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219.113737291864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384.33785462031102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8" s="5">
        <f>IF((DiscreteStatsTable[[#This Row],[RepsRequested]]&gt;1),DiscreteStatsTable[[#This Row],[HalfWidth]],DiscreteStatsTable[[#This Row],[BatchMeansHalfWidth]])</f>
        <v>16.356235446387018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4">
      <c r="A349" t="s">
        <v>67</v>
      </c>
      <c r="B349" t="s">
        <v>69</v>
      </c>
      <c r="C349">
        <v>48</v>
      </c>
      <c r="D349" t="s">
        <v>78</v>
      </c>
      <c r="E349" t="s">
        <v>71</v>
      </c>
      <c r="F349" t="s">
        <v>72</v>
      </c>
      <c r="G349">
        <v>0.15000937213249699</v>
      </c>
      <c r="H349">
        <v>3E+20</v>
      </c>
      <c r="I349">
        <v>0</v>
      </c>
      <c r="J349">
        <v>9.3276388466983509</v>
      </c>
      <c r="K349">
        <v>493</v>
      </c>
      <c r="L349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50.824632650223165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57.552485645404253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219.113737291864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384.33785462031102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49" s="5">
        <f>IF((DiscreteStatsTable[[#This Row],[RepsRequested]]&gt;1),DiscreteStatsTable[[#This Row],[HalfWidth]],DiscreteStatsTable[[#This Row],[BatchMeansHalfWidth]])</f>
        <v>16.356235446387018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4">
      <c r="A350" t="s">
        <v>67</v>
      </c>
      <c r="B350" t="s">
        <v>69</v>
      </c>
      <c r="C350">
        <v>49</v>
      </c>
      <c r="D350" t="s">
        <v>78</v>
      </c>
      <c r="E350" t="s">
        <v>71</v>
      </c>
      <c r="F350" t="s">
        <v>72</v>
      </c>
      <c r="G350">
        <v>0.199378250352619</v>
      </c>
      <c r="H350">
        <v>3E+20</v>
      </c>
      <c r="I350">
        <v>0</v>
      </c>
      <c r="J350">
        <v>7.9691976817107397</v>
      </c>
      <c r="K350">
        <v>571</v>
      </c>
      <c r="L350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50.824632650223165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57.552485645404253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219.113737291864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384.33785462031102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50" s="5">
        <f>IF((DiscreteStatsTable[[#This Row],[RepsRequested]]&gt;1),DiscreteStatsTable[[#This Row],[HalfWidth]],DiscreteStatsTable[[#This Row],[BatchMeansHalfWidth]])</f>
        <v>16.356235446387018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4">
      <c r="A351" t="s">
        <v>67</v>
      </c>
      <c r="B351" t="s">
        <v>69</v>
      </c>
      <c r="C351">
        <v>50</v>
      </c>
      <c r="D351" t="s">
        <v>78</v>
      </c>
      <c r="E351" t="s">
        <v>71</v>
      </c>
      <c r="F351" t="s">
        <v>72</v>
      </c>
      <c r="G351">
        <v>32.747550629361001</v>
      </c>
      <c r="H351">
        <v>3E+20</v>
      </c>
      <c r="I351">
        <v>0</v>
      </c>
      <c r="J351">
        <v>187.64432943432601</v>
      </c>
      <c r="K351">
        <v>560</v>
      </c>
      <c r="L351" s="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50.824632650223165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57.552485645404253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16.356235446387018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219.113737291864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384.33785462031102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534.29999999999995</v>
      </c>
      <c r="W351" s="5">
        <f>IF((DiscreteStatsTable[[#This Row],[RepsRequested]]&gt;1),DiscreteStatsTable[[#This Row],[HalfWidth]],DiscreteStatsTable[[#This Row],[BatchMeansHalfWidth]])</f>
        <v>16.356235446387018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4">
      <c r="A352" t="s">
        <v>67</v>
      </c>
      <c r="B352" t="s">
        <v>69</v>
      </c>
      <c r="C352">
        <v>1</v>
      </c>
      <c r="D352" t="s">
        <v>79</v>
      </c>
      <c r="E352" t="s">
        <v>71</v>
      </c>
      <c r="F352" t="s">
        <v>72</v>
      </c>
      <c r="G352">
        <v>11.2253557830637</v>
      </c>
      <c r="H352">
        <v>3E+20</v>
      </c>
      <c r="I352">
        <v>0</v>
      </c>
      <c r="J352">
        <v>85.671254225865596</v>
      </c>
      <c r="K352">
        <v>541</v>
      </c>
      <c r="L352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24.198624521934118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154.88526703072799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462.25630926871901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526.28</v>
      </c>
      <c r="W352" s="5">
        <f>IF((DiscreteStatsTable[[#This Row],[RepsRequested]]&gt;1),DiscreteStatsTable[[#This Row],[HalfWidth]],DiscreteStatsTable[[#This Row],[BatchMeansHalfWidth]])</f>
        <v>12.545896076001801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4">
      <c r="A353" t="s">
        <v>67</v>
      </c>
      <c r="B353" t="s">
        <v>69</v>
      </c>
      <c r="C353">
        <v>2</v>
      </c>
      <c r="D353" t="s">
        <v>79</v>
      </c>
      <c r="E353" t="s">
        <v>71</v>
      </c>
      <c r="F353" t="s">
        <v>72</v>
      </c>
      <c r="G353">
        <v>1.172409798291</v>
      </c>
      <c r="H353">
        <v>3E+20</v>
      </c>
      <c r="I353">
        <v>0</v>
      </c>
      <c r="J353">
        <v>21.7787575826374</v>
      </c>
      <c r="K353">
        <v>525</v>
      </c>
      <c r="L353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24.198624521934118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154.88526703072799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462.25630926871901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526.28</v>
      </c>
      <c r="W353" s="5">
        <f>IF((DiscreteStatsTable[[#This Row],[RepsRequested]]&gt;1),DiscreteStatsTable[[#This Row],[HalfWidth]],DiscreteStatsTable[[#This Row],[BatchMeansHalfWidth]])</f>
        <v>12.545896076001801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4">
      <c r="A354" t="s">
        <v>67</v>
      </c>
      <c r="B354" t="s">
        <v>69</v>
      </c>
      <c r="C354">
        <v>3</v>
      </c>
      <c r="D354" t="s">
        <v>79</v>
      </c>
      <c r="E354" t="s">
        <v>71</v>
      </c>
      <c r="F354" t="s">
        <v>72</v>
      </c>
      <c r="G354">
        <v>3.03263013636017</v>
      </c>
      <c r="H354">
        <v>3E+20</v>
      </c>
      <c r="I354">
        <v>0</v>
      </c>
      <c r="J354">
        <v>47.247584638715303</v>
      </c>
      <c r="K354">
        <v>481</v>
      </c>
      <c r="L354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24.198624521934118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154.88526703072799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462.25630926871901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526.28</v>
      </c>
      <c r="W354" s="5">
        <f>IF((DiscreteStatsTable[[#This Row],[RepsRequested]]&gt;1),DiscreteStatsTable[[#This Row],[HalfWidth]],DiscreteStatsTable[[#This Row],[BatchMeansHalfWidth]])</f>
        <v>12.545896076001801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4">
      <c r="A355" t="s">
        <v>67</v>
      </c>
      <c r="B355" t="s">
        <v>69</v>
      </c>
      <c r="C355">
        <v>4</v>
      </c>
      <c r="D355" t="s">
        <v>79</v>
      </c>
      <c r="E355" t="s">
        <v>71</v>
      </c>
      <c r="F355" t="s">
        <v>72</v>
      </c>
      <c r="G355">
        <v>0.33893512316246599</v>
      </c>
      <c r="H355">
        <v>3E+20</v>
      </c>
      <c r="I355">
        <v>0</v>
      </c>
      <c r="J355">
        <v>11.077219917569201</v>
      </c>
      <c r="K355">
        <v>491</v>
      </c>
      <c r="L355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24.198624521934118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154.88526703072799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462.25630926871901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526.28</v>
      </c>
      <c r="W355" s="5">
        <f>IF((DiscreteStatsTable[[#This Row],[RepsRequested]]&gt;1),DiscreteStatsTable[[#This Row],[HalfWidth]],DiscreteStatsTable[[#This Row],[BatchMeansHalfWidth]])</f>
        <v>12.545896076001801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4">
      <c r="A356" t="s">
        <v>67</v>
      </c>
      <c r="B356" t="s">
        <v>69</v>
      </c>
      <c r="C356">
        <v>5</v>
      </c>
      <c r="D356" t="s">
        <v>79</v>
      </c>
      <c r="E356" t="s">
        <v>71</v>
      </c>
      <c r="F356" t="s">
        <v>72</v>
      </c>
      <c r="G356">
        <v>3.2340370029126002</v>
      </c>
      <c r="H356">
        <v>3E+20</v>
      </c>
      <c r="I356">
        <v>0</v>
      </c>
      <c r="J356">
        <v>31.139217915442298</v>
      </c>
      <c r="K356">
        <v>540</v>
      </c>
      <c r="L356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24.198624521934118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154.88526703072799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462.25630926871901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526.28</v>
      </c>
      <c r="W356" s="5">
        <f>IF((DiscreteStatsTable[[#This Row],[RepsRequested]]&gt;1),DiscreteStatsTable[[#This Row],[HalfWidth]],DiscreteStatsTable[[#This Row],[BatchMeansHalfWidth]])</f>
        <v>12.545896076001801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4">
      <c r="A357" t="s">
        <v>67</v>
      </c>
      <c r="B357" t="s">
        <v>69</v>
      </c>
      <c r="C357">
        <v>6</v>
      </c>
      <c r="D357" t="s">
        <v>79</v>
      </c>
      <c r="E357" t="s">
        <v>71</v>
      </c>
      <c r="F357" t="s">
        <v>72</v>
      </c>
      <c r="G357">
        <v>79.511079148315702</v>
      </c>
      <c r="H357">
        <v>3E+20</v>
      </c>
      <c r="I357">
        <v>0</v>
      </c>
      <c r="J357">
        <v>202.09687479487201</v>
      </c>
      <c r="K357">
        <v>582</v>
      </c>
      <c r="L357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24.198624521934118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154.88526703072799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462.25630926871901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526.28</v>
      </c>
      <c r="W357" s="5">
        <f>IF((DiscreteStatsTable[[#This Row],[RepsRequested]]&gt;1),DiscreteStatsTable[[#This Row],[HalfWidth]],DiscreteStatsTable[[#This Row],[BatchMeansHalfWidth]])</f>
        <v>12.545896076001801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4">
      <c r="A358" t="s">
        <v>67</v>
      </c>
      <c r="B358" t="s">
        <v>69</v>
      </c>
      <c r="C358">
        <v>7</v>
      </c>
      <c r="D358" t="s">
        <v>79</v>
      </c>
      <c r="E358" t="s">
        <v>71</v>
      </c>
      <c r="F358" t="s">
        <v>72</v>
      </c>
      <c r="G358">
        <v>0</v>
      </c>
      <c r="H358">
        <v>0</v>
      </c>
      <c r="I358">
        <v>0</v>
      </c>
      <c r="J358">
        <v>0</v>
      </c>
      <c r="K358">
        <v>529</v>
      </c>
      <c r="L358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24.198624521934118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154.88526703072799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462.25630926871901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526.28</v>
      </c>
      <c r="W358" s="5">
        <f>IF((DiscreteStatsTable[[#This Row],[RepsRequested]]&gt;1),DiscreteStatsTable[[#This Row],[HalfWidth]],DiscreteStatsTable[[#This Row],[BatchMeansHalfWidth]])</f>
        <v>12.545896076001801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4">
      <c r="A359" t="s">
        <v>67</v>
      </c>
      <c r="B359" t="s">
        <v>69</v>
      </c>
      <c r="C359">
        <v>8</v>
      </c>
      <c r="D359" t="s">
        <v>79</v>
      </c>
      <c r="E359" t="s">
        <v>71</v>
      </c>
      <c r="F359" t="s">
        <v>72</v>
      </c>
      <c r="G359">
        <v>0</v>
      </c>
      <c r="H359">
        <v>0</v>
      </c>
      <c r="I359">
        <v>0</v>
      </c>
      <c r="J359">
        <v>0</v>
      </c>
      <c r="K359">
        <v>458</v>
      </c>
      <c r="L359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24.198624521934118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44.145091099328894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154.88526703072799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462.25630926871901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526.28</v>
      </c>
      <c r="W359" s="5">
        <f>IF((DiscreteStatsTable[[#This Row],[RepsRequested]]&gt;1),DiscreteStatsTable[[#This Row],[HalfWidth]],DiscreteStatsTable[[#This Row],[BatchMeansHalfWidth]])</f>
        <v>12.545896076001801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4">
      <c r="A360" t="s">
        <v>67</v>
      </c>
      <c r="B360" t="s">
        <v>69</v>
      </c>
      <c r="C360">
        <v>9</v>
      </c>
      <c r="D360" t="s">
        <v>79</v>
      </c>
      <c r="E360" t="s">
        <v>71</v>
      </c>
      <c r="F360" t="s">
        <v>72</v>
      </c>
      <c r="G360">
        <v>33.932104768787397</v>
      </c>
      <c r="H360">
        <v>3E+20</v>
      </c>
      <c r="I360">
        <v>0</v>
      </c>
      <c r="J360">
        <v>136.87073580248699</v>
      </c>
      <c r="K360">
        <v>521</v>
      </c>
      <c r="L360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24.198624521934118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154.88526703072799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462.25630926871901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526.28</v>
      </c>
      <c r="W360" s="5">
        <f>IF((DiscreteStatsTable[[#This Row],[RepsRequested]]&gt;1),DiscreteStatsTable[[#This Row],[HalfWidth]],DiscreteStatsTable[[#This Row],[BatchMeansHalfWidth]])</f>
        <v>12.545896076001801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4">
      <c r="A361" t="s">
        <v>67</v>
      </c>
      <c r="B361" t="s">
        <v>69</v>
      </c>
      <c r="C361">
        <v>10</v>
      </c>
      <c r="D361" t="s">
        <v>79</v>
      </c>
      <c r="E361" t="s">
        <v>71</v>
      </c>
      <c r="F361" t="s">
        <v>72</v>
      </c>
      <c r="G361">
        <v>135.607654620994</v>
      </c>
      <c r="H361">
        <v>3E+20</v>
      </c>
      <c r="I361">
        <v>0</v>
      </c>
      <c r="J361">
        <v>316.41291664680301</v>
      </c>
      <c r="K361">
        <v>544</v>
      </c>
      <c r="L361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24.198624521934118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154.88526703072799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462.25630926871901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526.28</v>
      </c>
      <c r="W361" s="5">
        <f>IF((DiscreteStatsTable[[#This Row],[RepsRequested]]&gt;1),DiscreteStatsTable[[#This Row],[HalfWidth]],DiscreteStatsTable[[#This Row],[BatchMeansHalfWidth]])</f>
        <v>12.545896076001801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4">
      <c r="A362" t="s">
        <v>67</v>
      </c>
      <c r="B362" t="s">
        <v>69</v>
      </c>
      <c r="C362">
        <v>11</v>
      </c>
      <c r="D362" t="s">
        <v>79</v>
      </c>
      <c r="E362" t="s">
        <v>71</v>
      </c>
      <c r="F362" t="s">
        <v>72</v>
      </c>
      <c r="G362">
        <v>1.4662634432649301E-2</v>
      </c>
      <c r="H362">
        <v>3E+20</v>
      </c>
      <c r="I362">
        <v>0</v>
      </c>
      <c r="J362">
        <v>5.1378229866296197</v>
      </c>
      <c r="K362">
        <v>565</v>
      </c>
      <c r="L362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24.198624521934118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154.88526703072799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462.25630926871901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526.28</v>
      </c>
      <c r="W362" s="5">
        <f>IF((DiscreteStatsTable[[#This Row],[RepsRequested]]&gt;1),DiscreteStatsTable[[#This Row],[HalfWidth]],DiscreteStatsTable[[#This Row],[BatchMeansHalfWidth]])</f>
        <v>12.545896076001801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4">
      <c r="A363" t="s">
        <v>67</v>
      </c>
      <c r="B363" t="s">
        <v>69</v>
      </c>
      <c r="C363">
        <v>12</v>
      </c>
      <c r="D363" t="s">
        <v>79</v>
      </c>
      <c r="E363" t="s">
        <v>71</v>
      </c>
      <c r="F363" t="s">
        <v>72</v>
      </c>
      <c r="G363">
        <v>1.3636778406266E-2</v>
      </c>
      <c r="H363">
        <v>3E+20</v>
      </c>
      <c r="I363">
        <v>0</v>
      </c>
      <c r="J363">
        <v>6.0359808733344398</v>
      </c>
      <c r="K363">
        <v>480</v>
      </c>
      <c r="L363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24.198624521934118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154.88526703072799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462.25630926871901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526.28</v>
      </c>
      <c r="W363" s="5">
        <f>IF((DiscreteStatsTable[[#This Row],[RepsRequested]]&gt;1),DiscreteStatsTable[[#This Row],[HalfWidth]],DiscreteStatsTable[[#This Row],[BatchMeansHalfWidth]])</f>
        <v>12.545896076001801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4">
      <c r="A364" t="s">
        <v>67</v>
      </c>
      <c r="B364" t="s">
        <v>69</v>
      </c>
      <c r="C364">
        <v>13</v>
      </c>
      <c r="D364" t="s">
        <v>79</v>
      </c>
      <c r="E364" t="s">
        <v>71</v>
      </c>
      <c r="F364" t="s">
        <v>72</v>
      </c>
      <c r="G364">
        <v>3.57230338967086E-3</v>
      </c>
      <c r="H364">
        <v>3E+20</v>
      </c>
      <c r="I364">
        <v>0</v>
      </c>
      <c r="J364">
        <v>1.8647423694081899</v>
      </c>
      <c r="K364">
        <v>522</v>
      </c>
      <c r="L364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24.198624521934118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154.88526703072799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462.25630926871901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526.28</v>
      </c>
      <c r="W364" s="5">
        <f>IF((DiscreteStatsTable[[#This Row],[RepsRequested]]&gt;1),DiscreteStatsTable[[#This Row],[HalfWidth]],DiscreteStatsTable[[#This Row],[BatchMeansHalfWidth]])</f>
        <v>12.545896076001801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4">
      <c r="A365" t="s">
        <v>67</v>
      </c>
      <c r="B365" t="s">
        <v>69</v>
      </c>
      <c r="C365">
        <v>14</v>
      </c>
      <c r="D365" t="s">
        <v>79</v>
      </c>
      <c r="E365" t="s">
        <v>71</v>
      </c>
      <c r="F365" t="s">
        <v>72</v>
      </c>
      <c r="G365">
        <v>4.3663690321017697E-2</v>
      </c>
      <c r="H365">
        <v>3E+20</v>
      </c>
      <c r="I365">
        <v>0</v>
      </c>
      <c r="J365">
        <v>7.1831208850586297</v>
      </c>
      <c r="K365">
        <v>520</v>
      </c>
      <c r="L365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24.198624521934118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154.88526703072799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462.25630926871901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526.28</v>
      </c>
      <c r="W365" s="5">
        <f>IF((DiscreteStatsTable[[#This Row],[RepsRequested]]&gt;1),DiscreteStatsTable[[#This Row],[HalfWidth]],DiscreteStatsTable[[#This Row],[BatchMeansHalfWidth]])</f>
        <v>12.545896076001801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4">
      <c r="A366" t="s">
        <v>67</v>
      </c>
      <c r="B366" t="s">
        <v>69</v>
      </c>
      <c r="C366">
        <v>15</v>
      </c>
      <c r="D366" t="s">
        <v>79</v>
      </c>
      <c r="E366" t="s">
        <v>71</v>
      </c>
      <c r="F366" t="s">
        <v>72</v>
      </c>
      <c r="G366">
        <v>3.02918562565088</v>
      </c>
      <c r="H366">
        <v>3E+20</v>
      </c>
      <c r="I366">
        <v>0</v>
      </c>
      <c r="J366">
        <v>34.6477422354574</v>
      </c>
      <c r="K366">
        <v>550</v>
      </c>
      <c r="L366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24.198624521934118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154.88526703072799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462.25630926871901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526.28</v>
      </c>
      <c r="W366" s="5">
        <f>IF((DiscreteStatsTable[[#This Row],[RepsRequested]]&gt;1),DiscreteStatsTable[[#This Row],[HalfWidth]],DiscreteStatsTable[[#This Row],[BatchMeansHalfWidth]])</f>
        <v>12.545896076001801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4">
      <c r="A367" t="s">
        <v>67</v>
      </c>
      <c r="B367" t="s">
        <v>69</v>
      </c>
      <c r="C367">
        <v>16</v>
      </c>
      <c r="D367" t="s">
        <v>79</v>
      </c>
      <c r="E367" t="s">
        <v>71</v>
      </c>
      <c r="F367" t="s">
        <v>72</v>
      </c>
      <c r="G367">
        <v>2.97750260806816E-2</v>
      </c>
      <c r="H367">
        <v>3E+20</v>
      </c>
      <c r="I367">
        <v>0</v>
      </c>
      <c r="J367">
        <v>7.3358778088037697</v>
      </c>
      <c r="K367">
        <v>457</v>
      </c>
      <c r="L367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24.198624521934118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154.88526703072799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462.25630926871901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526.28</v>
      </c>
      <c r="W367" s="5">
        <f>IF((DiscreteStatsTable[[#This Row],[RepsRequested]]&gt;1),DiscreteStatsTable[[#This Row],[HalfWidth]],DiscreteStatsTable[[#This Row],[BatchMeansHalfWidth]])</f>
        <v>12.545896076001801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4">
      <c r="A368" t="s">
        <v>67</v>
      </c>
      <c r="B368" t="s">
        <v>69</v>
      </c>
      <c r="C368">
        <v>17</v>
      </c>
      <c r="D368" t="s">
        <v>79</v>
      </c>
      <c r="E368" t="s">
        <v>71</v>
      </c>
      <c r="F368" t="s">
        <v>72</v>
      </c>
      <c r="G368">
        <v>23.988009233983099</v>
      </c>
      <c r="H368">
        <v>3E+20</v>
      </c>
      <c r="I368">
        <v>0</v>
      </c>
      <c r="J368">
        <v>106.98963566716699</v>
      </c>
      <c r="K368">
        <v>547</v>
      </c>
      <c r="L368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24.198624521934118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154.88526703072799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462.25630926871901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526.28</v>
      </c>
      <c r="W368" s="5">
        <f>IF((DiscreteStatsTable[[#This Row],[RepsRequested]]&gt;1),DiscreteStatsTable[[#This Row],[HalfWidth]],DiscreteStatsTable[[#This Row],[BatchMeansHalfWidth]])</f>
        <v>12.545896076001801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4">
      <c r="A369" t="s">
        <v>67</v>
      </c>
      <c r="B369" t="s">
        <v>69</v>
      </c>
      <c r="C369">
        <v>18</v>
      </c>
      <c r="D369" t="s">
        <v>79</v>
      </c>
      <c r="E369" t="s">
        <v>71</v>
      </c>
      <c r="F369" t="s">
        <v>72</v>
      </c>
      <c r="G369">
        <v>154.88526703072799</v>
      </c>
      <c r="H369">
        <v>3E+20</v>
      </c>
      <c r="I369">
        <v>0</v>
      </c>
      <c r="J369">
        <v>279.25302619865897</v>
      </c>
      <c r="K369">
        <v>530</v>
      </c>
      <c r="L369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24.198624521934118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44.145091099328894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154.88526703072799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462.25630926871901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526.28</v>
      </c>
      <c r="W369" s="5">
        <f>IF((DiscreteStatsTable[[#This Row],[RepsRequested]]&gt;1),DiscreteStatsTable[[#This Row],[HalfWidth]],DiscreteStatsTable[[#This Row],[BatchMeansHalfWidth]])</f>
        <v>12.545896076001801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4">
      <c r="A370" t="s">
        <v>67</v>
      </c>
      <c r="B370" t="s">
        <v>69</v>
      </c>
      <c r="C370">
        <v>19</v>
      </c>
      <c r="D370" t="s">
        <v>79</v>
      </c>
      <c r="E370" t="s">
        <v>71</v>
      </c>
      <c r="F370" t="s">
        <v>72</v>
      </c>
      <c r="G370">
        <v>4.3957629696532399E-2</v>
      </c>
      <c r="H370">
        <v>6.5606005415298194E-2</v>
      </c>
      <c r="I370">
        <v>0</v>
      </c>
      <c r="J370">
        <v>5.0987467227044201</v>
      </c>
      <c r="K370">
        <v>543</v>
      </c>
      <c r="L370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24.198624521934118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154.88526703072799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462.25630926871901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526.28</v>
      </c>
      <c r="W370" s="5">
        <f>IF((DiscreteStatsTable[[#This Row],[RepsRequested]]&gt;1),DiscreteStatsTable[[#This Row],[HalfWidth]],DiscreteStatsTable[[#This Row],[BatchMeansHalfWidth]])</f>
        <v>12.545896076001801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4">
      <c r="A371" t="s">
        <v>67</v>
      </c>
      <c r="B371" t="s">
        <v>69</v>
      </c>
      <c r="C371">
        <v>20</v>
      </c>
      <c r="D371" t="s">
        <v>79</v>
      </c>
      <c r="E371" t="s">
        <v>71</v>
      </c>
      <c r="F371" t="s">
        <v>72</v>
      </c>
      <c r="G371">
        <v>110.80095370260401</v>
      </c>
      <c r="H371">
        <v>3E+20</v>
      </c>
      <c r="I371">
        <v>0</v>
      </c>
      <c r="J371">
        <v>239.26535043298401</v>
      </c>
      <c r="K371">
        <v>568</v>
      </c>
      <c r="L371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24.198624521934118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154.88526703072799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462.25630926871901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526.28</v>
      </c>
      <c r="W371" s="5">
        <f>IF((DiscreteStatsTable[[#This Row],[RepsRequested]]&gt;1),DiscreteStatsTable[[#This Row],[HalfWidth]],DiscreteStatsTable[[#This Row],[BatchMeansHalfWidth]])</f>
        <v>12.545896076001801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4">
      <c r="A372" t="s">
        <v>67</v>
      </c>
      <c r="B372" t="s">
        <v>69</v>
      </c>
      <c r="C372">
        <v>21</v>
      </c>
      <c r="D372" t="s">
        <v>79</v>
      </c>
      <c r="E372" t="s">
        <v>71</v>
      </c>
      <c r="F372" t="s">
        <v>72</v>
      </c>
      <c r="G372">
        <v>1.5357447814941401</v>
      </c>
      <c r="H372">
        <v>3E+20</v>
      </c>
      <c r="I372">
        <v>0</v>
      </c>
      <c r="J372">
        <v>41.219860287043602</v>
      </c>
      <c r="K372">
        <v>510</v>
      </c>
      <c r="L372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24.198624521934118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154.88526703072799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462.25630926871901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526.28</v>
      </c>
      <c r="W372" s="5">
        <f>IF((DiscreteStatsTable[[#This Row],[RepsRequested]]&gt;1),DiscreteStatsTable[[#This Row],[HalfWidth]],DiscreteStatsTable[[#This Row],[BatchMeansHalfWidth]])</f>
        <v>12.545896076001801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4">
      <c r="A373" t="s">
        <v>67</v>
      </c>
      <c r="B373" t="s">
        <v>69</v>
      </c>
      <c r="C373">
        <v>22</v>
      </c>
      <c r="D373" t="s">
        <v>79</v>
      </c>
      <c r="E373" t="s">
        <v>71</v>
      </c>
      <c r="F373" t="s">
        <v>72</v>
      </c>
      <c r="G373">
        <v>1.6992395976527399</v>
      </c>
      <c r="H373">
        <v>3E+20</v>
      </c>
      <c r="I373">
        <v>0</v>
      </c>
      <c r="J373">
        <v>31.614147904251201</v>
      </c>
      <c r="K373">
        <v>533</v>
      </c>
      <c r="L373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24.198624521934118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154.88526703072799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462.25630926871901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526.28</v>
      </c>
      <c r="W373" s="5">
        <f>IF((DiscreteStatsTable[[#This Row],[RepsRequested]]&gt;1),DiscreteStatsTable[[#This Row],[HalfWidth]],DiscreteStatsTable[[#This Row],[BatchMeansHalfWidth]])</f>
        <v>12.545896076001801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4">
      <c r="A374" t="s">
        <v>67</v>
      </c>
      <c r="B374" t="s">
        <v>69</v>
      </c>
      <c r="C374">
        <v>23</v>
      </c>
      <c r="D374" t="s">
        <v>79</v>
      </c>
      <c r="E374" t="s">
        <v>71</v>
      </c>
      <c r="F374" t="s">
        <v>72</v>
      </c>
      <c r="G374">
        <v>7.9396560293638698</v>
      </c>
      <c r="H374">
        <v>3E+20</v>
      </c>
      <c r="I374">
        <v>0</v>
      </c>
      <c r="J374">
        <v>68.031019940502304</v>
      </c>
      <c r="K374">
        <v>563</v>
      </c>
      <c r="L374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24.198624521934118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154.88526703072799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462.25630926871901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526.28</v>
      </c>
      <c r="W374" s="5">
        <f>IF((DiscreteStatsTable[[#This Row],[RepsRequested]]&gt;1),DiscreteStatsTable[[#This Row],[HalfWidth]],DiscreteStatsTable[[#This Row],[BatchMeansHalfWidth]])</f>
        <v>12.545896076001801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4">
      <c r="A375" t="s">
        <v>67</v>
      </c>
      <c r="B375" t="s">
        <v>69</v>
      </c>
      <c r="C375">
        <v>24</v>
      </c>
      <c r="D375" t="s">
        <v>79</v>
      </c>
      <c r="E375" t="s">
        <v>71</v>
      </c>
      <c r="F375" t="s">
        <v>72</v>
      </c>
      <c r="G375">
        <v>9.9746720192853198E-4</v>
      </c>
      <c r="H375">
        <v>3E+20</v>
      </c>
      <c r="I375">
        <v>0</v>
      </c>
      <c r="J375">
        <v>0.53563988743562196</v>
      </c>
      <c r="K375">
        <v>537</v>
      </c>
      <c r="L375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24.198624521934118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154.88526703072799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462.25630926871901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526.28</v>
      </c>
      <c r="W375" s="5">
        <f>IF((DiscreteStatsTable[[#This Row],[RepsRequested]]&gt;1),DiscreteStatsTable[[#This Row],[HalfWidth]],DiscreteStatsTable[[#This Row],[BatchMeansHalfWidth]])</f>
        <v>12.545896076001801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4">
      <c r="A376" t="s">
        <v>67</v>
      </c>
      <c r="B376" t="s">
        <v>69</v>
      </c>
      <c r="C376">
        <v>25</v>
      </c>
      <c r="D376" t="s">
        <v>79</v>
      </c>
      <c r="E376" t="s">
        <v>71</v>
      </c>
      <c r="F376" t="s">
        <v>72</v>
      </c>
      <c r="G376">
        <v>25.548357625871201</v>
      </c>
      <c r="H376">
        <v>3E+20</v>
      </c>
      <c r="I376">
        <v>0</v>
      </c>
      <c r="J376">
        <v>161.774985613376</v>
      </c>
      <c r="K376">
        <v>587</v>
      </c>
      <c r="L376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24.198624521934118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154.88526703072799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462.25630926871901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526.28</v>
      </c>
      <c r="W376" s="5">
        <f>IF((DiscreteStatsTable[[#This Row],[RepsRequested]]&gt;1),DiscreteStatsTable[[#This Row],[HalfWidth]],DiscreteStatsTable[[#This Row],[BatchMeansHalfWidth]])</f>
        <v>12.545896076001801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4">
      <c r="A377" t="s">
        <v>67</v>
      </c>
      <c r="B377" t="s">
        <v>69</v>
      </c>
      <c r="C377">
        <v>26</v>
      </c>
      <c r="D377" t="s">
        <v>79</v>
      </c>
      <c r="E377" t="s">
        <v>71</v>
      </c>
      <c r="F377" t="s">
        <v>72</v>
      </c>
      <c r="G377">
        <v>0</v>
      </c>
      <c r="H377">
        <v>0</v>
      </c>
      <c r="I377">
        <v>0</v>
      </c>
      <c r="J377">
        <v>0</v>
      </c>
      <c r="K377">
        <v>516</v>
      </c>
      <c r="L377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24.198624521934118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154.88526703072799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462.25630926871901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526.28</v>
      </c>
      <c r="W377" s="5">
        <f>IF((DiscreteStatsTable[[#This Row],[RepsRequested]]&gt;1),DiscreteStatsTable[[#This Row],[HalfWidth]],DiscreteStatsTable[[#This Row],[BatchMeansHalfWidth]])</f>
        <v>12.545896076001801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4">
      <c r="A378" t="s">
        <v>67</v>
      </c>
      <c r="B378" t="s">
        <v>69</v>
      </c>
      <c r="C378">
        <v>27</v>
      </c>
      <c r="D378" t="s">
        <v>79</v>
      </c>
      <c r="E378" t="s">
        <v>71</v>
      </c>
      <c r="F378" t="s">
        <v>72</v>
      </c>
      <c r="G378">
        <v>3.12912416464619</v>
      </c>
      <c r="H378">
        <v>3E+20</v>
      </c>
      <c r="I378">
        <v>0</v>
      </c>
      <c r="J378">
        <v>40.133923566589097</v>
      </c>
      <c r="K378">
        <v>517</v>
      </c>
      <c r="L378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24.198624521934118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154.88526703072799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462.25630926871901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526.28</v>
      </c>
      <c r="W378" s="5">
        <f>IF((DiscreteStatsTable[[#This Row],[RepsRequested]]&gt;1),DiscreteStatsTable[[#This Row],[HalfWidth]],DiscreteStatsTable[[#This Row],[BatchMeansHalfWidth]])</f>
        <v>12.545896076001801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4">
      <c r="A379" t="s">
        <v>67</v>
      </c>
      <c r="B379" t="s">
        <v>69</v>
      </c>
      <c r="C379">
        <v>28</v>
      </c>
      <c r="D379" t="s">
        <v>79</v>
      </c>
      <c r="E379" t="s">
        <v>71</v>
      </c>
      <c r="F379" t="s">
        <v>72</v>
      </c>
      <c r="G379">
        <v>0.26170546387937199</v>
      </c>
      <c r="H379">
        <v>0.38189851112172901</v>
      </c>
      <c r="I379">
        <v>0</v>
      </c>
      <c r="J379">
        <v>13.755726331173699</v>
      </c>
      <c r="K379">
        <v>470</v>
      </c>
      <c r="L379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24.198624521934118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44.145091099328894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154.88526703072799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462.25630926871901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526.28</v>
      </c>
      <c r="W379" s="5">
        <f>IF((DiscreteStatsTable[[#This Row],[RepsRequested]]&gt;1),DiscreteStatsTable[[#This Row],[HalfWidth]],DiscreteStatsTable[[#This Row],[BatchMeansHalfWidth]])</f>
        <v>12.545896076001801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4">
      <c r="A380" t="s">
        <v>67</v>
      </c>
      <c r="B380" t="s">
        <v>69</v>
      </c>
      <c r="C380">
        <v>29</v>
      </c>
      <c r="D380" t="s">
        <v>79</v>
      </c>
      <c r="E380" t="s">
        <v>71</v>
      </c>
      <c r="F380" t="s">
        <v>72</v>
      </c>
      <c r="G380">
        <v>4.7701356012458298</v>
      </c>
      <c r="H380">
        <v>3E+20</v>
      </c>
      <c r="I380">
        <v>0</v>
      </c>
      <c r="J380">
        <v>55.320638443641201</v>
      </c>
      <c r="K380">
        <v>585</v>
      </c>
      <c r="L380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24.198624521934118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154.88526703072799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462.25630926871901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526.28</v>
      </c>
      <c r="W380" s="5">
        <f>IF((DiscreteStatsTable[[#This Row],[RepsRequested]]&gt;1),DiscreteStatsTable[[#This Row],[HalfWidth]],DiscreteStatsTable[[#This Row],[BatchMeansHalfWidth]])</f>
        <v>12.545896076001801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4">
      <c r="A381" t="s">
        <v>67</v>
      </c>
      <c r="B381" t="s">
        <v>69</v>
      </c>
      <c r="C381">
        <v>30</v>
      </c>
      <c r="D381" t="s">
        <v>79</v>
      </c>
      <c r="E381" t="s">
        <v>71</v>
      </c>
      <c r="F381" t="s">
        <v>72</v>
      </c>
      <c r="G381">
        <v>0.36674792823396901</v>
      </c>
      <c r="H381">
        <v>0.55950840580197803</v>
      </c>
      <c r="I381">
        <v>0</v>
      </c>
      <c r="J381">
        <v>21.312639549194198</v>
      </c>
      <c r="K381">
        <v>526</v>
      </c>
      <c r="L381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24.198624521934118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154.88526703072799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462.25630926871901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526.28</v>
      </c>
      <c r="W381" s="5">
        <f>IF((DiscreteStatsTable[[#This Row],[RepsRequested]]&gt;1),DiscreteStatsTable[[#This Row],[HalfWidth]],DiscreteStatsTable[[#This Row],[BatchMeansHalfWidth]])</f>
        <v>12.545896076001801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4">
      <c r="A382" t="s">
        <v>67</v>
      </c>
      <c r="B382" t="s">
        <v>69</v>
      </c>
      <c r="C382">
        <v>31</v>
      </c>
      <c r="D382" t="s">
        <v>79</v>
      </c>
      <c r="E382" t="s">
        <v>71</v>
      </c>
      <c r="F382" t="s">
        <v>72</v>
      </c>
      <c r="G382">
        <v>66.781747181466002</v>
      </c>
      <c r="H382">
        <v>3E+20</v>
      </c>
      <c r="I382">
        <v>0</v>
      </c>
      <c r="J382">
        <v>196.57598242237901</v>
      </c>
      <c r="K382">
        <v>549</v>
      </c>
      <c r="L382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24.198624521934118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154.88526703072799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462.25630926871901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526.28</v>
      </c>
      <c r="W382" s="5">
        <f>IF((DiscreteStatsTable[[#This Row],[RepsRequested]]&gt;1),DiscreteStatsTable[[#This Row],[HalfWidth]],DiscreteStatsTable[[#This Row],[BatchMeansHalfWidth]])</f>
        <v>12.545896076001801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4">
      <c r="A383" t="s">
        <v>67</v>
      </c>
      <c r="B383" t="s">
        <v>69</v>
      </c>
      <c r="C383">
        <v>32</v>
      </c>
      <c r="D383" t="s">
        <v>79</v>
      </c>
      <c r="E383" t="s">
        <v>71</v>
      </c>
      <c r="F383" t="s">
        <v>72</v>
      </c>
      <c r="G383">
        <v>1.0535511627948399E-3</v>
      </c>
      <c r="H383">
        <v>3E+20</v>
      </c>
      <c r="I383">
        <v>0</v>
      </c>
      <c r="J383">
        <v>0.56681052558362299</v>
      </c>
      <c r="K383">
        <v>538</v>
      </c>
      <c r="L383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24.198624521934118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154.88526703072799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462.25630926871901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526.28</v>
      </c>
      <c r="W383" s="5">
        <f>IF((DiscreteStatsTable[[#This Row],[RepsRequested]]&gt;1),DiscreteStatsTable[[#This Row],[HalfWidth]],DiscreteStatsTable[[#This Row],[BatchMeansHalfWidth]])</f>
        <v>12.545896076001801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4">
      <c r="A384" t="s">
        <v>67</v>
      </c>
      <c r="B384" t="s">
        <v>69</v>
      </c>
      <c r="C384">
        <v>33</v>
      </c>
      <c r="D384" t="s">
        <v>79</v>
      </c>
      <c r="E384" t="s">
        <v>71</v>
      </c>
      <c r="F384" t="s">
        <v>72</v>
      </c>
      <c r="G384">
        <v>9.0480477423483698</v>
      </c>
      <c r="H384">
        <v>3E+20</v>
      </c>
      <c r="I384">
        <v>0</v>
      </c>
      <c r="J384">
        <v>70.836726891508107</v>
      </c>
      <c r="K384">
        <v>543</v>
      </c>
      <c r="L384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24.198624521934118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154.88526703072799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462.25630926871901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526.28</v>
      </c>
      <c r="W384" s="5">
        <f>IF((DiscreteStatsTable[[#This Row],[RepsRequested]]&gt;1),DiscreteStatsTable[[#This Row],[HalfWidth]],DiscreteStatsTable[[#This Row],[BatchMeansHalfWidth]])</f>
        <v>12.545896076001801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4">
      <c r="A385" t="s">
        <v>67</v>
      </c>
      <c r="B385" t="s">
        <v>69</v>
      </c>
      <c r="C385">
        <v>34</v>
      </c>
      <c r="D385" t="s">
        <v>79</v>
      </c>
      <c r="E385" t="s">
        <v>71</v>
      </c>
      <c r="F385" t="s">
        <v>72</v>
      </c>
      <c r="G385">
        <v>9.4419547506273602</v>
      </c>
      <c r="H385">
        <v>3E+20</v>
      </c>
      <c r="I385">
        <v>0</v>
      </c>
      <c r="J385">
        <v>49.688184816606402</v>
      </c>
      <c r="K385">
        <v>565</v>
      </c>
      <c r="L385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24.198624521934118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154.88526703072799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462.25630926871901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526.28</v>
      </c>
      <c r="W385" s="5">
        <f>IF((DiscreteStatsTable[[#This Row],[RepsRequested]]&gt;1),DiscreteStatsTable[[#This Row],[HalfWidth]],DiscreteStatsTable[[#This Row],[BatchMeansHalfWidth]])</f>
        <v>12.545896076001801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4">
      <c r="A386" t="s">
        <v>67</v>
      </c>
      <c r="B386" t="s">
        <v>69</v>
      </c>
      <c r="C386">
        <v>35</v>
      </c>
      <c r="D386" t="s">
        <v>79</v>
      </c>
      <c r="E386" t="s">
        <v>71</v>
      </c>
      <c r="F386" t="s">
        <v>72</v>
      </c>
      <c r="G386">
        <v>1.0322572270613</v>
      </c>
      <c r="H386">
        <v>3E+20</v>
      </c>
      <c r="I386">
        <v>0</v>
      </c>
      <c r="J386">
        <v>26.2954640814858</v>
      </c>
      <c r="K386">
        <v>545</v>
      </c>
      <c r="L386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24.198624521934118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154.88526703072799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462.25630926871901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526.28</v>
      </c>
      <c r="W386" s="5">
        <f>IF((DiscreteStatsTable[[#This Row],[RepsRequested]]&gt;1),DiscreteStatsTable[[#This Row],[HalfWidth]],DiscreteStatsTable[[#This Row],[BatchMeansHalfWidth]])</f>
        <v>12.545896076001801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4">
      <c r="A387" t="s">
        <v>67</v>
      </c>
      <c r="B387" t="s">
        <v>69</v>
      </c>
      <c r="C387">
        <v>36</v>
      </c>
      <c r="D387" t="s">
        <v>79</v>
      </c>
      <c r="E387" t="s">
        <v>71</v>
      </c>
      <c r="F387" t="s">
        <v>72</v>
      </c>
      <c r="G387">
        <v>126.110778329789</v>
      </c>
      <c r="H387">
        <v>3E+20</v>
      </c>
      <c r="I387">
        <v>0</v>
      </c>
      <c r="J387">
        <v>236.94723379475101</v>
      </c>
      <c r="K387">
        <v>517</v>
      </c>
      <c r="L387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24.198624521934118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154.88526703072799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462.25630926871901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526.28</v>
      </c>
      <c r="W387" s="5">
        <f>IF((DiscreteStatsTable[[#This Row],[RepsRequested]]&gt;1),DiscreteStatsTable[[#This Row],[HalfWidth]],DiscreteStatsTable[[#This Row],[BatchMeansHalfWidth]])</f>
        <v>12.545896076001801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4">
      <c r="A388" t="s">
        <v>67</v>
      </c>
      <c r="B388" t="s">
        <v>69</v>
      </c>
      <c r="C388">
        <v>37</v>
      </c>
      <c r="D388" t="s">
        <v>79</v>
      </c>
      <c r="E388" t="s">
        <v>71</v>
      </c>
      <c r="F388" t="s">
        <v>72</v>
      </c>
      <c r="G388">
        <v>108.022245587236</v>
      </c>
      <c r="H388">
        <v>3E+20</v>
      </c>
      <c r="I388">
        <v>0</v>
      </c>
      <c r="J388">
        <v>229.85384272398201</v>
      </c>
      <c r="K388">
        <v>504</v>
      </c>
      <c r="L388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24.198624521934118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154.88526703072799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462.25630926871901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526.28</v>
      </c>
      <c r="W388" s="5">
        <f>IF((DiscreteStatsTable[[#This Row],[RepsRequested]]&gt;1),DiscreteStatsTable[[#This Row],[HalfWidth]],DiscreteStatsTable[[#This Row],[BatchMeansHalfWidth]])</f>
        <v>12.545896076001801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4">
      <c r="A389" t="s">
        <v>67</v>
      </c>
      <c r="B389" t="s">
        <v>69</v>
      </c>
      <c r="C389">
        <v>38</v>
      </c>
      <c r="D389" t="s">
        <v>79</v>
      </c>
      <c r="E389" t="s">
        <v>71</v>
      </c>
      <c r="F389" t="s">
        <v>72</v>
      </c>
      <c r="G389">
        <v>49.5687593424434</v>
      </c>
      <c r="H389">
        <v>3E+20</v>
      </c>
      <c r="I389">
        <v>0</v>
      </c>
      <c r="J389">
        <v>120.03634758966</v>
      </c>
      <c r="K389">
        <v>584</v>
      </c>
      <c r="L389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24.198624521934118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44.145091099328894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154.88526703072799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462.25630926871901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526.28</v>
      </c>
      <c r="W389" s="5">
        <f>IF((DiscreteStatsTable[[#This Row],[RepsRequested]]&gt;1),DiscreteStatsTable[[#This Row],[HalfWidth]],DiscreteStatsTable[[#This Row],[BatchMeansHalfWidth]])</f>
        <v>12.545896076001801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4">
      <c r="A390" t="s">
        <v>67</v>
      </c>
      <c r="B390" t="s">
        <v>69</v>
      </c>
      <c r="C390">
        <v>39</v>
      </c>
      <c r="D390" t="s">
        <v>79</v>
      </c>
      <c r="E390" t="s">
        <v>71</v>
      </c>
      <c r="F390" t="s">
        <v>72</v>
      </c>
      <c r="G390">
        <v>2.3300632758822401E-3</v>
      </c>
      <c r="H390">
        <v>3E+20</v>
      </c>
      <c r="I390">
        <v>0</v>
      </c>
      <c r="J390">
        <v>0.55111154483952896</v>
      </c>
      <c r="K390">
        <v>483</v>
      </c>
      <c r="L390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24.198624521934118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154.88526703072799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462.25630926871901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526.28</v>
      </c>
      <c r="W390" s="5">
        <f>IF((DiscreteStatsTable[[#This Row],[RepsRequested]]&gt;1),DiscreteStatsTable[[#This Row],[HalfWidth]],DiscreteStatsTable[[#This Row],[BatchMeansHalfWidth]])</f>
        <v>12.545896076001801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4">
      <c r="A391" t="s">
        <v>67</v>
      </c>
      <c r="B391" t="s">
        <v>69</v>
      </c>
      <c r="C391">
        <v>40</v>
      </c>
      <c r="D391" t="s">
        <v>79</v>
      </c>
      <c r="E391" t="s">
        <v>71</v>
      </c>
      <c r="F391" t="s">
        <v>72</v>
      </c>
      <c r="G391">
        <v>122.771563769228</v>
      </c>
      <c r="H391">
        <v>3E+20</v>
      </c>
      <c r="I391">
        <v>0</v>
      </c>
      <c r="J391">
        <v>462.25630926871901</v>
      </c>
      <c r="K391">
        <v>453</v>
      </c>
      <c r="L391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24.198624521934118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154.88526703072799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462.25630926871901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526.28</v>
      </c>
      <c r="W391" s="5">
        <f>IF((DiscreteStatsTable[[#This Row],[RepsRequested]]&gt;1),DiscreteStatsTable[[#This Row],[HalfWidth]],DiscreteStatsTable[[#This Row],[BatchMeansHalfWidth]])</f>
        <v>12.545896076001801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4">
      <c r="A392" t="s">
        <v>67</v>
      </c>
      <c r="B392" t="s">
        <v>69</v>
      </c>
      <c r="C392">
        <v>41</v>
      </c>
      <c r="D392" t="s">
        <v>79</v>
      </c>
      <c r="E392" t="s">
        <v>71</v>
      </c>
      <c r="F392" t="s">
        <v>72</v>
      </c>
      <c r="G392">
        <v>0.12426213658546</v>
      </c>
      <c r="H392">
        <v>3E+20</v>
      </c>
      <c r="I392">
        <v>0</v>
      </c>
      <c r="J392">
        <v>10.2794751355716</v>
      </c>
      <c r="K392">
        <v>450</v>
      </c>
      <c r="L392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24.198624521934118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154.88526703072799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462.25630926871901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526.28</v>
      </c>
      <c r="W392" s="5">
        <f>IF((DiscreteStatsTable[[#This Row],[RepsRequested]]&gt;1),DiscreteStatsTable[[#This Row],[HalfWidth]],DiscreteStatsTable[[#This Row],[BatchMeansHalfWidth]])</f>
        <v>12.545896076001801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4">
      <c r="A393" t="s">
        <v>67</v>
      </c>
      <c r="B393" t="s">
        <v>69</v>
      </c>
      <c r="C393">
        <v>42</v>
      </c>
      <c r="D393" t="s">
        <v>79</v>
      </c>
      <c r="E393" t="s">
        <v>71</v>
      </c>
      <c r="F393" t="s">
        <v>72</v>
      </c>
      <c r="G393">
        <v>0.39035586652424398</v>
      </c>
      <c r="H393">
        <v>3E+20</v>
      </c>
      <c r="I393">
        <v>0</v>
      </c>
      <c r="J393">
        <v>17.010025621343399</v>
      </c>
      <c r="K393">
        <v>499</v>
      </c>
      <c r="L393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24.198624521934118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154.88526703072799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462.25630926871901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526.28</v>
      </c>
      <c r="W393" s="5">
        <f>IF((DiscreteStatsTable[[#This Row],[RepsRequested]]&gt;1),DiscreteStatsTable[[#This Row],[HalfWidth]],DiscreteStatsTable[[#This Row],[BatchMeansHalfWidth]])</f>
        <v>12.545896076001801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4">
      <c r="A394" t="s">
        <v>67</v>
      </c>
      <c r="B394" t="s">
        <v>69</v>
      </c>
      <c r="C394">
        <v>43</v>
      </c>
      <c r="D394" t="s">
        <v>79</v>
      </c>
      <c r="E394" t="s">
        <v>71</v>
      </c>
      <c r="F394" t="s">
        <v>72</v>
      </c>
      <c r="G394">
        <v>0.49205552269254998</v>
      </c>
      <c r="H394">
        <v>3E+20</v>
      </c>
      <c r="I394">
        <v>0</v>
      </c>
      <c r="J394">
        <v>20.953744360680499</v>
      </c>
      <c r="K394">
        <v>552</v>
      </c>
      <c r="L394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24.198624521934118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154.88526703072799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462.25630926871901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526.28</v>
      </c>
      <c r="W394" s="5">
        <f>IF((DiscreteStatsTable[[#This Row],[RepsRequested]]&gt;1),DiscreteStatsTable[[#This Row],[HalfWidth]],DiscreteStatsTable[[#This Row],[BatchMeansHalfWidth]])</f>
        <v>12.545896076001801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4">
      <c r="A395" t="s">
        <v>67</v>
      </c>
      <c r="B395" t="s">
        <v>69</v>
      </c>
      <c r="C395">
        <v>44</v>
      </c>
      <c r="D395" t="s">
        <v>79</v>
      </c>
      <c r="E395" t="s">
        <v>71</v>
      </c>
      <c r="F395" t="s">
        <v>72</v>
      </c>
      <c r="G395">
        <v>0.16956439327381001</v>
      </c>
      <c r="H395">
        <v>0.22600984010287301</v>
      </c>
      <c r="I395">
        <v>0</v>
      </c>
      <c r="J395">
        <v>9.7689325909976805</v>
      </c>
      <c r="K395">
        <v>505</v>
      </c>
      <c r="L395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24.198624521934118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154.88526703072799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462.25630926871901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526.28</v>
      </c>
      <c r="W395" s="5">
        <f>IF((DiscreteStatsTable[[#This Row],[RepsRequested]]&gt;1),DiscreteStatsTable[[#This Row],[HalfWidth]],DiscreteStatsTable[[#This Row],[BatchMeansHalfWidth]])</f>
        <v>12.545896076001801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4">
      <c r="A396" t="s">
        <v>67</v>
      </c>
      <c r="B396" t="s">
        <v>69</v>
      </c>
      <c r="C396">
        <v>45</v>
      </c>
      <c r="D396" t="s">
        <v>79</v>
      </c>
      <c r="E396" t="s">
        <v>71</v>
      </c>
      <c r="F396" t="s">
        <v>72</v>
      </c>
      <c r="G396">
        <v>2.4986910876189001</v>
      </c>
      <c r="H396">
        <v>3E+20</v>
      </c>
      <c r="I396">
        <v>0</v>
      </c>
      <c r="J396">
        <v>43.971834222052301</v>
      </c>
      <c r="K396">
        <v>524</v>
      </c>
      <c r="L396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24.198624521934118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154.88526703072799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462.25630926871901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526.28</v>
      </c>
      <c r="W396" s="5">
        <f>IF((DiscreteStatsTable[[#This Row],[RepsRequested]]&gt;1),DiscreteStatsTable[[#This Row],[HalfWidth]],DiscreteStatsTable[[#This Row],[BatchMeansHalfWidth]])</f>
        <v>12.545896076001801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4">
      <c r="A397" t="s">
        <v>67</v>
      </c>
      <c r="B397" t="s">
        <v>69</v>
      </c>
      <c r="C397">
        <v>46</v>
      </c>
      <c r="D397" t="s">
        <v>79</v>
      </c>
      <c r="E397" t="s">
        <v>71</v>
      </c>
      <c r="F397" t="s">
        <v>72</v>
      </c>
      <c r="G397">
        <v>6.4376408144432198E-2</v>
      </c>
      <c r="H397">
        <v>3E+20</v>
      </c>
      <c r="I397">
        <v>0</v>
      </c>
      <c r="J397">
        <v>10.3700699169079</v>
      </c>
      <c r="K397">
        <v>555</v>
      </c>
      <c r="L397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24.198624521934118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154.88526703072799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462.25630926871901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526.28</v>
      </c>
      <c r="W397" s="5">
        <f>IF((DiscreteStatsTable[[#This Row],[RepsRequested]]&gt;1),DiscreteStatsTable[[#This Row],[HalfWidth]],DiscreteStatsTable[[#This Row],[BatchMeansHalfWidth]])</f>
        <v>12.545896076001801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4">
      <c r="A398" t="s">
        <v>67</v>
      </c>
      <c r="B398" t="s">
        <v>69</v>
      </c>
      <c r="C398">
        <v>47</v>
      </c>
      <c r="D398" t="s">
        <v>79</v>
      </c>
      <c r="E398" t="s">
        <v>71</v>
      </c>
      <c r="F398" t="s">
        <v>72</v>
      </c>
      <c r="G398">
        <v>0.153380816010351</v>
      </c>
      <c r="H398">
        <v>3E+20</v>
      </c>
      <c r="I398">
        <v>0</v>
      </c>
      <c r="J398">
        <v>12.095901500120201</v>
      </c>
      <c r="K398">
        <v>519</v>
      </c>
      <c r="L398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24.198624521934118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154.88526703072799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462.25630926871901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526.28</v>
      </c>
      <c r="W398" s="5">
        <f>IF((DiscreteStatsTable[[#This Row],[RepsRequested]]&gt;1),DiscreteStatsTable[[#This Row],[HalfWidth]],DiscreteStatsTable[[#This Row],[BatchMeansHalfWidth]])</f>
        <v>12.545896076001801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4">
      <c r="A399" t="s">
        <v>67</v>
      </c>
      <c r="B399" t="s">
        <v>69</v>
      </c>
      <c r="C399">
        <v>48</v>
      </c>
      <c r="D399" t="s">
        <v>79</v>
      </c>
      <c r="E399" t="s">
        <v>71</v>
      </c>
      <c r="F399" t="s">
        <v>72</v>
      </c>
      <c r="G399">
        <v>0.122895889839715</v>
      </c>
      <c r="H399">
        <v>3E+20</v>
      </c>
      <c r="I399">
        <v>0</v>
      </c>
      <c r="J399">
        <v>11.1558723091467</v>
      </c>
      <c r="K399">
        <v>520</v>
      </c>
      <c r="L399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24.198624521934118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44.145091099328894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154.88526703072799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462.25630926871901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526.28</v>
      </c>
      <c r="W399" s="5">
        <f>IF((DiscreteStatsTable[[#This Row],[RepsRequested]]&gt;1),DiscreteStatsTable[[#This Row],[HalfWidth]],DiscreteStatsTable[[#This Row],[BatchMeansHalfWidth]])</f>
        <v>12.545896076001801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4">
      <c r="A400" t="s">
        <v>67</v>
      </c>
      <c r="B400" t="s">
        <v>69</v>
      </c>
      <c r="C400">
        <v>49</v>
      </c>
      <c r="D400" t="s">
        <v>79</v>
      </c>
      <c r="E400" t="s">
        <v>71</v>
      </c>
      <c r="F400" t="s">
        <v>72</v>
      </c>
      <c r="G400">
        <v>106.83355851858001</v>
      </c>
      <c r="H400">
        <v>3E+20</v>
      </c>
      <c r="I400">
        <v>0</v>
      </c>
      <c r="J400">
        <v>285.487385792444</v>
      </c>
      <c r="K400">
        <v>511</v>
      </c>
      <c r="L400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24.198624521934118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44.145091099328894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154.88526703072799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462.25630926871901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526.28</v>
      </c>
      <c r="W400" s="5">
        <f>IF((DiscreteStatsTable[[#This Row],[RepsRequested]]&gt;1),DiscreteStatsTable[[#This Row],[HalfWidth]],DiscreteStatsTable[[#This Row],[BatchMeansHalfWidth]])</f>
        <v>12.545896076001801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4">
      <c r="A401" t="s">
        <v>67</v>
      </c>
      <c r="B401" t="s">
        <v>69</v>
      </c>
      <c r="C401">
        <v>50</v>
      </c>
      <c r="D401" t="s">
        <v>79</v>
      </c>
      <c r="E401" t="s">
        <v>71</v>
      </c>
      <c r="F401" t="s">
        <v>72</v>
      </c>
      <c r="G401">
        <v>0.14274921602928001</v>
      </c>
      <c r="H401">
        <v>3E+20</v>
      </c>
      <c r="I401">
        <v>0</v>
      </c>
      <c r="J401">
        <v>13.371451956855299</v>
      </c>
      <c r="K401">
        <v>560</v>
      </c>
      <c r="L401" s="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24.198624521934118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44.145091099328894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12.545896076001801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154.88526703072799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462.25630926871901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526.28</v>
      </c>
      <c r="W401" s="5">
        <f>IF((DiscreteStatsTable[[#This Row],[RepsRequested]]&gt;1),DiscreteStatsTable[[#This Row],[HalfWidth]],DiscreteStatsTable[[#This Row],[BatchMeansHalfWidth]])</f>
        <v>12.545896076001801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4">
      <c r="A402" t="s">
        <v>67</v>
      </c>
      <c r="B402" t="s">
        <v>69</v>
      </c>
      <c r="C402">
        <v>1</v>
      </c>
      <c r="D402" t="s">
        <v>80</v>
      </c>
      <c r="E402" t="s">
        <v>81</v>
      </c>
      <c r="F402" t="s">
        <v>82</v>
      </c>
      <c r="G402">
        <v>0</v>
      </c>
      <c r="H402">
        <v>0</v>
      </c>
      <c r="I402">
        <v>0</v>
      </c>
      <c r="J402">
        <v>0</v>
      </c>
      <c r="K402">
        <v>692</v>
      </c>
      <c r="L40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0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0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0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0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0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680.04</v>
      </c>
      <c r="W402" s="5">
        <f>IF((DiscreteStatsTable[[#This Row],[RepsRequested]]&gt;1),DiscreteStatsTable[[#This Row],[HalfWidth]],DiscreteStatsTable[[#This Row],[BatchMeansHalfWidth]])</f>
        <v>0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4">
      <c r="A403" t="s">
        <v>67</v>
      </c>
      <c r="B403" t="s">
        <v>69</v>
      </c>
      <c r="C403">
        <v>1</v>
      </c>
      <c r="D403" t="s">
        <v>80</v>
      </c>
      <c r="E403" t="s">
        <v>83</v>
      </c>
      <c r="F403" t="s">
        <v>82</v>
      </c>
      <c r="G403">
        <v>118.465396306461</v>
      </c>
      <c r="H403">
        <v>1.9076761548621</v>
      </c>
      <c r="I403">
        <v>64.305278892697601</v>
      </c>
      <c r="J403">
        <v>187.13107854005801</v>
      </c>
      <c r="K403">
        <v>692</v>
      </c>
      <c r="L40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119.072877588487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1.1004315823637869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116.869916756062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121.279055923125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55.773522793583801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203.50100513585599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680.04</v>
      </c>
      <c r="W403" s="5">
        <f>IF((DiscreteStatsTable[[#This Row],[RepsRequested]]&gt;1),DiscreteStatsTable[[#This Row],[HalfWidth]],DiscreteStatsTable[[#This Row],[BatchMeansHalfWidth]])</f>
        <v>0.31273919539597844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4">
      <c r="A404" t="s">
        <v>67</v>
      </c>
      <c r="B404" t="s">
        <v>69</v>
      </c>
      <c r="C404">
        <v>1</v>
      </c>
      <c r="D404" t="s">
        <v>80</v>
      </c>
      <c r="E404" t="s">
        <v>84</v>
      </c>
      <c r="F404" t="s">
        <v>82</v>
      </c>
      <c r="G404">
        <v>190.31702643268801</v>
      </c>
      <c r="H404">
        <v>3E+20</v>
      </c>
      <c r="I404">
        <v>79.827822628032393</v>
      </c>
      <c r="J404">
        <v>388.73330205316398</v>
      </c>
      <c r="K404">
        <v>692</v>
      </c>
      <c r="L40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230.87278063103886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28.511985776754724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176.63374267103799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310.30313247646598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74.823945578616801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640.81970303432195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680.04</v>
      </c>
      <c r="W404" s="5">
        <f>IF((DiscreteStatsTable[[#This Row],[RepsRequested]]&gt;1),DiscreteStatsTable[[#This Row],[HalfWidth]],DiscreteStatsTable[[#This Row],[BatchMeansHalfWidth]])</f>
        <v>8.1030167016926651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4">
      <c r="A405" t="s">
        <v>67</v>
      </c>
      <c r="B405" t="s">
        <v>69</v>
      </c>
      <c r="C405">
        <v>1</v>
      </c>
      <c r="D405" t="s">
        <v>80</v>
      </c>
      <c r="E405" t="s">
        <v>85</v>
      </c>
      <c r="F405" t="s">
        <v>82</v>
      </c>
      <c r="G405">
        <v>19.752279368772498</v>
      </c>
      <c r="H405">
        <v>0.62303367978319901</v>
      </c>
      <c r="I405">
        <v>6.9189393323833901</v>
      </c>
      <c r="J405">
        <v>48.524443063083801</v>
      </c>
      <c r="K405">
        <v>692</v>
      </c>
      <c r="L40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19.788825490074792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19.1753932585017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20.6416816415399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6.0540217345149898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49.959821430489797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680.04</v>
      </c>
      <c r="W405" s="5">
        <f>IF((DiscreteStatsTable[[#This Row],[RepsRequested]]&gt;1),DiscreteStatsTable[[#This Row],[HalfWidth]],DiscreteStatsTable[[#This Row],[BatchMeansHalfWidth]])</f>
        <v>9.3664325535411846E-2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4">
      <c r="A406" t="s">
        <v>67</v>
      </c>
      <c r="B406" t="s">
        <v>69</v>
      </c>
      <c r="C406">
        <v>1</v>
      </c>
      <c r="D406" t="s">
        <v>80</v>
      </c>
      <c r="E406" t="s">
        <v>86</v>
      </c>
      <c r="F406" t="s">
        <v>82</v>
      </c>
      <c r="G406">
        <v>0</v>
      </c>
      <c r="H406">
        <v>0</v>
      </c>
      <c r="I406">
        <v>0</v>
      </c>
      <c r="J406">
        <v>0</v>
      </c>
      <c r="K406">
        <v>692</v>
      </c>
      <c r="L40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680.04</v>
      </c>
      <c r="W406" s="5">
        <f>IF((DiscreteStatsTable[[#This Row],[RepsRequested]]&gt;1),DiscreteStatsTable[[#This Row],[HalfWidth]],DiscreteStatsTable[[#This Row],[BatchMeansHalfWidth]])</f>
        <v>0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4">
      <c r="A407" t="s">
        <v>67</v>
      </c>
      <c r="B407" t="s">
        <v>69</v>
      </c>
      <c r="C407">
        <v>1</v>
      </c>
      <c r="D407" t="s">
        <v>80</v>
      </c>
      <c r="E407" t="s">
        <v>87</v>
      </c>
      <c r="F407" t="s">
        <v>82</v>
      </c>
      <c r="G407">
        <v>52.099350757453998</v>
      </c>
      <c r="H407">
        <v>3E+20</v>
      </c>
      <c r="I407">
        <v>0</v>
      </c>
      <c r="J407">
        <v>189.02734486536201</v>
      </c>
      <c r="K407">
        <v>692</v>
      </c>
      <c r="L40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92.011077552476877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28.394716781335426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37.235943946119903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170.78088451033599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458.06693976826199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680.04</v>
      </c>
      <c r="W407" s="5">
        <f>IF((DiscreteStatsTable[[#This Row],[RepsRequested]]&gt;1),DiscreteStatsTable[[#This Row],[HalfWidth]],DiscreteStatsTable[[#This Row],[BatchMeansHalfWidth]])</f>
        <v>8.0696892219473568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4">
      <c r="A408" t="s">
        <v>67</v>
      </c>
      <c r="B408" t="s">
        <v>69</v>
      </c>
      <c r="C408">
        <v>2</v>
      </c>
      <c r="D408" t="s">
        <v>80</v>
      </c>
      <c r="E408" t="s">
        <v>81</v>
      </c>
      <c r="F408" t="s">
        <v>82</v>
      </c>
      <c r="G408">
        <v>0</v>
      </c>
      <c r="H408">
        <v>0</v>
      </c>
      <c r="I408">
        <v>0</v>
      </c>
      <c r="J408">
        <v>0</v>
      </c>
      <c r="K408">
        <v>668</v>
      </c>
      <c r="L40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0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0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0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0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0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680.04</v>
      </c>
      <c r="W408" s="5">
        <f>IF((DiscreteStatsTable[[#This Row],[RepsRequested]]&gt;1),DiscreteStatsTable[[#This Row],[HalfWidth]],DiscreteStatsTable[[#This Row],[BatchMeansHalfWidth]])</f>
        <v>0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4">
      <c r="A409" t="s">
        <v>67</v>
      </c>
      <c r="B409" t="s">
        <v>69</v>
      </c>
      <c r="C409">
        <v>2</v>
      </c>
      <c r="D409" t="s">
        <v>80</v>
      </c>
      <c r="E409" t="s">
        <v>83</v>
      </c>
      <c r="F409" t="s">
        <v>82</v>
      </c>
      <c r="G409">
        <v>118.562809100659</v>
      </c>
      <c r="H409">
        <v>1.7361958095866801</v>
      </c>
      <c r="I409">
        <v>55.773522793583801</v>
      </c>
      <c r="J409">
        <v>173.11840589936199</v>
      </c>
      <c r="K409">
        <v>668</v>
      </c>
      <c r="L40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119.072877588487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1.1004315823637869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116.869916756062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121.279055923125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55.773522793583801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203.50100513585599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680.04</v>
      </c>
      <c r="W409" s="5">
        <f>IF((DiscreteStatsTable[[#This Row],[RepsRequested]]&gt;1),DiscreteStatsTable[[#This Row],[HalfWidth]],DiscreteStatsTable[[#This Row],[BatchMeansHalfWidth]])</f>
        <v>0.31273919539597844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4">
      <c r="A410" t="s">
        <v>67</v>
      </c>
      <c r="B410" t="s">
        <v>69</v>
      </c>
      <c r="C410">
        <v>2</v>
      </c>
      <c r="D410" t="s">
        <v>80</v>
      </c>
      <c r="E410" t="s">
        <v>84</v>
      </c>
      <c r="F410" t="s">
        <v>82</v>
      </c>
      <c r="G410">
        <v>179.863083236368</v>
      </c>
      <c r="H410">
        <v>3E+20</v>
      </c>
      <c r="I410">
        <v>82.175437616857593</v>
      </c>
      <c r="J410">
        <v>365.97568442113601</v>
      </c>
      <c r="K410">
        <v>668</v>
      </c>
      <c r="L41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230.87278063103886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28.511985776754724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176.63374267103799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310.30313247646598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74.823945578616801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640.81970303432195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680.04</v>
      </c>
      <c r="W410" s="5">
        <f>IF((DiscreteStatsTable[[#This Row],[RepsRequested]]&gt;1),DiscreteStatsTable[[#This Row],[HalfWidth]],DiscreteStatsTable[[#This Row],[BatchMeansHalfWidth]])</f>
        <v>8.1030167016926651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4">
      <c r="A411" t="s">
        <v>67</v>
      </c>
      <c r="B411" t="s">
        <v>69</v>
      </c>
      <c r="C411">
        <v>2</v>
      </c>
      <c r="D411" t="s">
        <v>80</v>
      </c>
      <c r="E411" t="s">
        <v>85</v>
      </c>
      <c r="F411" t="s">
        <v>82</v>
      </c>
      <c r="G411">
        <v>19.700011899004298</v>
      </c>
      <c r="H411">
        <v>0.59968770730430998</v>
      </c>
      <c r="I411">
        <v>6.61068877610683</v>
      </c>
      <c r="J411">
        <v>46.7798398862817</v>
      </c>
      <c r="K411">
        <v>668</v>
      </c>
      <c r="L41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19.788825490074792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19.1753932585017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20.6416816415399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6.0540217345149898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49.959821430489797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680.04</v>
      </c>
      <c r="W411" s="5">
        <f>IF((DiscreteStatsTable[[#This Row],[RepsRequested]]&gt;1),DiscreteStatsTable[[#This Row],[HalfWidth]],DiscreteStatsTable[[#This Row],[BatchMeansHalfWidth]])</f>
        <v>9.3664325535411846E-2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4">
      <c r="A412" t="s">
        <v>67</v>
      </c>
      <c r="B412" t="s">
        <v>69</v>
      </c>
      <c r="C412">
        <v>2</v>
      </c>
      <c r="D412" t="s">
        <v>80</v>
      </c>
      <c r="E412" t="s">
        <v>86</v>
      </c>
      <c r="F412" t="s">
        <v>82</v>
      </c>
      <c r="G412">
        <v>0</v>
      </c>
      <c r="H412">
        <v>0</v>
      </c>
      <c r="I412">
        <v>0</v>
      </c>
      <c r="J412">
        <v>0</v>
      </c>
      <c r="K412">
        <v>668</v>
      </c>
      <c r="L41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680.04</v>
      </c>
      <c r="W412" s="5">
        <f>IF((DiscreteStatsTable[[#This Row],[RepsRequested]]&gt;1),DiscreteStatsTable[[#This Row],[HalfWidth]],DiscreteStatsTable[[#This Row],[BatchMeansHalfWidth]])</f>
        <v>0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4">
      <c r="A413" t="s">
        <v>67</v>
      </c>
      <c r="B413" t="s">
        <v>69</v>
      </c>
      <c r="C413">
        <v>2</v>
      </c>
      <c r="D413" t="s">
        <v>80</v>
      </c>
      <c r="E413" t="s">
        <v>87</v>
      </c>
      <c r="F413" t="s">
        <v>82</v>
      </c>
      <c r="G413">
        <v>41.600262236705198</v>
      </c>
      <c r="H413">
        <v>3E+20</v>
      </c>
      <c r="I413">
        <v>0</v>
      </c>
      <c r="J413">
        <v>191.856268017698</v>
      </c>
      <c r="K413">
        <v>668</v>
      </c>
      <c r="L41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92.011077552476877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28.394716781335426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37.235943946119903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170.78088451033599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458.06693976826199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680.04</v>
      </c>
      <c r="W413" s="5">
        <f>IF((DiscreteStatsTable[[#This Row],[RepsRequested]]&gt;1),DiscreteStatsTable[[#This Row],[HalfWidth]],DiscreteStatsTable[[#This Row],[BatchMeansHalfWidth]])</f>
        <v>8.0696892219473568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4">
      <c r="A414" t="s">
        <v>67</v>
      </c>
      <c r="B414" t="s">
        <v>69</v>
      </c>
      <c r="C414">
        <v>3</v>
      </c>
      <c r="D414" t="s">
        <v>80</v>
      </c>
      <c r="E414" t="s">
        <v>81</v>
      </c>
      <c r="F414" t="s">
        <v>82</v>
      </c>
      <c r="G414">
        <v>0</v>
      </c>
      <c r="H414">
        <v>0</v>
      </c>
      <c r="I414">
        <v>0</v>
      </c>
      <c r="J414">
        <v>0</v>
      </c>
      <c r="K414">
        <v>628</v>
      </c>
      <c r="L41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0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0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0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0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0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680.04</v>
      </c>
      <c r="W414" s="5">
        <f>IF((DiscreteStatsTable[[#This Row],[RepsRequested]]&gt;1),DiscreteStatsTable[[#This Row],[HalfWidth]],DiscreteStatsTable[[#This Row],[BatchMeansHalfWidth]])</f>
        <v>0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4">
      <c r="A415" t="s">
        <v>67</v>
      </c>
      <c r="B415" t="s">
        <v>69</v>
      </c>
      <c r="C415">
        <v>3</v>
      </c>
      <c r="D415" t="s">
        <v>80</v>
      </c>
      <c r="E415" t="s">
        <v>83</v>
      </c>
      <c r="F415" t="s">
        <v>82</v>
      </c>
      <c r="G415">
        <v>117.191625821298</v>
      </c>
      <c r="H415">
        <v>2.20142344016078</v>
      </c>
      <c r="I415">
        <v>66.588698394028398</v>
      </c>
      <c r="J415">
        <v>175.877967910064</v>
      </c>
      <c r="K415">
        <v>628</v>
      </c>
      <c r="L41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119.072877588487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1.1004315823637869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116.869916756062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121.279055923125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55.773522793583801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203.50100513585599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680.04</v>
      </c>
      <c r="W415" s="5">
        <f>IF((DiscreteStatsTable[[#This Row],[RepsRequested]]&gt;1),DiscreteStatsTable[[#This Row],[HalfWidth]],DiscreteStatsTable[[#This Row],[BatchMeansHalfWidth]])</f>
        <v>0.31273919539597844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4">
      <c r="A416" t="s">
        <v>67</v>
      </c>
      <c r="B416" t="s">
        <v>69</v>
      </c>
      <c r="C416">
        <v>3</v>
      </c>
      <c r="D416" t="s">
        <v>80</v>
      </c>
      <c r="E416" t="s">
        <v>84</v>
      </c>
      <c r="F416" t="s">
        <v>82</v>
      </c>
      <c r="G416">
        <v>251.359891846279</v>
      </c>
      <c r="H416">
        <v>3E+20</v>
      </c>
      <c r="I416">
        <v>85.361118965420005</v>
      </c>
      <c r="J416">
        <v>550.38404454841998</v>
      </c>
      <c r="K416">
        <v>628</v>
      </c>
      <c r="L41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230.87278063103886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28.511985776754724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176.63374267103799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310.30313247646598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74.823945578616801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640.81970303432195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680.04</v>
      </c>
      <c r="W416" s="5">
        <f>IF((DiscreteStatsTable[[#This Row],[RepsRequested]]&gt;1),DiscreteStatsTable[[#This Row],[HalfWidth]],DiscreteStatsTable[[#This Row],[BatchMeansHalfWidth]])</f>
        <v>8.1030167016926651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4">
      <c r="A417" t="s">
        <v>67</v>
      </c>
      <c r="B417" t="s">
        <v>69</v>
      </c>
      <c r="C417">
        <v>3</v>
      </c>
      <c r="D417" t="s">
        <v>80</v>
      </c>
      <c r="E417" t="s">
        <v>85</v>
      </c>
      <c r="F417" t="s">
        <v>82</v>
      </c>
      <c r="G417">
        <v>19.1857398398508</v>
      </c>
      <c r="H417">
        <v>0.57250769421116798</v>
      </c>
      <c r="I417">
        <v>6.6397826729214602</v>
      </c>
      <c r="J417">
        <v>45.659324848129501</v>
      </c>
      <c r="K417">
        <v>628</v>
      </c>
      <c r="L41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19.788825490074792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19.1753932585017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20.6416816415399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6.0540217345149898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49.959821430489797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680.04</v>
      </c>
      <c r="W417" s="5">
        <f>IF((DiscreteStatsTable[[#This Row],[RepsRequested]]&gt;1),DiscreteStatsTable[[#This Row],[HalfWidth]],DiscreteStatsTable[[#This Row],[BatchMeansHalfWidth]])</f>
        <v>9.3664325535411846E-2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4">
      <c r="A418" t="s">
        <v>67</v>
      </c>
      <c r="B418" t="s">
        <v>69</v>
      </c>
      <c r="C418">
        <v>3</v>
      </c>
      <c r="D418" t="s">
        <v>80</v>
      </c>
      <c r="E418" t="s">
        <v>86</v>
      </c>
      <c r="F418" t="s">
        <v>82</v>
      </c>
      <c r="G418">
        <v>0</v>
      </c>
      <c r="H418">
        <v>0</v>
      </c>
      <c r="I418">
        <v>0</v>
      </c>
      <c r="J418">
        <v>0</v>
      </c>
      <c r="K418">
        <v>628</v>
      </c>
      <c r="L41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680.04</v>
      </c>
      <c r="W418" s="5">
        <f>IF((DiscreteStatsTable[[#This Row],[RepsRequested]]&gt;1),DiscreteStatsTable[[#This Row],[HalfWidth]],DiscreteStatsTable[[#This Row],[BatchMeansHalfWidth]])</f>
        <v>0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4">
      <c r="A419" t="s">
        <v>67</v>
      </c>
      <c r="B419" t="s">
        <v>69</v>
      </c>
      <c r="C419">
        <v>3</v>
      </c>
      <c r="D419" t="s">
        <v>80</v>
      </c>
      <c r="E419" t="s">
        <v>87</v>
      </c>
      <c r="F419" t="s">
        <v>82</v>
      </c>
      <c r="G419">
        <v>114.98252618513099</v>
      </c>
      <c r="H419">
        <v>3E+20</v>
      </c>
      <c r="I419">
        <v>0</v>
      </c>
      <c r="J419">
        <v>382.26122678645902</v>
      </c>
      <c r="K419">
        <v>628</v>
      </c>
      <c r="L41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92.011077552476877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28.394716781335426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37.235943946119903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170.78088451033599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458.06693976826199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680.04</v>
      </c>
      <c r="W419" s="5">
        <f>IF((DiscreteStatsTable[[#This Row],[RepsRequested]]&gt;1),DiscreteStatsTable[[#This Row],[HalfWidth]],DiscreteStatsTable[[#This Row],[BatchMeansHalfWidth]])</f>
        <v>8.0696892219473568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4">
      <c r="A420" t="s">
        <v>67</v>
      </c>
      <c r="B420" t="s">
        <v>69</v>
      </c>
      <c r="C420">
        <v>4</v>
      </c>
      <c r="D420" t="s">
        <v>80</v>
      </c>
      <c r="E420" t="s">
        <v>81</v>
      </c>
      <c r="F420" t="s">
        <v>82</v>
      </c>
      <c r="G420">
        <v>0</v>
      </c>
      <c r="H420">
        <v>0</v>
      </c>
      <c r="I420">
        <v>0</v>
      </c>
      <c r="J420">
        <v>0</v>
      </c>
      <c r="K420">
        <v>644</v>
      </c>
      <c r="L42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0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0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0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0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0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680.04</v>
      </c>
      <c r="W420" s="5">
        <f>IF((DiscreteStatsTable[[#This Row],[RepsRequested]]&gt;1),DiscreteStatsTable[[#This Row],[HalfWidth]],DiscreteStatsTable[[#This Row],[BatchMeansHalfWidth]])</f>
        <v>0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4">
      <c r="A421" t="s">
        <v>67</v>
      </c>
      <c r="B421" t="s">
        <v>69</v>
      </c>
      <c r="C421">
        <v>4</v>
      </c>
      <c r="D421" t="s">
        <v>80</v>
      </c>
      <c r="E421" t="s">
        <v>83</v>
      </c>
      <c r="F421" t="s">
        <v>82</v>
      </c>
      <c r="G421">
        <v>116.877699464787</v>
      </c>
      <c r="H421">
        <v>2.5382984370725001</v>
      </c>
      <c r="I421">
        <v>64.795746725124303</v>
      </c>
      <c r="J421">
        <v>177.34257810323001</v>
      </c>
      <c r="K421">
        <v>644</v>
      </c>
      <c r="L42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119.072877588487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1.1004315823637869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116.869916756062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121.279055923125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55.773522793583801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203.50100513585599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680.04</v>
      </c>
      <c r="W421" s="5">
        <f>IF((DiscreteStatsTable[[#This Row],[RepsRequested]]&gt;1),DiscreteStatsTable[[#This Row],[HalfWidth]],DiscreteStatsTable[[#This Row],[BatchMeansHalfWidth]])</f>
        <v>0.31273919539597844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4">
      <c r="A422" t="s">
        <v>67</v>
      </c>
      <c r="B422" t="s">
        <v>69</v>
      </c>
      <c r="C422">
        <v>4</v>
      </c>
      <c r="D422" t="s">
        <v>80</v>
      </c>
      <c r="E422" t="s">
        <v>84</v>
      </c>
      <c r="F422" t="s">
        <v>82</v>
      </c>
      <c r="G422">
        <v>237.02236533279299</v>
      </c>
      <c r="H422">
        <v>3E+20</v>
      </c>
      <c r="I422">
        <v>75.738103637758201</v>
      </c>
      <c r="J422">
        <v>419.57622927480702</v>
      </c>
      <c r="K422">
        <v>644</v>
      </c>
      <c r="L42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230.87278063103886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28.511985776754724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176.63374267103799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310.30313247646598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74.823945578616801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640.81970303432195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680.04</v>
      </c>
      <c r="W422" s="5">
        <f>IF((DiscreteStatsTable[[#This Row],[RepsRequested]]&gt;1),DiscreteStatsTable[[#This Row],[HalfWidth]],DiscreteStatsTable[[#This Row],[BatchMeansHalfWidth]])</f>
        <v>8.1030167016926651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4">
      <c r="A423" t="s">
        <v>67</v>
      </c>
      <c r="B423" t="s">
        <v>69</v>
      </c>
      <c r="C423">
        <v>4</v>
      </c>
      <c r="D423" t="s">
        <v>80</v>
      </c>
      <c r="E423" t="s">
        <v>85</v>
      </c>
      <c r="F423" t="s">
        <v>82</v>
      </c>
      <c r="G423">
        <v>19.625109419236701</v>
      </c>
      <c r="H423">
        <v>0.67673935011503195</v>
      </c>
      <c r="I423">
        <v>6.4051840405065796</v>
      </c>
      <c r="J423">
        <v>49.133216198834397</v>
      </c>
      <c r="K423">
        <v>644</v>
      </c>
      <c r="L42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19.788825490074792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19.1753932585017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20.6416816415399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6.0540217345149898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49.959821430489797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680.04</v>
      </c>
      <c r="W423" s="5">
        <f>IF((DiscreteStatsTable[[#This Row],[RepsRequested]]&gt;1),DiscreteStatsTable[[#This Row],[HalfWidth]],DiscreteStatsTable[[#This Row],[BatchMeansHalfWidth]])</f>
        <v>9.3664325535411846E-2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4">
      <c r="A424" t="s">
        <v>67</v>
      </c>
      <c r="B424" t="s">
        <v>69</v>
      </c>
      <c r="C424">
        <v>4</v>
      </c>
      <c r="D424" t="s">
        <v>80</v>
      </c>
      <c r="E424" t="s">
        <v>86</v>
      </c>
      <c r="F424" t="s">
        <v>82</v>
      </c>
      <c r="G424">
        <v>0</v>
      </c>
      <c r="H424">
        <v>0</v>
      </c>
      <c r="I424">
        <v>0</v>
      </c>
      <c r="J424">
        <v>0</v>
      </c>
      <c r="K424">
        <v>644</v>
      </c>
      <c r="L42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680.04</v>
      </c>
      <c r="W424" s="5">
        <f>IF((DiscreteStatsTable[[#This Row],[RepsRequested]]&gt;1),DiscreteStatsTable[[#This Row],[HalfWidth]],DiscreteStatsTable[[#This Row],[BatchMeansHalfWidth]])</f>
        <v>0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4">
      <c r="A425" t="s">
        <v>67</v>
      </c>
      <c r="B425" t="s">
        <v>69</v>
      </c>
      <c r="C425">
        <v>4</v>
      </c>
      <c r="D425" t="s">
        <v>80</v>
      </c>
      <c r="E425" t="s">
        <v>87</v>
      </c>
      <c r="F425" t="s">
        <v>82</v>
      </c>
      <c r="G425">
        <v>100.51955644877</v>
      </c>
      <c r="H425">
        <v>3E+20</v>
      </c>
      <c r="I425">
        <v>0</v>
      </c>
      <c r="J425">
        <v>230.07635426370001</v>
      </c>
      <c r="K425">
        <v>644</v>
      </c>
      <c r="L42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92.011077552476877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28.394716781335426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37.235943946119903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170.78088451033599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458.06693976826199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680.04</v>
      </c>
      <c r="W425" s="5">
        <f>IF((DiscreteStatsTable[[#This Row],[RepsRequested]]&gt;1),DiscreteStatsTable[[#This Row],[HalfWidth]],DiscreteStatsTable[[#This Row],[BatchMeansHalfWidth]])</f>
        <v>8.0696892219473568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4">
      <c r="A426" t="s">
        <v>67</v>
      </c>
      <c r="B426" t="s">
        <v>69</v>
      </c>
      <c r="C426">
        <v>5</v>
      </c>
      <c r="D426" t="s">
        <v>80</v>
      </c>
      <c r="E426" t="s">
        <v>81</v>
      </c>
      <c r="F426" t="s">
        <v>82</v>
      </c>
      <c r="G426">
        <v>0</v>
      </c>
      <c r="H426">
        <v>0</v>
      </c>
      <c r="I426">
        <v>0</v>
      </c>
      <c r="J426">
        <v>0</v>
      </c>
      <c r="K426">
        <v>691</v>
      </c>
      <c r="L42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0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0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0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0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0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680.04</v>
      </c>
      <c r="W426" s="5">
        <f>IF((DiscreteStatsTable[[#This Row],[RepsRequested]]&gt;1),DiscreteStatsTable[[#This Row],[HalfWidth]],DiscreteStatsTable[[#This Row],[BatchMeansHalfWidth]])</f>
        <v>0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4">
      <c r="A427" t="s">
        <v>67</v>
      </c>
      <c r="B427" t="s">
        <v>69</v>
      </c>
      <c r="C427">
        <v>5</v>
      </c>
      <c r="D427" t="s">
        <v>80</v>
      </c>
      <c r="E427" t="s">
        <v>83</v>
      </c>
      <c r="F427" t="s">
        <v>82</v>
      </c>
      <c r="G427">
        <v>119.13871888067</v>
      </c>
      <c r="H427">
        <v>2.5820515981077201</v>
      </c>
      <c r="I427">
        <v>68.735364694904803</v>
      </c>
      <c r="J427">
        <v>188.12068151584799</v>
      </c>
      <c r="K427">
        <v>691</v>
      </c>
      <c r="L42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119.072877588487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1.1004315823637869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116.869916756062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121.279055923125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55.773522793583801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203.50100513585599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680.04</v>
      </c>
      <c r="W427" s="5">
        <f>IF((DiscreteStatsTable[[#This Row],[RepsRequested]]&gt;1),DiscreteStatsTable[[#This Row],[HalfWidth]],DiscreteStatsTable[[#This Row],[BatchMeansHalfWidth]])</f>
        <v>0.31273919539597844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4">
      <c r="A428" t="s">
        <v>67</v>
      </c>
      <c r="B428" t="s">
        <v>69</v>
      </c>
      <c r="C428">
        <v>5</v>
      </c>
      <c r="D428" t="s">
        <v>80</v>
      </c>
      <c r="E428" t="s">
        <v>84</v>
      </c>
      <c r="F428" t="s">
        <v>82</v>
      </c>
      <c r="G428">
        <v>207.90699102956901</v>
      </c>
      <c r="H428">
        <v>3E+20</v>
      </c>
      <c r="I428">
        <v>82.745736993129896</v>
      </c>
      <c r="J428">
        <v>399.09983856909099</v>
      </c>
      <c r="K428">
        <v>691</v>
      </c>
      <c r="L42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230.87278063103886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28.511985776754724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176.63374267103799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310.30313247646598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74.823945578616801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640.81970303432195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680.04</v>
      </c>
      <c r="W428" s="5">
        <f>IF((DiscreteStatsTable[[#This Row],[RepsRequested]]&gt;1),DiscreteStatsTable[[#This Row],[HalfWidth]],DiscreteStatsTable[[#This Row],[BatchMeansHalfWidth]])</f>
        <v>8.1030167016926651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4">
      <c r="A429" t="s">
        <v>67</v>
      </c>
      <c r="B429" t="s">
        <v>69</v>
      </c>
      <c r="C429">
        <v>5</v>
      </c>
      <c r="D429" t="s">
        <v>80</v>
      </c>
      <c r="E429" t="s">
        <v>85</v>
      </c>
      <c r="F429" t="s">
        <v>82</v>
      </c>
      <c r="G429">
        <v>20.011148830794099</v>
      </c>
      <c r="H429">
        <v>0.72071183989690202</v>
      </c>
      <c r="I429">
        <v>6.9847956078670004</v>
      </c>
      <c r="J429">
        <v>48.981613974225397</v>
      </c>
      <c r="K429">
        <v>691</v>
      </c>
      <c r="L42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19.788825490074792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19.1753932585017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20.6416816415399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6.0540217345149898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49.959821430489797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680.04</v>
      </c>
      <c r="W429" s="5">
        <f>IF((DiscreteStatsTable[[#This Row],[RepsRequested]]&gt;1),DiscreteStatsTable[[#This Row],[HalfWidth]],DiscreteStatsTable[[#This Row],[BatchMeansHalfWidth]])</f>
        <v>9.3664325535411846E-2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4">
      <c r="A430" t="s">
        <v>67</v>
      </c>
      <c r="B430" t="s">
        <v>69</v>
      </c>
      <c r="C430">
        <v>5</v>
      </c>
      <c r="D430" t="s">
        <v>80</v>
      </c>
      <c r="E430" t="s">
        <v>86</v>
      </c>
      <c r="F430" t="s">
        <v>82</v>
      </c>
      <c r="G430">
        <v>0</v>
      </c>
      <c r="H430">
        <v>0</v>
      </c>
      <c r="I430">
        <v>0</v>
      </c>
      <c r="J430">
        <v>0</v>
      </c>
      <c r="K430">
        <v>691</v>
      </c>
      <c r="L43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680.04</v>
      </c>
      <c r="W430" s="5">
        <f>IF((DiscreteStatsTable[[#This Row],[RepsRequested]]&gt;1),DiscreteStatsTable[[#This Row],[HalfWidth]],DiscreteStatsTable[[#This Row],[BatchMeansHalfWidth]])</f>
        <v>0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4">
      <c r="A431" t="s">
        <v>67</v>
      </c>
      <c r="B431" t="s">
        <v>69</v>
      </c>
      <c r="C431">
        <v>5</v>
      </c>
      <c r="D431" t="s">
        <v>80</v>
      </c>
      <c r="E431" t="s">
        <v>87</v>
      </c>
      <c r="F431" t="s">
        <v>82</v>
      </c>
      <c r="G431">
        <v>68.757123318104107</v>
      </c>
      <c r="H431">
        <v>3E+20</v>
      </c>
      <c r="I431">
        <v>0</v>
      </c>
      <c r="J431">
        <v>221.17558788925001</v>
      </c>
      <c r="K431">
        <v>691</v>
      </c>
      <c r="L43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92.011077552476877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28.394716781335426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37.235943946119903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170.78088451033599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458.06693976826199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680.04</v>
      </c>
      <c r="W431" s="5">
        <f>IF((DiscreteStatsTable[[#This Row],[RepsRequested]]&gt;1),DiscreteStatsTable[[#This Row],[HalfWidth]],DiscreteStatsTable[[#This Row],[BatchMeansHalfWidth]])</f>
        <v>8.0696892219473568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4">
      <c r="A432" t="s">
        <v>67</v>
      </c>
      <c r="B432" t="s">
        <v>69</v>
      </c>
      <c r="C432">
        <v>6</v>
      </c>
      <c r="D432" t="s">
        <v>80</v>
      </c>
      <c r="E432" t="s">
        <v>81</v>
      </c>
      <c r="F432" t="s">
        <v>82</v>
      </c>
      <c r="G432">
        <v>0</v>
      </c>
      <c r="H432">
        <v>0</v>
      </c>
      <c r="I432">
        <v>0</v>
      </c>
      <c r="J432">
        <v>0</v>
      </c>
      <c r="K432">
        <v>758</v>
      </c>
      <c r="L43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0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0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0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0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0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680.04</v>
      </c>
      <c r="W432" s="5">
        <f>IF((DiscreteStatsTable[[#This Row],[RepsRequested]]&gt;1),DiscreteStatsTable[[#This Row],[HalfWidth]],DiscreteStatsTable[[#This Row],[BatchMeansHalfWidth]])</f>
        <v>0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4">
      <c r="A433" t="s">
        <v>67</v>
      </c>
      <c r="B433" t="s">
        <v>69</v>
      </c>
      <c r="C433">
        <v>6</v>
      </c>
      <c r="D433" t="s">
        <v>80</v>
      </c>
      <c r="E433" t="s">
        <v>83</v>
      </c>
      <c r="F433" t="s">
        <v>82</v>
      </c>
      <c r="G433">
        <v>119.124985720422</v>
      </c>
      <c r="H433">
        <v>2.3526318128281098</v>
      </c>
      <c r="I433">
        <v>68.282368224566099</v>
      </c>
      <c r="J433">
        <v>180.80109216877301</v>
      </c>
      <c r="K433">
        <v>758</v>
      </c>
      <c r="L43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119.072877588487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1.1004315823637869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116.869916756062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121.279055923125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55.773522793583801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203.50100513585599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680.04</v>
      </c>
      <c r="W433" s="5">
        <f>IF((DiscreteStatsTable[[#This Row],[RepsRequested]]&gt;1),DiscreteStatsTable[[#This Row],[HalfWidth]],DiscreteStatsTable[[#This Row],[BatchMeansHalfWidth]])</f>
        <v>0.31273919539597844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4">
      <c r="A434" t="s">
        <v>67</v>
      </c>
      <c r="B434" t="s">
        <v>69</v>
      </c>
      <c r="C434">
        <v>6</v>
      </c>
      <c r="D434" t="s">
        <v>80</v>
      </c>
      <c r="E434" t="s">
        <v>84</v>
      </c>
      <c r="F434" t="s">
        <v>82</v>
      </c>
      <c r="G434">
        <v>199.98364501063199</v>
      </c>
      <c r="H434">
        <v>3E+20</v>
      </c>
      <c r="I434">
        <v>78.979775942843304</v>
      </c>
      <c r="J434">
        <v>392.00720497628799</v>
      </c>
      <c r="K434">
        <v>758</v>
      </c>
      <c r="L43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230.87278063103886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28.511985776754724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176.63374267103799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310.30313247646598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74.823945578616801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640.81970303432195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680.04</v>
      </c>
      <c r="W434" s="5">
        <f>IF((DiscreteStatsTable[[#This Row],[RepsRequested]]&gt;1),DiscreteStatsTable[[#This Row],[HalfWidth]],DiscreteStatsTable[[#This Row],[BatchMeansHalfWidth]])</f>
        <v>8.1030167016926651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4">
      <c r="A435" t="s">
        <v>67</v>
      </c>
      <c r="B435" t="s">
        <v>69</v>
      </c>
      <c r="C435">
        <v>6</v>
      </c>
      <c r="D435" t="s">
        <v>80</v>
      </c>
      <c r="E435" t="s">
        <v>85</v>
      </c>
      <c r="F435" t="s">
        <v>82</v>
      </c>
      <c r="G435">
        <v>20.1872707445347</v>
      </c>
      <c r="H435">
        <v>0.70798489699179601</v>
      </c>
      <c r="I435">
        <v>6.4358235587569697</v>
      </c>
      <c r="J435">
        <v>46.9345749654209</v>
      </c>
      <c r="K435">
        <v>758</v>
      </c>
      <c r="L43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19.788825490074792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19.1753932585017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20.6416816415399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6.0540217345149898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49.959821430489797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680.04</v>
      </c>
      <c r="W435" s="5">
        <f>IF((DiscreteStatsTable[[#This Row],[RepsRequested]]&gt;1),DiscreteStatsTable[[#This Row],[HalfWidth]],DiscreteStatsTable[[#This Row],[BatchMeansHalfWidth]])</f>
        <v>9.3664325535411846E-2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4">
      <c r="A436" t="s">
        <v>67</v>
      </c>
      <c r="B436" t="s">
        <v>69</v>
      </c>
      <c r="C436">
        <v>6</v>
      </c>
      <c r="D436" t="s">
        <v>80</v>
      </c>
      <c r="E436" t="s">
        <v>86</v>
      </c>
      <c r="F436" t="s">
        <v>82</v>
      </c>
      <c r="G436">
        <v>0</v>
      </c>
      <c r="H436">
        <v>0</v>
      </c>
      <c r="I436">
        <v>0</v>
      </c>
      <c r="J436">
        <v>0</v>
      </c>
      <c r="K436">
        <v>758</v>
      </c>
      <c r="L43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680.04</v>
      </c>
      <c r="W436" s="5">
        <f>IF((DiscreteStatsTable[[#This Row],[RepsRequested]]&gt;1),DiscreteStatsTable[[#This Row],[HalfWidth]],DiscreteStatsTable[[#This Row],[BatchMeansHalfWidth]])</f>
        <v>0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4">
      <c r="A437" t="s">
        <v>67</v>
      </c>
      <c r="B437" t="s">
        <v>69</v>
      </c>
      <c r="C437">
        <v>6</v>
      </c>
      <c r="D437" t="s">
        <v>80</v>
      </c>
      <c r="E437" t="s">
        <v>87</v>
      </c>
      <c r="F437" t="s">
        <v>82</v>
      </c>
      <c r="G437">
        <v>60.671388545675399</v>
      </c>
      <c r="H437">
        <v>3E+20</v>
      </c>
      <c r="I437">
        <v>0</v>
      </c>
      <c r="J437">
        <v>202.09687479487201</v>
      </c>
      <c r="K437">
        <v>758</v>
      </c>
      <c r="L43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92.011077552476877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28.394716781335426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37.235943946119903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170.78088451033599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458.06693976826199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680.04</v>
      </c>
      <c r="W437" s="5">
        <f>IF((DiscreteStatsTable[[#This Row],[RepsRequested]]&gt;1),DiscreteStatsTable[[#This Row],[HalfWidth]],DiscreteStatsTable[[#This Row],[BatchMeansHalfWidth]])</f>
        <v>8.0696892219473568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4">
      <c r="A438" t="s">
        <v>67</v>
      </c>
      <c r="B438" t="s">
        <v>69</v>
      </c>
      <c r="C438">
        <v>7</v>
      </c>
      <c r="D438" t="s">
        <v>80</v>
      </c>
      <c r="E438" t="s">
        <v>81</v>
      </c>
      <c r="F438" t="s">
        <v>82</v>
      </c>
      <c r="G438">
        <v>0</v>
      </c>
      <c r="H438">
        <v>0</v>
      </c>
      <c r="I438">
        <v>0</v>
      </c>
      <c r="J438">
        <v>0</v>
      </c>
      <c r="K438">
        <v>646</v>
      </c>
      <c r="L43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0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0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0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0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0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680.04</v>
      </c>
      <c r="W438" s="5">
        <f>IF((DiscreteStatsTable[[#This Row],[RepsRequested]]&gt;1),DiscreteStatsTable[[#This Row],[HalfWidth]],DiscreteStatsTable[[#This Row],[BatchMeansHalfWidth]])</f>
        <v>0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4">
      <c r="A439" t="s">
        <v>67</v>
      </c>
      <c r="B439" t="s">
        <v>69</v>
      </c>
      <c r="C439">
        <v>7</v>
      </c>
      <c r="D439" t="s">
        <v>80</v>
      </c>
      <c r="E439" t="s">
        <v>83</v>
      </c>
      <c r="F439" t="s">
        <v>82</v>
      </c>
      <c r="G439">
        <v>119.07388127106999</v>
      </c>
      <c r="H439">
        <v>2.1367369083583498</v>
      </c>
      <c r="I439">
        <v>65.387044020491302</v>
      </c>
      <c r="J439">
        <v>182.86796713253199</v>
      </c>
      <c r="K439">
        <v>646</v>
      </c>
      <c r="L43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119.072877588487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1.1004315823637869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116.869916756062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121.279055923125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55.773522793583801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203.50100513585599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680.04</v>
      </c>
      <c r="W439" s="5">
        <f>IF((DiscreteStatsTable[[#This Row],[RepsRequested]]&gt;1),DiscreteStatsTable[[#This Row],[HalfWidth]],DiscreteStatsTable[[#This Row],[BatchMeansHalfWidth]])</f>
        <v>0.31273919539597844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4">
      <c r="A440" t="s">
        <v>67</v>
      </c>
      <c r="B440" t="s">
        <v>69</v>
      </c>
      <c r="C440">
        <v>7</v>
      </c>
      <c r="D440" t="s">
        <v>80</v>
      </c>
      <c r="E440" t="s">
        <v>84</v>
      </c>
      <c r="F440" t="s">
        <v>82</v>
      </c>
      <c r="G440">
        <v>251.14555951615301</v>
      </c>
      <c r="H440">
        <v>3E+20</v>
      </c>
      <c r="I440">
        <v>76.814296563962102</v>
      </c>
      <c r="J440">
        <v>532.27288183817495</v>
      </c>
      <c r="K440">
        <v>646</v>
      </c>
      <c r="L44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230.87278063103886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28.511985776754724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176.63374267103799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310.30313247646598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74.823945578616801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640.81970303432195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680.04</v>
      </c>
      <c r="W440" s="5">
        <f>IF((DiscreteStatsTable[[#This Row],[RepsRequested]]&gt;1),DiscreteStatsTable[[#This Row],[HalfWidth]],DiscreteStatsTable[[#This Row],[BatchMeansHalfWidth]])</f>
        <v>8.1030167016926651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4">
      <c r="A441" t="s">
        <v>67</v>
      </c>
      <c r="B441" t="s">
        <v>69</v>
      </c>
      <c r="C441">
        <v>7</v>
      </c>
      <c r="D441" t="s">
        <v>80</v>
      </c>
      <c r="E441" t="s">
        <v>85</v>
      </c>
      <c r="F441" t="s">
        <v>82</v>
      </c>
      <c r="G441">
        <v>19.7717970964854</v>
      </c>
      <c r="H441">
        <v>0.60360951544889596</v>
      </c>
      <c r="I441">
        <v>6.17047927606166</v>
      </c>
      <c r="J441">
        <v>46.801600636132697</v>
      </c>
      <c r="K441">
        <v>646</v>
      </c>
      <c r="L44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19.788825490074792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19.1753932585017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20.6416816415399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6.0540217345149898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49.959821430489797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680.04</v>
      </c>
      <c r="W441" s="5">
        <f>IF((DiscreteStatsTable[[#This Row],[RepsRequested]]&gt;1),DiscreteStatsTable[[#This Row],[HalfWidth]],DiscreteStatsTable[[#This Row],[BatchMeansHalfWidth]])</f>
        <v>9.3664325535411846E-2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4">
      <c r="A442" t="s">
        <v>67</v>
      </c>
      <c r="B442" t="s">
        <v>69</v>
      </c>
      <c r="C442">
        <v>7</v>
      </c>
      <c r="D442" t="s">
        <v>80</v>
      </c>
      <c r="E442" t="s">
        <v>86</v>
      </c>
      <c r="F442" t="s">
        <v>82</v>
      </c>
      <c r="G442">
        <v>0</v>
      </c>
      <c r="H442">
        <v>0</v>
      </c>
      <c r="I442">
        <v>0</v>
      </c>
      <c r="J442">
        <v>0</v>
      </c>
      <c r="K442">
        <v>646</v>
      </c>
      <c r="L44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680.04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4">
      <c r="A443" t="s">
        <v>67</v>
      </c>
      <c r="B443" t="s">
        <v>69</v>
      </c>
      <c r="C443">
        <v>7</v>
      </c>
      <c r="D443" t="s">
        <v>80</v>
      </c>
      <c r="E443" t="s">
        <v>87</v>
      </c>
      <c r="F443" t="s">
        <v>82</v>
      </c>
      <c r="G443">
        <v>112.299881148598</v>
      </c>
      <c r="H443">
        <v>3E+20</v>
      </c>
      <c r="I443">
        <v>0</v>
      </c>
      <c r="J443">
        <v>328.58818610327398</v>
      </c>
      <c r="K443">
        <v>646</v>
      </c>
      <c r="L44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92.011077552476877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28.394716781335426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37.235943946119903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170.78088451033599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458.06693976826199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680.04</v>
      </c>
      <c r="W443" s="5">
        <f>IF((DiscreteStatsTable[[#This Row],[RepsRequested]]&gt;1),DiscreteStatsTable[[#This Row],[HalfWidth]],DiscreteStatsTable[[#This Row],[BatchMeansHalfWidth]])</f>
        <v>8.0696892219473568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4">
      <c r="A444" t="s">
        <v>67</v>
      </c>
      <c r="B444" t="s">
        <v>69</v>
      </c>
      <c r="C444">
        <v>8</v>
      </c>
      <c r="D444" t="s">
        <v>80</v>
      </c>
      <c r="E444" t="s">
        <v>81</v>
      </c>
      <c r="F444" t="s">
        <v>82</v>
      </c>
      <c r="G444">
        <v>0</v>
      </c>
      <c r="H444">
        <v>0</v>
      </c>
      <c r="I444">
        <v>0</v>
      </c>
      <c r="J444">
        <v>0</v>
      </c>
      <c r="K444">
        <v>604</v>
      </c>
      <c r="L44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0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0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0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0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0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680.04</v>
      </c>
      <c r="W444" s="5">
        <f>IF((DiscreteStatsTable[[#This Row],[RepsRequested]]&gt;1),DiscreteStatsTable[[#This Row],[HalfWidth]],DiscreteStatsTable[[#This Row],[BatchMeansHalfWidth]])</f>
        <v>0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4">
      <c r="A445" t="s">
        <v>67</v>
      </c>
      <c r="B445" t="s">
        <v>69</v>
      </c>
      <c r="C445">
        <v>8</v>
      </c>
      <c r="D445" t="s">
        <v>80</v>
      </c>
      <c r="E445" t="s">
        <v>83</v>
      </c>
      <c r="F445" t="s">
        <v>82</v>
      </c>
      <c r="G445">
        <v>119.794651622469</v>
      </c>
      <c r="H445">
        <v>2.21693346468729</v>
      </c>
      <c r="I445">
        <v>62.326898195698398</v>
      </c>
      <c r="J445">
        <v>185.33754611805</v>
      </c>
      <c r="K445">
        <v>604</v>
      </c>
      <c r="L44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119.072877588487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1.1004315823637869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116.869916756062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121.279055923125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55.773522793583801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203.50100513585599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680.04</v>
      </c>
      <c r="W445" s="5">
        <f>IF((DiscreteStatsTable[[#This Row],[RepsRequested]]&gt;1),DiscreteStatsTable[[#This Row],[HalfWidth]],DiscreteStatsTable[[#This Row],[BatchMeansHalfWidth]])</f>
        <v>0.31273919539597844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4">
      <c r="A446" t="s">
        <v>67</v>
      </c>
      <c r="B446" t="s">
        <v>69</v>
      </c>
      <c r="C446">
        <v>8</v>
      </c>
      <c r="D446" t="s">
        <v>80</v>
      </c>
      <c r="E446" t="s">
        <v>84</v>
      </c>
      <c r="F446" t="s">
        <v>82</v>
      </c>
      <c r="G446">
        <v>310.30313247646598</v>
      </c>
      <c r="H446">
        <v>3E+20</v>
      </c>
      <c r="I446">
        <v>87.441616143834594</v>
      </c>
      <c r="J446">
        <v>573.88916232737301</v>
      </c>
      <c r="K446">
        <v>604</v>
      </c>
      <c r="L44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230.87278063103886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28.511985776754724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176.63374267103799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310.30313247646598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74.823945578616801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640.81970303432195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680.04</v>
      </c>
      <c r="W446" s="5">
        <f>IF((DiscreteStatsTable[[#This Row],[RepsRequested]]&gt;1),DiscreteStatsTable[[#This Row],[HalfWidth]],DiscreteStatsTable[[#This Row],[BatchMeansHalfWidth]])</f>
        <v>8.1030167016926651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4">
      <c r="A447" t="s">
        <v>67</v>
      </c>
      <c r="B447" t="s">
        <v>69</v>
      </c>
      <c r="C447">
        <v>8</v>
      </c>
      <c r="D447" t="s">
        <v>80</v>
      </c>
      <c r="E447" t="s">
        <v>85</v>
      </c>
      <c r="F447" t="s">
        <v>82</v>
      </c>
      <c r="G447">
        <v>19.727596343660199</v>
      </c>
      <c r="H447">
        <v>0.68389839975958999</v>
      </c>
      <c r="I447">
        <v>6.4336773261618401</v>
      </c>
      <c r="J447">
        <v>43.961258818506103</v>
      </c>
      <c r="K447">
        <v>604</v>
      </c>
      <c r="L44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19.788825490074792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19.1753932585017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20.6416816415399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6.0540217345149898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49.959821430489797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680.04</v>
      </c>
      <c r="W447" s="5">
        <f>IF((DiscreteStatsTable[[#This Row],[RepsRequested]]&gt;1),DiscreteStatsTable[[#This Row],[HalfWidth]],DiscreteStatsTable[[#This Row],[BatchMeansHalfWidth]])</f>
        <v>9.3664325535411846E-2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4">
      <c r="A448" t="s">
        <v>67</v>
      </c>
      <c r="B448" t="s">
        <v>69</v>
      </c>
      <c r="C448">
        <v>8</v>
      </c>
      <c r="D448" t="s">
        <v>80</v>
      </c>
      <c r="E448" t="s">
        <v>86</v>
      </c>
      <c r="F448" t="s">
        <v>82</v>
      </c>
      <c r="G448">
        <v>0</v>
      </c>
      <c r="H448">
        <v>0</v>
      </c>
      <c r="I448">
        <v>0</v>
      </c>
      <c r="J448">
        <v>0</v>
      </c>
      <c r="K448">
        <v>604</v>
      </c>
      <c r="L44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680.04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4">
      <c r="A449" t="s">
        <v>67</v>
      </c>
      <c r="B449" t="s">
        <v>69</v>
      </c>
      <c r="C449">
        <v>8</v>
      </c>
      <c r="D449" t="s">
        <v>80</v>
      </c>
      <c r="E449" t="s">
        <v>87</v>
      </c>
      <c r="F449" t="s">
        <v>82</v>
      </c>
      <c r="G449">
        <v>170.78088451033599</v>
      </c>
      <c r="H449">
        <v>3E+20</v>
      </c>
      <c r="I449">
        <v>0</v>
      </c>
      <c r="J449">
        <v>374.21698857487002</v>
      </c>
      <c r="K449">
        <v>604</v>
      </c>
      <c r="L44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92.011077552476877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28.394716781335426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37.235943946119903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170.78088451033599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458.06693976826199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680.04</v>
      </c>
      <c r="W449" s="5">
        <f>IF((DiscreteStatsTable[[#This Row],[RepsRequested]]&gt;1),DiscreteStatsTable[[#This Row],[HalfWidth]],DiscreteStatsTable[[#This Row],[BatchMeansHalfWidth]])</f>
        <v>8.0696892219473568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4">
      <c r="A450" t="s">
        <v>67</v>
      </c>
      <c r="B450" t="s">
        <v>69</v>
      </c>
      <c r="C450">
        <v>9</v>
      </c>
      <c r="D450" t="s">
        <v>80</v>
      </c>
      <c r="E450" t="s">
        <v>81</v>
      </c>
      <c r="F450" t="s">
        <v>82</v>
      </c>
      <c r="G450">
        <v>0</v>
      </c>
      <c r="H450">
        <v>0</v>
      </c>
      <c r="I450">
        <v>0</v>
      </c>
      <c r="J450">
        <v>0</v>
      </c>
      <c r="K450">
        <v>690</v>
      </c>
      <c r="L45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0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0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0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0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0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680.04</v>
      </c>
      <c r="W450" s="5">
        <f>IF((DiscreteStatsTable[[#This Row],[RepsRequested]]&gt;1),DiscreteStatsTable[[#This Row],[HalfWidth]],DiscreteStatsTable[[#This Row],[BatchMeansHalfWidth]])</f>
        <v>0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4">
      <c r="A451" t="s">
        <v>67</v>
      </c>
      <c r="B451" t="s">
        <v>69</v>
      </c>
      <c r="C451">
        <v>9</v>
      </c>
      <c r="D451" t="s">
        <v>80</v>
      </c>
      <c r="E451" t="s">
        <v>83</v>
      </c>
      <c r="F451" t="s">
        <v>82</v>
      </c>
      <c r="G451">
        <v>117.47406087389</v>
      </c>
      <c r="H451">
        <v>3.1535754482704399</v>
      </c>
      <c r="I451">
        <v>66.505207334200605</v>
      </c>
      <c r="J451">
        <v>175.02157583913601</v>
      </c>
      <c r="K451">
        <v>690</v>
      </c>
      <c r="L45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119.072877588487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1.1004315823637869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116.869916756062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121.279055923125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55.773522793583801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203.50100513585599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680.04</v>
      </c>
      <c r="W451" s="5">
        <f>IF((DiscreteStatsTable[[#This Row],[RepsRequested]]&gt;1),DiscreteStatsTable[[#This Row],[HalfWidth]],DiscreteStatsTable[[#This Row],[BatchMeansHalfWidth]])</f>
        <v>0.31273919539597844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4">
      <c r="A452" t="s">
        <v>67</v>
      </c>
      <c r="B452" t="s">
        <v>69</v>
      </c>
      <c r="C452">
        <v>9</v>
      </c>
      <c r="D452" t="s">
        <v>80</v>
      </c>
      <c r="E452" t="s">
        <v>84</v>
      </c>
      <c r="F452" t="s">
        <v>82</v>
      </c>
      <c r="G452">
        <v>231.67224244617299</v>
      </c>
      <c r="H452">
        <v>3E+20</v>
      </c>
      <c r="I452">
        <v>77.070313483282206</v>
      </c>
      <c r="J452">
        <v>477.59322432393401</v>
      </c>
      <c r="K452">
        <v>690</v>
      </c>
      <c r="L45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230.87278063103886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28.511985776754724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176.63374267103799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310.30313247646598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74.823945578616801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640.81970303432195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680.04</v>
      </c>
      <c r="W452" s="5">
        <f>IF((DiscreteStatsTable[[#This Row],[RepsRequested]]&gt;1),DiscreteStatsTable[[#This Row],[HalfWidth]],DiscreteStatsTable[[#This Row],[BatchMeansHalfWidth]])</f>
        <v>8.1030167016926651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4">
      <c r="A453" t="s">
        <v>67</v>
      </c>
      <c r="B453" t="s">
        <v>69</v>
      </c>
      <c r="C453">
        <v>9</v>
      </c>
      <c r="D453" t="s">
        <v>80</v>
      </c>
      <c r="E453" t="s">
        <v>85</v>
      </c>
      <c r="F453" t="s">
        <v>82</v>
      </c>
      <c r="G453">
        <v>19.317788033833601</v>
      </c>
      <c r="H453">
        <v>0.831117001296938</v>
      </c>
      <c r="I453">
        <v>6.5128936988189698</v>
      </c>
      <c r="J453">
        <v>45.871374936334597</v>
      </c>
      <c r="K453">
        <v>690</v>
      </c>
      <c r="L45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19.788825490074792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19.1753932585017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20.6416816415399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6.0540217345149898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49.959821430489797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680.04</v>
      </c>
      <c r="W453" s="5">
        <f>IF((DiscreteStatsTable[[#This Row],[RepsRequested]]&gt;1),DiscreteStatsTable[[#This Row],[HalfWidth]],DiscreteStatsTable[[#This Row],[BatchMeansHalfWidth]])</f>
        <v>9.3664325535411846E-2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4">
      <c r="A454" t="s">
        <v>67</v>
      </c>
      <c r="B454" t="s">
        <v>69</v>
      </c>
      <c r="C454">
        <v>9</v>
      </c>
      <c r="D454" t="s">
        <v>80</v>
      </c>
      <c r="E454" t="s">
        <v>86</v>
      </c>
      <c r="F454" t="s">
        <v>82</v>
      </c>
      <c r="G454">
        <v>0</v>
      </c>
      <c r="H454">
        <v>0</v>
      </c>
      <c r="I454">
        <v>0</v>
      </c>
      <c r="J454">
        <v>0</v>
      </c>
      <c r="K454">
        <v>690</v>
      </c>
      <c r="L45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680.04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4">
      <c r="A455" t="s">
        <v>67</v>
      </c>
      <c r="B455" t="s">
        <v>69</v>
      </c>
      <c r="C455">
        <v>9</v>
      </c>
      <c r="D455" t="s">
        <v>80</v>
      </c>
      <c r="E455" t="s">
        <v>87</v>
      </c>
      <c r="F455" t="s">
        <v>82</v>
      </c>
      <c r="G455">
        <v>94.880393538449496</v>
      </c>
      <c r="H455">
        <v>3E+20</v>
      </c>
      <c r="I455">
        <v>0</v>
      </c>
      <c r="J455">
        <v>305.26659843210803</v>
      </c>
      <c r="K455">
        <v>690</v>
      </c>
      <c r="L45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92.011077552476877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28.394716781335426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37.235943946119903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170.78088451033599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458.06693976826199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680.04</v>
      </c>
      <c r="W455" s="5">
        <f>IF((DiscreteStatsTable[[#This Row],[RepsRequested]]&gt;1),DiscreteStatsTable[[#This Row],[HalfWidth]],DiscreteStatsTable[[#This Row],[BatchMeansHalfWidth]])</f>
        <v>8.0696892219473568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4">
      <c r="A456" t="s">
        <v>67</v>
      </c>
      <c r="B456" t="s">
        <v>69</v>
      </c>
      <c r="C456">
        <v>10</v>
      </c>
      <c r="D456" t="s">
        <v>80</v>
      </c>
      <c r="E456" t="s">
        <v>81</v>
      </c>
      <c r="F456" t="s">
        <v>82</v>
      </c>
      <c r="G456">
        <v>0</v>
      </c>
      <c r="H456">
        <v>0</v>
      </c>
      <c r="I456">
        <v>0</v>
      </c>
      <c r="J456">
        <v>0</v>
      </c>
      <c r="K456">
        <v>684</v>
      </c>
      <c r="L45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0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0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0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0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0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680.04</v>
      </c>
      <c r="W456" s="5">
        <f>IF((DiscreteStatsTable[[#This Row],[RepsRequested]]&gt;1),DiscreteStatsTable[[#This Row],[HalfWidth]],DiscreteStatsTable[[#This Row],[BatchMeansHalfWidth]])</f>
        <v>0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4">
      <c r="A457" t="s">
        <v>67</v>
      </c>
      <c r="B457" t="s">
        <v>69</v>
      </c>
      <c r="C457">
        <v>10</v>
      </c>
      <c r="D457" t="s">
        <v>80</v>
      </c>
      <c r="E457" t="s">
        <v>83</v>
      </c>
      <c r="F457" t="s">
        <v>82</v>
      </c>
      <c r="G457">
        <v>120.96999642105099</v>
      </c>
      <c r="H457">
        <v>2.9123485249476002</v>
      </c>
      <c r="I457">
        <v>63.8727441641919</v>
      </c>
      <c r="J457">
        <v>181.02517675400799</v>
      </c>
      <c r="K457">
        <v>684</v>
      </c>
      <c r="L45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119.072877588487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1.1004315823637869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116.869916756062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121.279055923125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55.773522793583801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203.50100513585599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680.04</v>
      </c>
      <c r="W457" s="5">
        <f>IF((DiscreteStatsTable[[#This Row],[RepsRequested]]&gt;1),DiscreteStatsTable[[#This Row],[HalfWidth]],DiscreteStatsTable[[#This Row],[BatchMeansHalfWidth]])</f>
        <v>0.31273919539597844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4">
      <c r="A458" t="s">
        <v>67</v>
      </c>
      <c r="B458" t="s">
        <v>69</v>
      </c>
      <c r="C458">
        <v>10</v>
      </c>
      <c r="D458" t="s">
        <v>80</v>
      </c>
      <c r="E458" t="s">
        <v>84</v>
      </c>
      <c r="F458" t="s">
        <v>82</v>
      </c>
      <c r="G458">
        <v>245.61915582760599</v>
      </c>
      <c r="H458">
        <v>3E+20</v>
      </c>
      <c r="I458">
        <v>78.602217611358498</v>
      </c>
      <c r="J458">
        <v>495.07707144000199</v>
      </c>
      <c r="K458">
        <v>684</v>
      </c>
      <c r="L45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230.87278063103886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28.511985776754724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176.63374267103799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310.30313247646598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74.823945578616801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640.81970303432195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680.04</v>
      </c>
      <c r="W458" s="5">
        <f>IF((DiscreteStatsTable[[#This Row],[RepsRequested]]&gt;1),DiscreteStatsTable[[#This Row],[HalfWidth]],DiscreteStatsTable[[#This Row],[BatchMeansHalfWidth]])</f>
        <v>8.1030167016926651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4">
      <c r="A459" t="s">
        <v>67</v>
      </c>
      <c r="B459" t="s">
        <v>69</v>
      </c>
      <c r="C459">
        <v>10</v>
      </c>
      <c r="D459" t="s">
        <v>80</v>
      </c>
      <c r="E459" t="s">
        <v>85</v>
      </c>
      <c r="F459" t="s">
        <v>82</v>
      </c>
      <c r="G459">
        <v>20.394968411887699</v>
      </c>
      <c r="H459">
        <v>0.73195335123226501</v>
      </c>
      <c r="I459">
        <v>6.3247151865591604</v>
      </c>
      <c r="J459">
        <v>48.490415554400002</v>
      </c>
      <c r="K459">
        <v>684</v>
      </c>
      <c r="L45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19.788825490074792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19.1753932585017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20.6416816415399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6.0540217345149898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49.959821430489797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680.04</v>
      </c>
      <c r="W459" s="5">
        <f>IF((DiscreteStatsTable[[#This Row],[RepsRequested]]&gt;1),DiscreteStatsTable[[#This Row],[HalfWidth]],DiscreteStatsTable[[#This Row],[BatchMeansHalfWidth]])</f>
        <v>9.3664325535411846E-2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4">
      <c r="A460" t="s">
        <v>67</v>
      </c>
      <c r="B460" t="s">
        <v>69</v>
      </c>
      <c r="C460">
        <v>10</v>
      </c>
      <c r="D460" t="s">
        <v>80</v>
      </c>
      <c r="E460" t="s">
        <v>86</v>
      </c>
      <c r="F460" t="s">
        <v>82</v>
      </c>
      <c r="G460">
        <v>0</v>
      </c>
      <c r="H460">
        <v>0</v>
      </c>
      <c r="I460">
        <v>0</v>
      </c>
      <c r="J460">
        <v>0</v>
      </c>
      <c r="K460">
        <v>684</v>
      </c>
      <c r="L46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680.04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4">
      <c r="A461" t="s">
        <v>67</v>
      </c>
      <c r="B461" t="s">
        <v>69</v>
      </c>
      <c r="C461">
        <v>10</v>
      </c>
      <c r="D461" t="s">
        <v>80</v>
      </c>
      <c r="E461" t="s">
        <v>87</v>
      </c>
      <c r="F461" t="s">
        <v>82</v>
      </c>
      <c r="G461">
        <v>104.254190994667</v>
      </c>
      <c r="H461">
        <v>3E+20</v>
      </c>
      <c r="I461">
        <v>0</v>
      </c>
      <c r="J461">
        <v>309.66509442683002</v>
      </c>
      <c r="K461">
        <v>684</v>
      </c>
      <c r="L46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92.011077552476877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28.394716781335426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37.235943946119903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170.78088451033599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458.06693976826199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680.04</v>
      </c>
      <c r="W461" s="5">
        <f>IF((DiscreteStatsTable[[#This Row],[RepsRequested]]&gt;1),DiscreteStatsTable[[#This Row],[HalfWidth]],DiscreteStatsTable[[#This Row],[BatchMeansHalfWidth]])</f>
        <v>8.0696892219473568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4">
      <c r="A462" t="s">
        <v>67</v>
      </c>
      <c r="B462" t="s">
        <v>69</v>
      </c>
      <c r="C462">
        <v>11</v>
      </c>
      <c r="D462" t="s">
        <v>80</v>
      </c>
      <c r="E462" t="s">
        <v>81</v>
      </c>
      <c r="F462" t="s">
        <v>82</v>
      </c>
      <c r="G462">
        <v>0</v>
      </c>
      <c r="H462">
        <v>0</v>
      </c>
      <c r="I462">
        <v>0</v>
      </c>
      <c r="J462">
        <v>0</v>
      </c>
      <c r="K462">
        <v>711</v>
      </c>
      <c r="L46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0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0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0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0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0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680.04</v>
      </c>
      <c r="W462" s="5">
        <f>IF((DiscreteStatsTable[[#This Row],[RepsRequested]]&gt;1),DiscreteStatsTable[[#This Row],[HalfWidth]],DiscreteStatsTable[[#This Row],[BatchMeansHalfWidth]])</f>
        <v>0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4">
      <c r="A463" t="s">
        <v>67</v>
      </c>
      <c r="B463" t="s">
        <v>69</v>
      </c>
      <c r="C463">
        <v>11</v>
      </c>
      <c r="D463" t="s">
        <v>80</v>
      </c>
      <c r="E463" t="s">
        <v>83</v>
      </c>
      <c r="F463" t="s">
        <v>82</v>
      </c>
      <c r="G463">
        <v>120.11031242827499</v>
      </c>
      <c r="H463">
        <v>3E+20</v>
      </c>
      <c r="I463">
        <v>68.649533460405095</v>
      </c>
      <c r="J463">
        <v>197.74559710935799</v>
      </c>
      <c r="K463">
        <v>711</v>
      </c>
      <c r="L46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119.072877588487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1.1004315823637869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116.869916756062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121.279055923125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55.773522793583801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203.50100513585599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680.04</v>
      </c>
      <c r="W463" s="5">
        <f>IF((DiscreteStatsTable[[#This Row],[RepsRequested]]&gt;1),DiscreteStatsTable[[#This Row],[HalfWidth]],DiscreteStatsTable[[#This Row],[BatchMeansHalfWidth]])</f>
        <v>0.31273919539597844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4">
      <c r="A464" t="s">
        <v>67</v>
      </c>
      <c r="B464" t="s">
        <v>69</v>
      </c>
      <c r="C464">
        <v>11</v>
      </c>
      <c r="D464" t="s">
        <v>80</v>
      </c>
      <c r="E464" t="s">
        <v>84</v>
      </c>
      <c r="F464" t="s">
        <v>82</v>
      </c>
      <c r="G464">
        <v>290.56997253725098</v>
      </c>
      <c r="H464">
        <v>3E+20</v>
      </c>
      <c r="I464">
        <v>84.179866962103702</v>
      </c>
      <c r="J464">
        <v>578.45344411336998</v>
      </c>
      <c r="K464">
        <v>711</v>
      </c>
      <c r="L46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230.87278063103886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28.511985776754724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176.63374267103799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310.30313247646598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74.823945578616801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640.81970303432195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680.04</v>
      </c>
      <c r="W464" s="5">
        <f>IF((DiscreteStatsTable[[#This Row],[RepsRequested]]&gt;1),DiscreteStatsTable[[#This Row],[HalfWidth]],DiscreteStatsTable[[#This Row],[BatchMeansHalfWidth]])</f>
        <v>8.1030167016926651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4">
      <c r="A465" t="s">
        <v>67</v>
      </c>
      <c r="B465" t="s">
        <v>69</v>
      </c>
      <c r="C465">
        <v>11</v>
      </c>
      <c r="D465" t="s">
        <v>80</v>
      </c>
      <c r="E465" t="s">
        <v>85</v>
      </c>
      <c r="F465" t="s">
        <v>82</v>
      </c>
      <c r="G465">
        <v>19.9464324242314</v>
      </c>
      <c r="H465">
        <v>3E+20</v>
      </c>
      <c r="I465">
        <v>6.8207630405845503</v>
      </c>
      <c r="J465">
        <v>45.751961676044601</v>
      </c>
      <c r="K465">
        <v>711</v>
      </c>
      <c r="L46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19.788825490074792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19.1753932585017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20.6416816415399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6.0540217345149898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49.959821430489797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680.04</v>
      </c>
      <c r="W465" s="5">
        <f>IF((DiscreteStatsTable[[#This Row],[RepsRequested]]&gt;1),DiscreteStatsTable[[#This Row],[HalfWidth]],DiscreteStatsTable[[#This Row],[BatchMeansHalfWidth]])</f>
        <v>9.3664325535411846E-2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4">
      <c r="A466" t="s">
        <v>67</v>
      </c>
      <c r="B466" t="s">
        <v>69</v>
      </c>
      <c r="C466">
        <v>11</v>
      </c>
      <c r="D466" t="s">
        <v>80</v>
      </c>
      <c r="E466" t="s">
        <v>86</v>
      </c>
      <c r="F466" t="s">
        <v>82</v>
      </c>
      <c r="G466">
        <v>0</v>
      </c>
      <c r="H466">
        <v>0</v>
      </c>
      <c r="I466">
        <v>0</v>
      </c>
      <c r="J466">
        <v>0</v>
      </c>
      <c r="K466">
        <v>711</v>
      </c>
      <c r="L46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680.04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4">
      <c r="A467" t="s">
        <v>67</v>
      </c>
      <c r="B467" t="s">
        <v>69</v>
      </c>
      <c r="C467">
        <v>11</v>
      </c>
      <c r="D467" t="s">
        <v>80</v>
      </c>
      <c r="E467" t="s">
        <v>87</v>
      </c>
      <c r="F467" t="s">
        <v>82</v>
      </c>
      <c r="G467">
        <v>150.513227684745</v>
      </c>
      <c r="H467">
        <v>3E+20</v>
      </c>
      <c r="I467">
        <v>0</v>
      </c>
      <c r="J467">
        <v>384.33785462031102</v>
      </c>
      <c r="K467">
        <v>711</v>
      </c>
      <c r="L46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92.011077552476877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28.394716781335426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37.235943946119903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170.78088451033599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458.06693976826199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680.04</v>
      </c>
      <c r="W467" s="5">
        <f>IF((DiscreteStatsTable[[#This Row],[RepsRequested]]&gt;1),DiscreteStatsTable[[#This Row],[HalfWidth]],DiscreteStatsTable[[#This Row],[BatchMeansHalfWidth]])</f>
        <v>8.0696892219473568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4">
      <c r="A468" t="s">
        <v>67</v>
      </c>
      <c r="B468" t="s">
        <v>69</v>
      </c>
      <c r="C468">
        <v>12</v>
      </c>
      <c r="D468" t="s">
        <v>80</v>
      </c>
      <c r="E468" t="s">
        <v>81</v>
      </c>
      <c r="F468" t="s">
        <v>82</v>
      </c>
      <c r="G468">
        <v>0</v>
      </c>
      <c r="H468">
        <v>0</v>
      </c>
      <c r="I468">
        <v>0</v>
      </c>
      <c r="J468">
        <v>0</v>
      </c>
      <c r="K468">
        <v>630</v>
      </c>
      <c r="L46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0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0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0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0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0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680.04</v>
      </c>
      <c r="W468" s="5">
        <f>IF((DiscreteStatsTable[[#This Row],[RepsRequested]]&gt;1),DiscreteStatsTable[[#This Row],[HalfWidth]],DiscreteStatsTable[[#This Row],[BatchMeansHalfWidth]])</f>
        <v>0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4">
      <c r="A469" t="s">
        <v>67</v>
      </c>
      <c r="B469" t="s">
        <v>69</v>
      </c>
      <c r="C469">
        <v>12</v>
      </c>
      <c r="D469" t="s">
        <v>80</v>
      </c>
      <c r="E469" t="s">
        <v>83</v>
      </c>
      <c r="F469" t="s">
        <v>82</v>
      </c>
      <c r="G469">
        <v>119.151834442736</v>
      </c>
      <c r="H469">
        <v>2.2399680107889801</v>
      </c>
      <c r="I469">
        <v>65.490382758864399</v>
      </c>
      <c r="J469">
        <v>179.50928143839101</v>
      </c>
      <c r="K469">
        <v>630</v>
      </c>
      <c r="L46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119.072877588487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1.1004315823637869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116.869916756062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121.279055923125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55.773522793583801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203.50100513585599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680.04</v>
      </c>
      <c r="W469" s="5">
        <f>IF((DiscreteStatsTable[[#This Row],[RepsRequested]]&gt;1),DiscreteStatsTable[[#This Row],[HalfWidth]],DiscreteStatsTable[[#This Row],[BatchMeansHalfWidth]])</f>
        <v>0.31273919539597844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4">
      <c r="A470" t="s">
        <v>67</v>
      </c>
      <c r="B470" t="s">
        <v>69</v>
      </c>
      <c r="C470">
        <v>12</v>
      </c>
      <c r="D470" t="s">
        <v>80</v>
      </c>
      <c r="E470" t="s">
        <v>84</v>
      </c>
      <c r="F470" t="s">
        <v>82</v>
      </c>
      <c r="G470">
        <v>293.41839952916098</v>
      </c>
      <c r="H470">
        <v>3E+20</v>
      </c>
      <c r="I470">
        <v>77.454434062929707</v>
      </c>
      <c r="J470">
        <v>549.68327264793004</v>
      </c>
      <c r="K470">
        <v>630</v>
      </c>
      <c r="L47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230.87278063103886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28.511985776754724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176.63374267103799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310.30313247646598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74.823945578616801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640.81970303432195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680.04</v>
      </c>
      <c r="W470" s="5">
        <f>IF((DiscreteStatsTable[[#This Row],[RepsRequested]]&gt;1),DiscreteStatsTable[[#This Row],[HalfWidth]],DiscreteStatsTable[[#This Row],[BatchMeansHalfWidth]])</f>
        <v>8.1030167016926651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4">
      <c r="A471" t="s">
        <v>67</v>
      </c>
      <c r="B471" t="s">
        <v>69</v>
      </c>
      <c r="C471">
        <v>12</v>
      </c>
      <c r="D471" t="s">
        <v>80</v>
      </c>
      <c r="E471" t="s">
        <v>85</v>
      </c>
      <c r="F471" t="s">
        <v>82</v>
      </c>
      <c r="G471">
        <v>19.909954427589099</v>
      </c>
      <c r="H471">
        <v>0.61498473011486199</v>
      </c>
      <c r="I471">
        <v>6.2985781245251902</v>
      </c>
      <c r="J471">
        <v>49.362660051701098</v>
      </c>
      <c r="K471">
        <v>630</v>
      </c>
      <c r="L47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19.788825490074792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19.1753932585017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20.6416816415399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6.0540217345149898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49.959821430489797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680.04</v>
      </c>
      <c r="W471" s="5">
        <f>IF((DiscreteStatsTable[[#This Row],[RepsRequested]]&gt;1),DiscreteStatsTable[[#This Row],[HalfWidth]],DiscreteStatsTable[[#This Row],[BatchMeansHalfWidth]])</f>
        <v>9.3664325535411846E-2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4">
      <c r="A472" t="s">
        <v>67</v>
      </c>
      <c r="B472" t="s">
        <v>69</v>
      </c>
      <c r="C472">
        <v>12</v>
      </c>
      <c r="D472" t="s">
        <v>80</v>
      </c>
      <c r="E472" t="s">
        <v>86</v>
      </c>
      <c r="F472" t="s">
        <v>82</v>
      </c>
      <c r="G472">
        <v>0</v>
      </c>
      <c r="H472">
        <v>0</v>
      </c>
      <c r="I472">
        <v>0</v>
      </c>
      <c r="J472">
        <v>0</v>
      </c>
      <c r="K472">
        <v>630</v>
      </c>
      <c r="L47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680.04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4">
      <c r="A473" t="s">
        <v>67</v>
      </c>
      <c r="B473" t="s">
        <v>69</v>
      </c>
      <c r="C473">
        <v>12</v>
      </c>
      <c r="D473" t="s">
        <v>80</v>
      </c>
      <c r="E473" t="s">
        <v>87</v>
      </c>
      <c r="F473" t="s">
        <v>82</v>
      </c>
      <c r="G473">
        <v>154.35661065883599</v>
      </c>
      <c r="H473">
        <v>3E+20</v>
      </c>
      <c r="I473">
        <v>0</v>
      </c>
      <c r="J473">
        <v>344.96799655823202</v>
      </c>
      <c r="K473">
        <v>630</v>
      </c>
      <c r="L47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92.011077552476877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28.394716781335426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37.235943946119903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170.78088451033599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458.06693976826199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680.04</v>
      </c>
      <c r="W473" s="5">
        <f>IF((DiscreteStatsTable[[#This Row],[RepsRequested]]&gt;1),DiscreteStatsTable[[#This Row],[HalfWidth]],DiscreteStatsTable[[#This Row],[BatchMeansHalfWidth]])</f>
        <v>8.0696892219473568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4">
      <c r="A474" t="s">
        <v>67</v>
      </c>
      <c r="B474" t="s">
        <v>69</v>
      </c>
      <c r="C474">
        <v>13</v>
      </c>
      <c r="D474" t="s">
        <v>80</v>
      </c>
      <c r="E474" t="s">
        <v>81</v>
      </c>
      <c r="F474" t="s">
        <v>82</v>
      </c>
      <c r="G474">
        <v>0</v>
      </c>
      <c r="H474">
        <v>0</v>
      </c>
      <c r="I474">
        <v>0</v>
      </c>
      <c r="J474">
        <v>0</v>
      </c>
      <c r="K474">
        <v>692</v>
      </c>
      <c r="L47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0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0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0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0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0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680.04</v>
      </c>
      <c r="W474" s="5">
        <f>IF((DiscreteStatsTable[[#This Row],[RepsRequested]]&gt;1),DiscreteStatsTable[[#This Row],[HalfWidth]],DiscreteStatsTable[[#This Row],[BatchMeansHalfWidth]])</f>
        <v>0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4">
      <c r="A475" t="s">
        <v>67</v>
      </c>
      <c r="B475" t="s">
        <v>69</v>
      </c>
      <c r="C475">
        <v>13</v>
      </c>
      <c r="D475" t="s">
        <v>80</v>
      </c>
      <c r="E475" t="s">
        <v>83</v>
      </c>
      <c r="F475" t="s">
        <v>82</v>
      </c>
      <c r="G475">
        <v>118.57138214649601</v>
      </c>
      <c r="H475">
        <v>2.4017931930315402</v>
      </c>
      <c r="I475">
        <v>69.712460745400605</v>
      </c>
      <c r="J475">
        <v>179.65711262864201</v>
      </c>
      <c r="K475">
        <v>692</v>
      </c>
      <c r="L47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119.072877588487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1.1004315823637869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116.869916756062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121.279055923125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55.773522793583801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203.50100513585599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680.04</v>
      </c>
      <c r="W475" s="5">
        <f>IF((DiscreteStatsTable[[#This Row],[RepsRequested]]&gt;1),DiscreteStatsTable[[#This Row],[HalfWidth]],DiscreteStatsTable[[#This Row],[BatchMeansHalfWidth]])</f>
        <v>0.31273919539597844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4">
      <c r="A476" t="s">
        <v>67</v>
      </c>
      <c r="B476" t="s">
        <v>69</v>
      </c>
      <c r="C476">
        <v>13</v>
      </c>
      <c r="D476" t="s">
        <v>80</v>
      </c>
      <c r="E476" t="s">
        <v>84</v>
      </c>
      <c r="F476" t="s">
        <v>82</v>
      </c>
      <c r="G476">
        <v>247.07932086758899</v>
      </c>
      <c r="H476">
        <v>3E+20</v>
      </c>
      <c r="I476">
        <v>81.574468076109994</v>
      </c>
      <c r="J476">
        <v>462.89909384501101</v>
      </c>
      <c r="K476">
        <v>692</v>
      </c>
      <c r="L47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230.87278063103886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28.511985776754724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176.63374267103799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310.30313247646598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74.823945578616801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640.81970303432195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680.04</v>
      </c>
      <c r="W476" s="5">
        <f>IF((DiscreteStatsTable[[#This Row],[RepsRequested]]&gt;1),DiscreteStatsTable[[#This Row],[HalfWidth]],DiscreteStatsTable[[#This Row],[BatchMeansHalfWidth]])</f>
        <v>8.1030167016926651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4">
      <c r="A477" t="s">
        <v>67</v>
      </c>
      <c r="B477" t="s">
        <v>69</v>
      </c>
      <c r="C477">
        <v>13</v>
      </c>
      <c r="D477" t="s">
        <v>80</v>
      </c>
      <c r="E477" t="s">
        <v>85</v>
      </c>
      <c r="F477" t="s">
        <v>82</v>
      </c>
      <c r="G477">
        <v>19.5104921979834</v>
      </c>
      <c r="H477">
        <v>0.53249543256656195</v>
      </c>
      <c r="I477">
        <v>6.4320908651291102</v>
      </c>
      <c r="J477">
        <v>45.465153026744503</v>
      </c>
      <c r="K477">
        <v>692</v>
      </c>
      <c r="L47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19.788825490074792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19.1753932585017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20.6416816415399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6.0540217345149898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49.959821430489797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680.04</v>
      </c>
      <c r="W477" s="5">
        <f>IF((DiscreteStatsTable[[#This Row],[RepsRequested]]&gt;1),DiscreteStatsTable[[#This Row],[HalfWidth]],DiscreteStatsTable[[#This Row],[BatchMeansHalfWidth]])</f>
        <v>9.3664325535411846E-2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4">
      <c r="A478" t="s">
        <v>67</v>
      </c>
      <c r="B478" t="s">
        <v>69</v>
      </c>
      <c r="C478">
        <v>13</v>
      </c>
      <c r="D478" t="s">
        <v>80</v>
      </c>
      <c r="E478" t="s">
        <v>86</v>
      </c>
      <c r="F478" t="s">
        <v>82</v>
      </c>
      <c r="G478">
        <v>0</v>
      </c>
      <c r="H478">
        <v>0</v>
      </c>
      <c r="I478">
        <v>0</v>
      </c>
      <c r="J478">
        <v>0</v>
      </c>
      <c r="K478">
        <v>692</v>
      </c>
      <c r="L47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680.04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4">
      <c r="A479" t="s">
        <v>67</v>
      </c>
      <c r="B479" t="s">
        <v>69</v>
      </c>
      <c r="C479">
        <v>13</v>
      </c>
      <c r="D479" t="s">
        <v>80</v>
      </c>
      <c r="E479" t="s">
        <v>87</v>
      </c>
      <c r="F479" t="s">
        <v>82</v>
      </c>
      <c r="G479">
        <v>108.99744652311</v>
      </c>
      <c r="H479">
        <v>3E+20</v>
      </c>
      <c r="I479">
        <v>0</v>
      </c>
      <c r="J479">
        <v>277.99019132507402</v>
      </c>
      <c r="K479">
        <v>692</v>
      </c>
      <c r="L47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92.011077552476877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28.394716781335426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37.235943946119903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170.78088451033599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458.06693976826199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680.04</v>
      </c>
      <c r="W479" s="5">
        <f>IF((DiscreteStatsTable[[#This Row],[RepsRequested]]&gt;1),DiscreteStatsTable[[#This Row],[HalfWidth]],DiscreteStatsTable[[#This Row],[BatchMeansHalfWidth]])</f>
        <v>8.0696892219473568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4">
      <c r="A480" t="s">
        <v>67</v>
      </c>
      <c r="B480" t="s">
        <v>69</v>
      </c>
      <c r="C480">
        <v>14</v>
      </c>
      <c r="D480" t="s">
        <v>80</v>
      </c>
      <c r="E480" t="s">
        <v>81</v>
      </c>
      <c r="F480" t="s">
        <v>82</v>
      </c>
      <c r="G480">
        <v>0</v>
      </c>
      <c r="H480">
        <v>0</v>
      </c>
      <c r="I480">
        <v>0</v>
      </c>
      <c r="J480">
        <v>0</v>
      </c>
      <c r="K480">
        <v>657</v>
      </c>
      <c r="L48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0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0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0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0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0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680.04</v>
      </c>
      <c r="W480" s="5">
        <f>IF((DiscreteStatsTable[[#This Row],[RepsRequested]]&gt;1),DiscreteStatsTable[[#This Row],[HalfWidth]],DiscreteStatsTable[[#This Row],[BatchMeansHalfWidth]])</f>
        <v>0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4">
      <c r="A481" t="s">
        <v>67</v>
      </c>
      <c r="B481" t="s">
        <v>69</v>
      </c>
      <c r="C481">
        <v>14</v>
      </c>
      <c r="D481" t="s">
        <v>80</v>
      </c>
      <c r="E481" t="s">
        <v>83</v>
      </c>
      <c r="F481" t="s">
        <v>82</v>
      </c>
      <c r="G481">
        <v>120.03042788281699</v>
      </c>
      <c r="H481">
        <v>2.5625549890714598</v>
      </c>
      <c r="I481">
        <v>66.165639369207597</v>
      </c>
      <c r="J481">
        <v>185.81487152372401</v>
      </c>
      <c r="K481">
        <v>657</v>
      </c>
      <c r="L48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119.072877588487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1.1004315823637869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116.869916756062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121.279055923125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55.773522793583801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203.50100513585599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680.04</v>
      </c>
      <c r="W481" s="5">
        <f>IF((DiscreteStatsTable[[#This Row],[RepsRequested]]&gt;1),DiscreteStatsTable[[#This Row],[HalfWidth]],DiscreteStatsTable[[#This Row],[BatchMeansHalfWidth]])</f>
        <v>0.31273919539597844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4">
      <c r="A482" t="s">
        <v>67</v>
      </c>
      <c r="B482" t="s">
        <v>69</v>
      </c>
      <c r="C482">
        <v>14</v>
      </c>
      <c r="D482" t="s">
        <v>80</v>
      </c>
      <c r="E482" t="s">
        <v>84</v>
      </c>
      <c r="F482" t="s">
        <v>82</v>
      </c>
      <c r="G482">
        <v>216.75552107296801</v>
      </c>
      <c r="H482">
        <v>3E+20</v>
      </c>
      <c r="I482">
        <v>78.586904161414694</v>
      </c>
      <c r="J482">
        <v>418.28541947884997</v>
      </c>
      <c r="K482">
        <v>657</v>
      </c>
      <c r="L48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230.87278063103886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28.511985776754724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176.63374267103799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310.30313247646598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74.823945578616801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640.81970303432195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680.04</v>
      </c>
      <c r="W482" s="5">
        <f>IF((DiscreteStatsTable[[#This Row],[RepsRequested]]&gt;1),DiscreteStatsTable[[#This Row],[HalfWidth]],DiscreteStatsTable[[#This Row],[BatchMeansHalfWidth]])</f>
        <v>8.1030167016926651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4">
      <c r="A483" t="s">
        <v>67</v>
      </c>
      <c r="B483" t="s">
        <v>69</v>
      </c>
      <c r="C483">
        <v>14</v>
      </c>
      <c r="D483" t="s">
        <v>80</v>
      </c>
      <c r="E483" t="s">
        <v>85</v>
      </c>
      <c r="F483" t="s">
        <v>82</v>
      </c>
      <c r="G483">
        <v>19.858079467324401</v>
      </c>
      <c r="H483">
        <v>0.69965999583720795</v>
      </c>
      <c r="I483">
        <v>6.3573713106353598</v>
      </c>
      <c r="J483">
        <v>49.056558246680702</v>
      </c>
      <c r="K483">
        <v>657</v>
      </c>
      <c r="L48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19.788825490074792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19.1753932585017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20.6416816415399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6.0540217345149898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49.959821430489797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680.04</v>
      </c>
      <c r="W483" s="5">
        <f>IF((DiscreteStatsTable[[#This Row],[RepsRequested]]&gt;1),DiscreteStatsTable[[#This Row],[HalfWidth]],DiscreteStatsTable[[#This Row],[BatchMeansHalfWidth]])</f>
        <v>9.3664325535411846E-2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4">
      <c r="A484" t="s">
        <v>67</v>
      </c>
      <c r="B484" t="s">
        <v>69</v>
      </c>
      <c r="C484">
        <v>14</v>
      </c>
      <c r="D484" t="s">
        <v>80</v>
      </c>
      <c r="E484" t="s">
        <v>86</v>
      </c>
      <c r="F484" t="s">
        <v>82</v>
      </c>
      <c r="G484">
        <v>0</v>
      </c>
      <c r="H484">
        <v>0</v>
      </c>
      <c r="I484">
        <v>0</v>
      </c>
      <c r="J484">
        <v>0</v>
      </c>
      <c r="K484">
        <v>657</v>
      </c>
      <c r="L48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680.04</v>
      </c>
      <c r="W484" s="5">
        <f>IF((DiscreteStatsTable[[#This Row],[RepsRequested]]&gt;1),DiscreteStatsTable[[#This Row],[HalfWidth]],DiscreteStatsTable[[#This Row],[BatchMeansHalfWidth]])</f>
        <v>0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4">
      <c r="A485" t="s">
        <v>67</v>
      </c>
      <c r="B485" t="s">
        <v>69</v>
      </c>
      <c r="C485">
        <v>14</v>
      </c>
      <c r="D485" t="s">
        <v>80</v>
      </c>
      <c r="E485" t="s">
        <v>87</v>
      </c>
      <c r="F485" t="s">
        <v>82</v>
      </c>
      <c r="G485">
        <v>76.867013722825803</v>
      </c>
      <c r="H485">
        <v>3E+20</v>
      </c>
      <c r="I485">
        <v>0</v>
      </c>
      <c r="J485">
        <v>242.268578686502</v>
      </c>
      <c r="K485">
        <v>657</v>
      </c>
      <c r="L48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92.011077552476877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28.394716781335426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37.235943946119903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170.78088451033599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458.06693976826199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680.04</v>
      </c>
      <c r="W485" s="5">
        <f>IF((DiscreteStatsTable[[#This Row],[RepsRequested]]&gt;1),DiscreteStatsTable[[#This Row],[HalfWidth]],DiscreteStatsTable[[#This Row],[BatchMeansHalfWidth]])</f>
        <v>8.0696892219473568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4">
      <c r="A486" t="s">
        <v>67</v>
      </c>
      <c r="B486" t="s">
        <v>69</v>
      </c>
      <c r="C486">
        <v>15</v>
      </c>
      <c r="D486" t="s">
        <v>80</v>
      </c>
      <c r="E486" t="s">
        <v>81</v>
      </c>
      <c r="F486" t="s">
        <v>82</v>
      </c>
      <c r="G486">
        <v>0</v>
      </c>
      <c r="H486">
        <v>0</v>
      </c>
      <c r="I486">
        <v>0</v>
      </c>
      <c r="J486">
        <v>0</v>
      </c>
      <c r="K486">
        <v>720</v>
      </c>
      <c r="L48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0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0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0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0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0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680.04</v>
      </c>
      <c r="W486" s="5">
        <f>IF((DiscreteStatsTable[[#This Row],[RepsRequested]]&gt;1),DiscreteStatsTable[[#This Row],[HalfWidth]],DiscreteStatsTable[[#This Row],[BatchMeansHalfWidth]])</f>
        <v>0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4">
      <c r="A487" t="s">
        <v>67</v>
      </c>
      <c r="B487" t="s">
        <v>69</v>
      </c>
      <c r="C487">
        <v>15</v>
      </c>
      <c r="D487" t="s">
        <v>80</v>
      </c>
      <c r="E487" t="s">
        <v>83</v>
      </c>
      <c r="F487" t="s">
        <v>82</v>
      </c>
      <c r="G487">
        <v>119.279356332444</v>
      </c>
      <c r="H487">
        <v>2.37112885882798</v>
      </c>
      <c r="I487">
        <v>67.642818179068897</v>
      </c>
      <c r="J487">
        <v>174.49205113158899</v>
      </c>
      <c r="K487">
        <v>720</v>
      </c>
      <c r="L48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119.072877588487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1.1004315823637869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116.869916756062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121.279055923125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55.773522793583801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203.50100513585599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680.04</v>
      </c>
      <c r="W487" s="5">
        <f>IF((DiscreteStatsTable[[#This Row],[RepsRequested]]&gt;1),DiscreteStatsTable[[#This Row],[HalfWidth]],DiscreteStatsTable[[#This Row],[BatchMeansHalfWidth]])</f>
        <v>0.31273919539597844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4">
      <c r="A488" t="s">
        <v>67</v>
      </c>
      <c r="B488" t="s">
        <v>69</v>
      </c>
      <c r="C488">
        <v>15</v>
      </c>
      <c r="D488" t="s">
        <v>80</v>
      </c>
      <c r="E488" t="s">
        <v>84</v>
      </c>
      <c r="F488" t="s">
        <v>82</v>
      </c>
      <c r="G488">
        <v>176.63374267103799</v>
      </c>
      <c r="H488">
        <v>3E+20</v>
      </c>
      <c r="I488">
        <v>82.091557653208199</v>
      </c>
      <c r="J488">
        <v>299.95700522225002</v>
      </c>
      <c r="K488">
        <v>720</v>
      </c>
      <c r="L48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230.87278063103886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28.511985776754724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176.63374267103799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310.30313247646598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74.823945578616801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640.81970303432195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680.04</v>
      </c>
      <c r="W488" s="5">
        <f>IF((DiscreteStatsTable[[#This Row],[RepsRequested]]&gt;1),DiscreteStatsTable[[#This Row],[HalfWidth]],DiscreteStatsTable[[#This Row],[BatchMeansHalfWidth]])</f>
        <v>8.1030167016926651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4">
      <c r="A489" t="s">
        <v>67</v>
      </c>
      <c r="B489" t="s">
        <v>69</v>
      </c>
      <c r="C489">
        <v>15</v>
      </c>
      <c r="D489" t="s">
        <v>80</v>
      </c>
      <c r="E489" t="s">
        <v>85</v>
      </c>
      <c r="F489" t="s">
        <v>82</v>
      </c>
      <c r="G489">
        <v>20.118442392473899</v>
      </c>
      <c r="H489">
        <v>0.66377211694739102</v>
      </c>
      <c r="I489">
        <v>6.1770272166434896</v>
      </c>
      <c r="J489">
        <v>48.191495309676299</v>
      </c>
      <c r="K489">
        <v>720</v>
      </c>
      <c r="L48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19.788825490074792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19.1753932585017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20.6416816415399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6.0540217345149898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49.959821430489797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680.04</v>
      </c>
      <c r="W489" s="5">
        <f>IF((DiscreteStatsTable[[#This Row],[RepsRequested]]&gt;1),DiscreteStatsTable[[#This Row],[HalfWidth]],DiscreteStatsTable[[#This Row],[BatchMeansHalfWidth]])</f>
        <v>9.3664325535411846E-2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4">
      <c r="A490" t="s">
        <v>67</v>
      </c>
      <c r="B490" t="s">
        <v>69</v>
      </c>
      <c r="C490">
        <v>15</v>
      </c>
      <c r="D490" t="s">
        <v>80</v>
      </c>
      <c r="E490" t="s">
        <v>86</v>
      </c>
      <c r="F490" t="s">
        <v>82</v>
      </c>
      <c r="G490">
        <v>0</v>
      </c>
      <c r="H490">
        <v>0</v>
      </c>
      <c r="I490">
        <v>0</v>
      </c>
      <c r="J490">
        <v>0</v>
      </c>
      <c r="K490">
        <v>720</v>
      </c>
      <c r="L49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680.04</v>
      </c>
      <c r="W490" s="5">
        <f>IF((DiscreteStatsTable[[#This Row],[RepsRequested]]&gt;1),DiscreteStatsTable[[#This Row],[HalfWidth]],DiscreteStatsTable[[#This Row],[BatchMeansHalfWidth]])</f>
        <v>0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4">
      <c r="A491" t="s">
        <v>67</v>
      </c>
      <c r="B491" t="s">
        <v>69</v>
      </c>
      <c r="C491">
        <v>15</v>
      </c>
      <c r="D491" t="s">
        <v>80</v>
      </c>
      <c r="E491" t="s">
        <v>87</v>
      </c>
      <c r="F491" t="s">
        <v>82</v>
      </c>
      <c r="G491">
        <v>37.235943946119903</v>
      </c>
      <c r="H491">
        <v>3E+20</v>
      </c>
      <c r="I491">
        <v>0</v>
      </c>
      <c r="J491">
        <v>124.23344201340301</v>
      </c>
      <c r="K491">
        <v>720</v>
      </c>
      <c r="L49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92.011077552476877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28.394716781335426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37.235943946119903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170.78088451033599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458.06693976826199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680.04</v>
      </c>
      <c r="W491" s="5">
        <f>IF((DiscreteStatsTable[[#This Row],[RepsRequested]]&gt;1),DiscreteStatsTable[[#This Row],[HalfWidth]],DiscreteStatsTable[[#This Row],[BatchMeansHalfWidth]])</f>
        <v>8.0696892219473568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4">
      <c r="A492" t="s">
        <v>67</v>
      </c>
      <c r="B492" t="s">
        <v>69</v>
      </c>
      <c r="C492">
        <v>16</v>
      </c>
      <c r="D492" t="s">
        <v>80</v>
      </c>
      <c r="E492" t="s">
        <v>81</v>
      </c>
      <c r="F492" t="s">
        <v>82</v>
      </c>
      <c r="G492">
        <v>0</v>
      </c>
      <c r="H492">
        <v>0</v>
      </c>
      <c r="I492">
        <v>0</v>
      </c>
      <c r="J492">
        <v>0</v>
      </c>
      <c r="K492">
        <v>615</v>
      </c>
      <c r="L49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0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0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0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0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0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680.04</v>
      </c>
      <c r="W492" s="5">
        <f>IF((DiscreteStatsTable[[#This Row],[RepsRequested]]&gt;1),DiscreteStatsTable[[#This Row],[HalfWidth]],DiscreteStatsTable[[#This Row],[BatchMeansHalfWidth]])</f>
        <v>0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4">
      <c r="A493" t="s">
        <v>67</v>
      </c>
      <c r="B493" t="s">
        <v>69</v>
      </c>
      <c r="C493">
        <v>16</v>
      </c>
      <c r="D493" t="s">
        <v>80</v>
      </c>
      <c r="E493" t="s">
        <v>83</v>
      </c>
      <c r="F493" t="s">
        <v>82</v>
      </c>
      <c r="G493">
        <v>118.767566440698</v>
      </c>
      <c r="H493">
        <v>2.1706173520162602</v>
      </c>
      <c r="I493">
        <v>66.980850507290796</v>
      </c>
      <c r="J493">
        <v>181.84815564697001</v>
      </c>
      <c r="K493">
        <v>615</v>
      </c>
      <c r="L49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119.072877588487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1.1004315823637869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116.869916756062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121.279055923125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55.773522793583801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203.50100513585599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680.04</v>
      </c>
      <c r="W493" s="5">
        <f>IF((DiscreteStatsTable[[#This Row],[RepsRequested]]&gt;1),DiscreteStatsTable[[#This Row],[HalfWidth]],DiscreteStatsTable[[#This Row],[BatchMeansHalfWidth]])</f>
        <v>0.31273919539597844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4">
      <c r="A494" t="s">
        <v>67</v>
      </c>
      <c r="B494" t="s">
        <v>69</v>
      </c>
      <c r="C494">
        <v>16</v>
      </c>
      <c r="D494" t="s">
        <v>80</v>
      </c>
      <c r="E494" t="s">
        <v>84</v>
      </c>
      <c r="F494" t="s">
        <v>82</v>
      </c>
      <c r="G494">
        <v>249.22068306211199</v>
      </c>
      <c r="H494">
        <v>3E+20</v>
      </c>
      <c r="I494">
        <v>78.089224236627203</v>
      </c>
      <c r="J494">
        <v>614.80430735241805</v>
      </c>
      <c r="K494">
        <v>615</v>
      </c>
      <c r="L49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230.87278063103886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28.511985776754724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176.63374267103799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310.30313247646598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74.823945578616801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640.81970303432195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680.04</v>
      </c>
      <c r="W494" s="5">
        <f>IF((DiscreteStatsTable[[#This Row],[RepsRequested]]&gt;1),DiscreteStatsTable[[#This Row],[HalfWidth]],DiscreteStatsTable[[#This Row],[BatchMeansHalfWidth]])</f>
        <v>8.1030167016926651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4">
      <c r="A495" t="s">
        <v>67</v>
      </c>
      <c r="B495" t="s">
        <v>69</v>
      </c>
      <c r="C495">
        <v>16</v>
      </c>
      <c r="D495" t="s">
        <v>80</v>
      </c>
      <c r="E495" t="s">
        <v>85</v>
      </c>
      <c r="F495" t="s">
        <v>82</v>
      </c>
      <c r="G495">
        <v>19.1753932585017</v>
      </c>
      <c r="H495">
        <v>0.59076752688315004</v>
      </c>
      <c r="I495">
        <v>6.2930766132839198</v>
      </c>
      <c r="J495">
        <v>45.544495076124299</v>
      </c>
      <c r="K495">
        <v>615</v>
      </c>
      <c r="L49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19.788825490074792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19.1753932585017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20.6416816415399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6.0540217345149898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49.959821430489797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680.04</v>
      </c>
      <c r="W495" s="5">
        <f>IF((DiscreteStatsTable[[#This Row],[RepsRequested]]&gt;1),DiscreteStatsTable[[#This Row],[HalfWidth]],DiscreteStatsTable[[#This Row],[BatchMeansHalfWidth]])</f>
        <v>9.3664325535411846E-2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4">
      <c r="A496" t="s">
        <v>67</v>
      </c>
      <c r="B496" t="s">
        <v>69</v>
      </c>
      <c r="C496">
        <v>16</v>
      </c>
      <c r="D496" t="s">
        <v>80</v>
      </c>
      <c r="E496" t="s">
        <v>86</v>
      </c>
      <c r="F496" t="s">
        <v>82</v>
      </c>
      <c r="G496">
        <v>0</v>
      </c>
      <c r="H496">
        <v>0</v>
      </c>
      <c r="I496">
        <v>0</v>
      </c>
      <c r="J496">
        <v>0</v>
      </c>
      <c r="K496">
        <v>615</v>
      </c>
      <c r="L49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680.04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4">
      <c r="A497" t="s">
        <v>67</v>
      </c>
      <c r="B497" t="s">
        <v>69</v>
      </c>
      <c r="C497">
        <v>16</v>
      </c>
      <c r="D497" t="s">
        <v>80</v>
      </c>
      <c r="E497" t="s">
        <v>87</v>
      </c>
      <c r="F497" t="s">
        <v>82</v>
      </c>
      <c r="G497">
        <v>111.277723362912</v>
      </c>
      <c r="H497">
        <v>3E+20</v>
      </c>
      <c r="I497">
        <v>0</v>
      </c>
      <c r="J497">
        <v>448.68154005813699</v>
      </c>
      <c r="K497">
        <v>615</v>
      </c>
      <c r="L49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92.011077552476877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28.394716781335426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37.235943946119903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170.78088451033599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458.06693976826199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680.04</v>
      </c>
      <c r="W497" s="5">
        <f>IF((DiscreteStatsTable[[#This Row],[RepsRequested]]&gt;1),DiscreteStatsTable[[#This Row],[HalfWidth]],DiscreteStatsTable[[#This Row],[BatchMeansHalfWidth]])</f>
        <v>8.0696892219473568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4">
      <c r="A498" t="s">
        <v>67</v>
      </c>
      <c r="B498" t="s">
        <v>69</v>
      </c>
      <c r="C498">
        <v>17</v>
      </c>
      <c r="D498" t="s">
        <v>80</v>
      </c>
      <c r="E498" t="s">
        <v>81</v>
      </c>
      <c r="F498" t="s">
        <v>82</v>
      </c>
      <c r="G498">
        <v>0</v>
      </c>
      <c r="H498">
        <v>0</v>
      </c>
      <c r="I498">
        <v>0</v>
      </c>
      <c r="J498">
        <v>0</v>
      </c>
      <c r="K498">
        <v>725</v>
      </c>
      <c r="L49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0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0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0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0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0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0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680.04</v>
      </c>
      <c r="W498" s="5">
        <f>IF((DiscreteStatsTable[[#This Row],[RepsRequested]]&gt;1),DiscreteStatsTable[[#This Row],[HalfWidth]],DiscreteStatsTable[[#This Row],[BatchMeansHalfWidth]])</f>
        <v>0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4">
      <c r="A499" t="s">
        <v>67</v>
      </c>
      <c r="B499" t="s">
        <v>69</v>
      </c>
      <c r="C499">
        <v>17</v>
      </c>
      <c r="D499" t="s">
        <v>80</v>
      </c>
      <c r="E499" t="s">
        <v>83</v>
      </c>
      <c r="F499" t="s">
        <v>82</v>
      </c>
      <c r="G499">
        <v>117.909485579728</v>
      </c>
      <c r="H499">
        <v>1.91448483635476</v>
      </c>
      <c r="I499">
        <v>66.0545300244614</v>
      </c>
      <c r="J499">
        <v>184.61049055483701</v>
      </c>
      <c r="K499">
        <v>725</v>
      </c>
      <c r="L49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119.072877588487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1.1004315823637869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116.869916756062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121.279055923125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55.773522793583801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203.50100513585599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680.04</v>
      </c>
      <c r="W499" s="5">
        <f>IF((DiscreteStatsTable[[#This Row],[RepsRequested]]&gt;1),DiscreteStatsTable[[#This Row],[HalfWidth]],DiscreteStatsTable[[#This Row],[BatchMeansHalfWidth]])</f>
        <v>0.31273919539597844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4">
      <c r="A500" t="s">
        <v>67</v>
      </c>
      <c r="B500" t="s">
        <v>69</v>
      </c>
      <c r="C500">
        <v>17</v>
      </c>
      <c r="D500" t="s">
        <v>80</v>
      </c>
      <c r="E500" t="s">
        <v>84</v>
      </c>
      <c r="F500" t="s">
        <v>82</v>
      </c>
      <c r="G500">
        <v>217.438586567378</v>
      </c>
      <c r="H500">
        <v>3E+20</v>
      </c>
      <c r="I500">
        <v>75.428241446466004</v>
      </c>
      <c r="J500">
        <v>416.68218833082898</v>
      </c>
      <c r="K500">
        <v>725</v>
      </c>
      <c r="L50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230.87278063103886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28.511985776754724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176.63374267103799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310.30313247646598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74.823945578616801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640.81970303432195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680.04</v>
      </c>
      <c r="W500" s="5">
        <f>IF((DiscreteStatsTable[[#This Row],[RepsRequested]]&gt;1),DiscreteStatsTable[[#This Row],[HalfWidth]],DiscreteStatsTable[[#This Row],[BatchMeansHalfWidth]])</f>
        <v>8.1030167016926651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4">
      <c r="A501" t="s">
        <v>67</v>
      </c>
      <c r="B501" t="s">
        <v>69</v>
      </c>
      <c r="C501">
        <v>17</v>
      </c>
      <c r="D501" t="s">
        <v>80</v>
      </c>
      <c r="E501" t="s">
        <v>85</v>
      </c>
      <c r="F501" t="s">
        <v>82</v>
      </c>
      <c r="G501">
        <v>19.302314192897899</v>
      </c>
      <c r="H501">
        <v>0.60842306456268602</v>
      </c>
      <c r="I501">
        <v>6.1672364138917102</v>
      </c>
      <c r="J501">
        <v>49.959821430489797</v>
      </c>
      <c r="K501">
        <v>725</v>
      </c>
      <c r="L50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19.788825490074792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19.1753932585017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20.6416816415399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6.0540217345149898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49.959821430489797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680.04</v>
      </c>
      <c r="W501" s="5">
        <f>IF((DiscreteStatsTable[[#This Row],[RepsRequested]]&gt;1),DiscreteStatsTable[[#This Row],[HalfWidth]],DiscreteStatsTable[[#This Row],[BatchMeansHalfWidth]])</f>
        <v>9.3664325535411846E-2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4">
      <c r="A502" t="s">
        <v>67</v>
      </c>
      <c r="B502" t="s">
        <v>69</v>
      </c>
      <c r="C502">
        <v>17</v>
      </c>
      <c r="D502" t="s">
        <v>80</v>
      </c>
      <c r="E502" t="s">
        <v>86</v>
      </c>
      <c r="F502" t="s">
        <v>82</v>
      </c>
      <c r="G502">
        <v>0</v>
      </c>
      <c r="H502">
        <v>0</v>
      </c>
      <c r="I502">
        <v>0</v>
      </c>
      <c r="J502">
        <v>0</v>
      </c>
      <c r="K502">
        <v>725</v>
      </c>
      <c r="L50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680.04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4">
      <c r="A503" t="s">
        <v>67</v>
      </c>
      <c r="B503" t="s">
        <v>69</v>
      </c>
      <c r="C503">
        <v>17</v>
      </c>
      <c r="D503" t="s">
        <v>80</v>
      </c>
      <c r="E503" t="s">
        <v>87</v>
      </c>
      <c r="F503" t="s">
        <v>82</v>
      </c>
      <c r="G503">
        <v>80.226786794752201</v>
      </c>
      <c r="H503">
        <v>3E+20</v>
      </c>
      <c r="I503">
        <v>0</v>
      </c>
      <c r="J503">
        <v>234.05466103860499</v>
      </c>
      <c r="K503">
        <v>725</v>
      </c>
      <c r="L50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92.011077552476877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28.394716781335426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37.235943946119903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170.78088451033599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458.06693976826199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680.04</v>
      </c>
      <c r="W503" s="5">
        <f>IF((DiscreteStatsTable[[#This Row],[RepsRequested]]&gt;1),DiscreteStatsTable[[#This Row],[HalfWidth]],DiscreteStatsTable[[#This Row],[BatchMeansHalfWidth]])</f>
        <v>8.0696892219473568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4">
      <c r="A504" t="s">
        <v>67</v>
      </c>
      <c r="B504" t="s">
        <v>69</v>
      </c>
      <c r="C504">
        <v>18</v>
      </c>
      <c r="D504" t="s">
        <v>80</v>
      </c>
      <c r="E504" t="s">
        <v>81</v>
      </c>
      <c r="F504" t="s">
        <v>82</v>
      </c>
      <c r="G504">
        <v>0</v>
      </c>
      <c r="H504">
        <v>0</v>
      </c>
      <c r="I504">
        <v>0</v>
      </c>
      <c r="J504">
        <v>0</v>
      </c>
      <c r="K504">
        <v>678</v>
      </c>
      <c r="L50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0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0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0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0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0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680.04</v>
      </c>
      <c r="W504" s="5">
        <f>IF((DiscreteStatsTable[[#This Row],[RepsRequested]]&gt;1),DiscreteStatsTable[[#This Row],[HalfWidth]],DiscreteStatsTable[[#This Row],[BatchMeansHalfWidth]])</f>
        <v>0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4">
      <c r="A505" t="s">
        <v>67</v>
      </c>
      <c r="B505" t="s">
        <v>69</v>
      </c>
      <c r="C505">
        <v>18</v>
      </c>
      <c r="D505" t="s">
        <v>80</v>
      </c>
      <c r="E505" t="s">
        <v>83</v>
      </c>
      <c r="F505" t="s">
        <v>82</v>
      </c>
      <c r="G505">
        <v>120.304752252206</v>
      </c>
      <c r="H505">
        <v>2.7338618951604001</v>
      </c>
      <c r="I505">
        <v>64.560417183795394</v>
      </c>
      <c r="J505">
        <v>184.62013791941001</v>
      </c>
      <c r="K505">
        <v>678</v>
      </c>
      <c r="L50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119.072877588487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1.1004315823637869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116.869916756062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121.279055923125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55.773522793583801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203.50100513585599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680.04</v>
      </c>
      <c r="W505" s="5">
        <f>IF((DiscreteStatsTable[[#This Row],[RepsRequested]]&gt;1),DiscreteStatsTable[[#This Row],[HalfWidth]],DiscreteStatsTable[[#This Row],[BatchMeansHalfWidth]])</f>
        <v>0.31273919539597844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4">
      <c r="A506" t="s">
        <v>67</v>
      </c>
      <c r="B506" t="s">
        <v>69</v>
      </c>
      <c r="C506">
        <v>18</v>
      </c>
      <c r="D506" t="s">
        <v>80</v>
      </c>
      <c r="E506" t="s">
        <v>84</v>
      </c>
      <c r="F506" t="s">
        <v>82</v>
      </c>
      <c r="G506">
        <v>257.80037980943098</v>
      </c>
      <c r="H506">
        <v>3E+20</v>
      </c>
      <c r="I506">
        <v>77.721495514437294</v>
      </c>
      <c r="J506">
        <v>460.88218775094299</v>
      </c>
      <c r="K506">
        <v>678</v>
      </c>
      <c r="L50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230.87278063103886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28.511985776754724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176.63374267103799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310.30313247646598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74.823945578616801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640.81970303432195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680.04</v>
      </c>
      <c r="W506" s="5">
        <f>IF((DiscreteStatsTable[[#This Row],[RepsRequested]]&gt;1),DiscreteStatsTable[[#This Row],[HalfWidth]],DiscreteStatsTable[[#This Row],[BatchMeansHalfWidth]])</f>
        <v>8.1030167016926651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4">
      <c r="A507" t="s">
        <v>67</v>
      </c>
      <c r="B507" t="s">
        <v>69</v>
      </c>
      <c r="C507">
        <v>18</v>
      </c>
      <c r="D507" t="s">
        <v>80</v>
      </c>
      <c r="E507" t="s">
        <v>85</v>
      </c>
      <c r="F507" t="s">
        <v>82</v>
      </c>
      <c r="G507">
        <v>20.292117170998502</v>
      </c>
      <c r="H507">
        <v>0.59012323792505506</v>
      </c>
      <c r="I507">
        <v>6.3855611341298699</v>
      </c>
      <c r="J507">
        <v>47.169386922329302</v>
      </c>
      <c r="K507">
        <v>678</v>
      </c>
      <c r="L50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19.788825490074792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19.1753932585017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20.6416816415399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6.0540217345149898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49.959821430489797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680.04</v>
      </c>
      <c r="W507" s="5">
        <f>IF((DiscreteStatsTable[[#This Row],[RepsRequested]]&gt;1),DiscreteStatsTable[[#This Row],[HalfWidth]],DiscreteStatsTable[[#This Row],[BatchMeansHalfWidth]])</f>
        <v>9.3664325535411846E-2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4">
      <c r="A508" t="s">
        <v>67</v>
      </c>
      <c r="B508" t="s">
        <v>69</v>
      </c>
      <c r="C508">
        <v>18</v>
      </c>
      <c r="D508" t="s">
        <v>80</v>
      </c>
      <c r="E508" t="s">
        <v>86</v>
      </c>
      <c r="F508" t="s">
        <v>82</v>
      </c>
      <c r="G508">
        <v>0</v>
      </c>
      <c r="H508">
        <v>0</v>
      </c>
      <c r="I508">
        <v>0</v>
      </c>
      <c r="J508">
        <v>0</v>
      </c>
      <c r="K508">
        <v>678</v>
      </c>
      <c r="L50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680.04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4">
      <c r="A509" t="s">
        <v>67</v>
      </c>
      <c r="B509" t="s">
        <v>69</v>
      </c>
      <c r="C509">
        <v>18</v>
      </c>
      <c r="D509" t="s">
        <v>80</v>
      </c>
      <c r="E509" t="s">
        <v>87</v>
      </c>
      <c r="F509" t="s">
        <v>82</v>
      </c>
      <c r="G509">
        <v>117.20351038622699</v>
      </c>
      <c r="H509">
        <v>3E+20</v>
      </c>
      <c r="I509">
        <v>0</v>
      </c>
      <c r="J509">
        <v>279.25302619865897</v>
      </c>
      <c r="K509">
        <v>678</v>
      </c>
      <c r="L50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92.011077552476877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28.394716781335426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37.235943946119903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170.78088451033599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458.06693976826199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680.04</v>
      </c>
      <c r="W509" s="5">
        <f>IF((DiscreteStatsTable[[#This Row],[RepsRequested]]&gt;1),DiscreteStatsTable[[#This Row],[HalfWidth]],DiscreteStatsTable[[#This Row],[BatchMeansHalfWidth]])</f>
        <v>8.0696892219473568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4">
      <c r="A510" t="s">
        <v>67</v>
      </c>
      <c r="B510" t="s">
        <v>69</v>
      </c>
      <c r="C510">
        <v>19</v>
      </c>
      <c r="D510" t="s">
        <v>80</v>
      </c>
      <c r="E510" t="s">
        <v>81</v>
      </c>
      <c r="F510" t="s">
        <v>82</v>
      </c>
      <c r="G510">
        <v>0</v>
      </c>
      <c r="H510">
        <v>0</v>
      </c>
      <c r="I510">
        <v>0</v>
      </c>
      <c r="J510">
        <v>0</v>
      </c>
      <c r="K510">
        <v>703</v>
      </c>
      <c r="L51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0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0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0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0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0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680.04</v>
      </c>
      <c r="W510" s="5">
        <f>IF((DiscreteStatsTable[[#This Row],[RepsRequested]]&gt;1),DiscreteStatsTable[[#This Row],[HalfWidth]],DiscreteStatsTable[[#This Row],[BatchMeansHalfWidth]])</f>
        <v>0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4">
      <c r="A511" t="s">
        <v>67</v>
      </c>
      <c r="B511" t="s">
        <v>69</v>
      </c>
      <c r="C511">
        <v>19</v>
      </c>
      <c r="D511" t="s">
        <v>80</v>
      </c>
      <c r="E511" t="s">
        <v>83</v>
      </c>
      <c r="F511" t="s">
        <v>82</v>
      </c>
      <c r="G511">
        <v>119.328543268833</v>
      </c>
      <c r="H511">
        <v>2.5142545580314599</v>
      </c>
      <c r="I511">
        <v>69.427091560708405</v>
      </c>
      <c r="J511">
        <v>186.13261675717001</v>
      </c>
      <c r="K511">
        <v>703</v>
      </c>
      <c r="L51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119.072877588487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1.1004315823637869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116.869916756062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121.279055923125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55.773522793583801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203.50100513585599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680.04</v>
      </c>
      <c r="W511" s="5">
        <f>IF((DiscreteStatsTable[[#This Row],[RepsRequested]]&gt;1),DiscreteStatsTable[[#This Row],[HalfWidth]],DiscreteStatsTable[[#This Row],[BatchMeansHalfWidth]])</f>
        <v>0.31273919539597844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4">
      <c r="A512" t="s">
        <v>67</v>
      </c>
      <c r="B512" t="s">
        <v>69</v>
      </c>
      <c r="C512">
        <v>19</v>
      </c>
      <c r="D512" t="s">
        <v>80</v>
      </c>
      <c r="E512" t="s">
        <v>84</v>
      </c>
      <c r="F512" t="s">
        <v>82</v>
      </c>
      <c r="G512">
        <v>211.388411331128</v>
      </c>
      <c r="H512">
        <v>3E+20</v>
      </c>
      <c r="I512">
        <v>81.306615562234597</v>
      </c>
      <c r="J512">
        <v>433.56628888048999</v>
      </c>
      <c r="K512">
        <v>703</v>
      </c>
      <c r="L51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230.87278063103886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28.511985776754724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176.63374267103799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310.30313247646598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74.823945578616801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640.81970303432195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680.04</v>
      </c>
      <c r="W512" s="5">
        <f>IF((DiscreteStatsTable[[#This Row],[RepsRequested]]&gt;1),DiscreteStatsTable[[#This Row],[HalfWidth]],DiscreteStatsTable[[#This Row],[BatchMeansHalfWidth]])</f>
        <v>8.1030167016926651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4">
      <c r="A513" t="s">
        <v>67</v>
      </c>
      <c r="B513" t="s">
        <v>69</v>
      </c>
      <c r="C513">
        <v>19</v>
      </c>
      <c r="D513" t="s">
        <v>80</v>
      </c>
      <c r="E513" t="s">
        <v>85</v>
      </c>
      <c r="F513" t="s">
        <v>82</v>
      </c>
      <c r="G513">
        <v>19.9615710393138</v>
      </c>
      <c r="H513">
        <v>0.64716666653579402</v>
      </c>
      <c r="I513">
        <v>6.3039204330257199</v>
      </c>
      <c r="J513">
        <v>49.298440497491796</v>
      </c>
      <c r="K513">
        <v>703</v>
      </c>
      <c r="L51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19.788825490074792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19.1753932585017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20.6416816415399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6.0540217345149898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49.959821430489797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680.04</v>
      </c>
      <c r="W513" s="5">
        <f>IF((DiscreteStatsTable[[#This Row],[RepsRequested]]&gt;1),DiscreteStatsTable[[#This Row],[HalfWidth]],DiscreteStatsTable[[#This Row],[BatchMeansHalfWidth]])</f>
        <v>9.3664325535411846E-2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4">
      <c r="A514" t="s">
        <v>67</v>
      </c>
      <c r="B514" t="s">
        <v>69</v>
      </c>
      <c r="C514">
        <v>19</v>
      </c>
      <c r="D514" t="s">
        <v>80</v>
      </c>
      <c r="E514" t="s">
        <v>86</v>
      </c>
      <c r="F514" t="s">
        <v>82</v>
      </c>
      <c r="G514">
        <v>0</v>
      </c>
      <c r="H514">
        <v>0</v>
      </c>
      <c r="I514">
        <v>0</v>
      </c>
      <c r="J514">
        <v>0</v>
      </c>
      <c r="K514">
        <v>703</v>
      </c>
      <c r="L51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680.04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4">
      <c r="A515" t="s">
        <v>67</v>
      </c>
      <c r="B515" t="s">
        <v>69</v>
      </c>
      <c r="C515">
        <v>19</v>
      </c>
      <c r="D515" t="s">
        <v>80</v>
      </c>
      <c r="E515" t="s">
        <v>87</v>
      </c>
      <c r="F515" t="s">
        <v>82</v>
      </c>
      <c r="G515">
        <v>72.098297022981399</v>
      </c>
      <c r="H515">
        <v>3E+20</v>
      </c>
      <c r="I515">
        <v>0</v>
      </c>
      <c r="J515">
        <v>251.790645700901</v>
      </c>
      <c r="K515">
        <v>703</v>
      </c>
      <c r="L51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92.011077552476877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28.394716781335426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37.235943946119903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170.78088451033599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458.06693976826199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680.04</v>
      </c>
      <c r="W515" s="5">
        <f>IF((DiscreteStatsTable[[#This Row],[RepsRequested]]&gt;1),DiscreteStatsTable[[#This Row],[HalfWidth]],DiscreteStatsTable[[#This Row],[BatchMeansHalfWidth]])</f>
        <v>8.0696892219473568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4">
      <c r="A516" t="s">
        <v>67</v>
      </c>
      <c r="B516" t="s">
        <v>69</v>
      </c>
      <c r="C516">
        <v>20</v>
      </c>
      <c r="D516" t="s">
        <v>80</v>
      </c>
      <c r="E516" t="s">
        <v>81</v>
      </c>
      <c r="F516" t="s">
        <v>82</v>
      </c>
      <c r="G516">
        <v>0</v>
      </c>
      <c r="H516">
        <v>0</v>
      </c>
      <c r="I516">
        <v>0</v>
      </c>
      <c r="J516">
        <v>0</v>
      </c>
      <c r="K516">
        <v>739</v>
      </c>
      <c r="L51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0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0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0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0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0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680.04</v>
      </c>
      <c r="W516" s="5">
        <f>IF((DiscreteStatsTable[[#This Row],[RepsRequested]]&gt;1),DiscreteStatsTable[[#This Row],[HalfWidth]],DiscreteStatsTable[[#This Row],[BatchMeansHalfWidth]])</f>
        <v>0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4">
      <c r="A517" t="s">
        <v>67</v>
      </c>
      <c r="B517" t="s">
        <v>69</v>
      </c>
      <c r="C517">
        <v>20</v>
      </c>
      <c r="D517" t="s">
        <v>80</v>
      </c>
      <c r="E517" t="s">
        <v>83</v>
      </c>
      <c r="F517" t="s">
        <v>82</v>
      </c>
      <c r="G517">
        <v>120.22573538236701</v>
      </c>
      <c r="H517">
        <v>2.7249327099052101</v>
      </c>
      <c r="I517">
        <v>70.094765556965498</v>
      </c>
      <c r="J517">
        <v>176.992173364705</v>
      </c>
      <c r="K517">
        <v>739</v>
      </c>
      <c r="L51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119.072877588487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1.1004315823637869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116.869916756062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121.279055923125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55.773522793583801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203.50100513585599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680.04</v>
      </c>
      <c r="W517" s="5">
        <f>IF((DiscreteStatsTable[[#This Row],[RepsRequested]]&gt;1),DiscreteStatsTable[[#This Row],[HalfWidth]],DiscreteStatsTable[[#This Row],[BatchMeansHalfWidth]])</f>
        <v>0.31273919539597844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4">
      <c r="A518" t="s">
        <v>67</v>
      </c>
      <c r="B518" t="s">
        <v>69</v>
      </c>
      <c r="C518">
        <v>20</v>
      </c>
      <c r="D518" t="s">
        <v>80</v>
      </c>
      <c r="E518" t="s">
        <v>84</v>
      </c>
      <c r="F518" t="s">
        <v>82</v>
      </c>
      <c r="G518">
        <v>239.49099530860201</v>
      </c>
      <c r="H518">
        <v>3E+20</v>
      </c>
      <c r="I518">
        <v>82.504215032168503</v>
      </c>
      <c r="J518">
        <v>434.65012471515797</v>
      </c>
      <c r="K518">
        <v>739</v>
      </c>
      <c r="L51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230.87278063103886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28.511985776754724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176.63374267103799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310.30313247646598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74.823945578616801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640.81970303432195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680.04</v>
      </c>
      <c r="W518" s="5">
        <f>IF((DiscreteStatsTable[[#This Row],[RepsRequested]]&gt;1),DiscreteStatsTable[[#This Row],[HalfWidth]],DiscreteStatsTable[[#This Row],[BatchMeansHalfWidth]])</f>
        <v>8.1030167016926651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4">
      <c r="A519" t="s">
        <v>67</v>
      </c>
      <c r="B519" t="s">
        <v>69</v>
      </c>
      <c r="C519">
        <v>20</v>
      </c>
      <c r="D519" t="s">
        <v>80</v>
      </c>
      <c r="E519" t="s">
        <v>85</v>
      </c>
      <c r="F519" t="s">
        <v>82</v>
      </c>
      <c r="G519">
        <v>20.076776142013799</v>
      </c>
      <c r="H519">
        <v>0.70632243390694005</v>
      </c>
      <c r="I519">
        <v>6.2314824230007799</v>
      </c>
      <c r="J519">
        <v>47.068232822823603</v>
      </c>
      <c r="K519">
        <v>739</v>
      </c>
      <c r="L51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19.788825490074792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19.1753932585017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20.6416816415399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6.0540217345149898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49.959821430489797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680.04</v>
      </c>
      <c r="W519" s="5">
        <f>IF((DiscreteStatsTable[[#This Row],[RepsRequested]]&gt;1),DiscreteStatsTable[[#This Row],[HalfWidth]],DiscreteStatsTable[[#This Row],[BatchMeansHalfWidth]])</f>
        <v>9.3664325535411846E-2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4">
      <c r="A520" t="s">
        <v>67</v>
      </c>
      <c r="B520" t="s">
        <v>69</v>
      </c>
      <c r="C520">
        <v>20</v>
      </c>
      <c r="D520" t="s">
        <v>80</v>
      </c>
      <c r="E520" t="s">
        <v>86</v>
      </c>
      <c r="F520" t="s">
        <v>82</v>
      </c>
      <c r="G520">
        <v>0</v>
      </c>
      <c r="H520">
        <v>0</v>
      </c>
      <c r="I520">
        <v>0</v>
      </c>
      <c r="J520">
        <v>0</v>
      </c>
      <c r="K520">
        <v>739</v>
      </c>
      <c r="L52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680.04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4">
      <c r="A521" t="s">
        <v>67</v>
      </c>
      <c r="B521" t="s">
        <v>69</v>
      </c>
      <c r="C521">
        <v>20</v>
      </c>
      <c r="D521" t="s">
        <v>80</v>
      </c>
      <c r="E521" t="s">
        <v>87</v>
      </c>
      <c r="F521" t="s">
        <v>82</v>
      </c>
      <c r="G521">
        <v>99.188483784221006</v>
      </c>
      <c r="H521">
        <v>3E+20</v>
      </c>
      <c r="I521">
        <v>0</v>
      </c>
      <c r="J521">
        <v>239.26535043298401</v>
      </c>
      <c r="K521">
        <v>739</v>
      </c>
      <c r="L52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92.011077552476877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28.394716781335426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37.235943946119903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170.78088451033599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458.06693976826199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680.04</v>
      </c>
      <c r="W521" s="5">
        <f>IF((DiscreteStatsTable[[#This Row],[RepsRequested]]&gt;1),DiscreteStatsTable[[#This Row],[HalfWidth]],DiscreteStatsTable[[#This Row],[BatchMeansHalfWidth]])</f>
        <v>8.0696892219473568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4">
      <c r="A522" t="s">
        <v>67</v>
      </c>
      <c r="B522" t="s">
        <v>69</v>
      </c>
      <c r="C522">
        <v>21</v>
      </c>
      <c r="D522" t="s">
        <v>80</v>
      </c>
      <c r="E522" t="s">
        <v>81</v>
      </c>
      <c r="F522" t="s">
        <v>82</v>
      </c>
      <c r="G522">
        <v>0</v>
      </c>
      <c r="H522">
        <v>0</v>
      </c>
      <c r="I522">
        <v>0</v>
      </c>
      <c r="J522">
        <v>0</v>
      </c>
      <c r="K522">
        <v>668</v>
      </c>
      <c r="L52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0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0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0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0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0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680.04</v>
      </c>
      <c r="W522" s="5">
        <f>IF((DiscreteStatsTable[[#This Row],[RepsRequested]]&gt;1),DiscreteStatsTable[[#This Row],[HalfWidth]],DiscreteStatsTable[[#This Row],[BatchMeansHalfWidth]])</f>
        <v>0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4">
      <c r="A523" t="s">
        <v>67</v>
      </c>
      <c r="B523" t="s">
        <v>69</v>
      </c>
      <c r="C523">
        <v>21</v>
      </c>
      <c r="D523" t="s">
        <v>80</v>
      </c>
      <c r="E523" t="s">
        <v>83</v>
      </c>
      <c r="F523" t="s">
        <v>82</v>
      </c>
      <c r="G523">
        <v>118.795090627096</v>
      </c>
      <c r="H523">
        <v>3.31883247934234</v>
      </c>
      <c r="I523">
        <v>61.8182533090473</v>
      </c>
      <c r="J523">
        <v>184.38591593714099</v>
      </c>
      <c r="K523">
        <v>668</v>
      </c>
      <c r="L52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119.072877588487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1.1004315823637869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116.869916756062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121.279055923125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55.773522793583801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203.50100513585599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680.04</v>
      </c>
      <c r="W523" s="5">
        <f>IF((DiscreteStatsTable[[#This Row],[RepsRequested]]&gt;1),DiscreteStatsTable[[#This Row],[HalfWidth]],DiscreteStatsTable[[#This Row],[BatchMeansHalfWidth]])</f>
        <v>0.31273919539597844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4">
      <c r="A524" t="s">
        <v>67</v>
      </c>
      <c r="B524" t="s">
        <v>69</v>
      </c>
      <c r="C524">
        <v>21</v>
      </c>
      <c r="D524" t="s">
        <v>80</v>
      </c>
      <c r="E524" t="s">
        <v>84</v>
      </c>
      <c r="F524" t="s">
        <v>82</v>
      </c>
      <c r="G524">
        <v>207.938470115082</v>
      </c>
      <c r="H524">
        <v>3E+20</v>
      </c>
      <c r="I524">
        <v>76.227519657636194</v>
      </c>
      <c r="J524">
        <v>430.49466761867598</v>
      </c>
      <c r="K524">
        <v>668</v>
      </c>
      <c r="L52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230.87278063103886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28.511985776754724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176.63374267103799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310.30313247646598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74.823945578616801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640.81970303432195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680.04</v>
      </c>
      <c r="W524" s="5">
        <f>IF((DiscreteStatsTable[[#This Row],[RepsRequested]]&gt;1),DiscreteStatsTable[[#This Row],[HalfWidth]],DiscreteStatsTable[[#This Row],[BatchMeansHalfWidth]])</f>
        <v>8.1030167016926651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4">
      <c r="A525" t="s">
        <v>67</v>
      </c>
      <c r="B525" t="s">
        <v>69</v>
      </c>
      <c r="C525">
        <v>21</v>
      </c>
      <c r="D525" t="s">
        <v>80</v>
      </c>
      <c r="E525" t="s">
        <v>85</v>
      </c>
      <c r="F525" t="s">
        <v>82</v>
      </c>
      <c r="G525">
        <v>19.622235699156199</v>
      </c>
      <c r="H525">
        <v>0.689091424687439</v>
      </c>
      <c r="I525">
        <v>6.3641917764990401</v>
      </c>
      <c r="J525">
        <v>48.948187754240102</v>
      </c>
      <c r="K525">
        <v>668</v>
      </c>
      <c r="L52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19.788825490074792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19.1753932585017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20.6416816415399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6.0540217345149898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49.959821430489797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680.04</v>
      </c>
      <c r="W525" s="5">
        <f>IF((DiscreteStatsTable[[#This Row],[RepsRequested]]&gt;1),DiscreteStatsTable[[#This Row],[HalfWidth]],DiscreteStatsTable[[#This Row],[BatchMeansHalfWidth]])</f>
        <v>9.3664325535411846E-2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4">
      <c r="A526" t="s">
        <v>67</v>
      </c>
      <c r="B526" t="s">
        <v>69</v>
      </c>
      <c r="C526">
        <v>21</v>
      </c>
      <c r="D526" t="s">
        <v>80</v>
      </c>
      <c r="E526" t="s">
        <v>86</v>
      </c>
      <c r="F526" t="s">
        <v>82</v>
      </c>
      <c r="G526">
        <v>0</v>
      </c>
      <c r="H526">
        <v>0</v>
      </c>
      <c r="I526">
        <v>0</v>
      </c>
      <c r="J526">
        <v>0</v>
      </c>
      <c r="K526">
        <v>668</v>
      </c>
      <c r="L52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680.04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4">
      <c r="A527" t="s">
        <v>67</v>
      </c>
      <c r="B527" t="s">
        <v>69</v>
      </c>
      <c r="C527">
        <v>21</v>
      </c>
      <c r="D527" t="s">
        <v>80</v>
      </c>
      <c r="E527" t="s">
        <v>87</v>
      </c>
      <c r="F527" t="s">
        <v>82</v>
      </c>
      <c r="G527">
        <v>69.521143788829306</v>
      </c>
      <c r="H527">
        <v>3E+20</v>
      </c>
      <c r="I527">
        <v>0</v>
      </c>
      <c r="J527">
        <v>237.246833187346</v>
      </c>
      <c r="K527">
        <v>668</v>
      </c>
      <c r="L52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92.011077552476877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28.394716781335426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37.235943946119903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170.78088451033599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458.06693976826199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680.04</v>
      </c>
      <c r="W527" s="5">
        <f>IF((DiscreteStatsTable[[#This Row],[RepsRequested]]&gt;1),DiscreteStatsTable[[#This Row],[HalfWidth]],DiscreteStatsTable[[#This Row],[BatchMeansHalfWidth]])</f>
        <v>8.0696892219473568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4">
      <c r="A528" t="s">
        <v>67</v>
      </c>
      <c r="B528" t="s">
        <v>69</v>
      </c>
      <c r="C528">
        <v>22</v>
      </c>
      <c r="D528" t="s">
        <v>80</v>
      </c>
      <c r="E528" t="s">
        <v>81</v>
      </c>
      <c r="F528" t="s">
        <v>82</v>
      </c>
      <c r="G528">
        <v>0</v>
      </c>
      <c r="H528">
        <v>0</v>
      </c>
      <c r="I528">
        <v>0</v>
      </c>
      <c r="J528">
        <v>0</v>
      </c>
      <c r="K528">
        <v>656</v>
      </c>
      <c r="L52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0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0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0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0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0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680.04</v>
      </c>
      <c r="W528" s="5">
        <f>IF((DiscreteStatsTable[[#This Row],[RepsRequested]]&gt;1),DiscreteStatsTable[[#This Row],[HalfWidth]],DiscreteStatsTable[[#This Row],[BatchMeansHalfWidth]])</f>
        <v>0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4">
      <c r="A529" t="s">
        <v>67</v>
      </c>
      <c r="B529" t="s">
        <v>69</v>
      </c>
      <c r="C529">
        <v>22</v>
      </c>
      <c r="D529" t="s">
        <v>80</v>
      </c>
      <c r="E529" t="s">
        <v>83</v>
      </c>
      <c r="F529" t="s">
        <v>82</v>
      </c>
      <c r="G529">
        <v>120.087838467669</v>
      </c>
      <c r="H529">
        <v>2.1307026113668899</v>
      </c>
      <c r="I529">
        <v>65.049196974873098</v>
      </c>
      <c r="J529">
        <v>186.961454027766</v>
      </c>
      <c r="K529">
        <v>656</v>
      </c>
      <c r="L52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119.072877588487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1.1004315823637869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116.869916756062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121.279055923125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55.773522793583801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203.50100513585599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680.04</v>
      </c>
      <c r="W529" s="5">
        <f>IF((DiscreteStatsTable[[#This Row],[RepsRequested]]&gt;1),DiscreteStatsTable[[#This Row],[HalfWidth]],DiscreteStatsTable[[#This Row],[BatchMeansHalfWidth]])</f>
        <v>0.31273919539597844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4">
      <c r="A530" t="s">
        <v>67</v>
      </c>
      <c r="B530" t="s">
        <v>69</v>
      </c>
      <c r="C530">
        <v>22</v>
      </c>
      <c r="D530" t="s">
        <v>80</v>
      </c>
      <c r="E530" t="s">
        <v>84</v>
      </c>
      <c r="F530" t="s">
        <v>82</v>
      </c>
      <c r="G530">
        <v>218.77168500566299</v>
      </c>
      <c r="H530">
        <v>3E+20</v>
      </c>
      <c r="I530">
        <v>89.229613078671207</v>
      </c>
      <c r="J530">
        <v>375.19809239837502</v>
      </c>
      <c r="K530">
        <v>656</v>
      </c>
      <c r="L53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230.87278063103886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28.511985776754724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176.63374267103799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310.30313247646598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74.823945578616801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640.81970303432195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680.04</v>
      </c>
      <c r="W530" s="5">
        <f>IF((DiscreteStatsTable[[#This Row],[RepsRequested]]&gt;1),DiscreteStatsTable[[#This Row],[HalfWidth]],DiscreteStatsTable[[#This Row],[BatchMeansHalfWidth]])</f>
        <v>8.1030167016926651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4">
      <c r="A531" t="s">
        <v>67</v>
      </c>
      <c r="B531" t="s">
        <v>69</v>
      </c>
      <c r="C531">
        <v>22</v>
      </c>
      <c r="D531" t="s">
        <v>80</v>
      </c>
      <c r="E531" t="s">
        <v>85</v>
      </c>
      <c r="F531" t="s">
        <v>82</v>
      </c>
      <c r="G531">
        <v>19.942848918262399</v>
      </c>
      <c r="H531">
        <v>0.65310000773111598</v>
      </c>
      <c r="I531">
        <v>6.3316083392979898</v>
      </c>
      <c r="J531">
        <v>49.2359512710159</v>
      </c>
      <c r="K531">
        <v>656</v>
      </c>
      <c r="L53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19.788825490074792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19.1753932585017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20.6416816415399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6.0540217345149898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49.959821430489797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680.04</v>
      </c>
      <c r="W531" s="5">
        <f>IF((DiscreteStatsTable[[#This Row],[RepsRequested]]&gt;1),DiscreteStatsTable[[#This Row],[HalfWidth]],DiscreteStatsTable[[#This Row],[BatchMeansHalfWidth]])</f>
        <v>9.3664325535411846E-2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4">
      <c r="A532" t="s">
        <v>67</v>
      </c>
      <c r="B532" t="s">
        <v>69</v>
      </c>
      <c r="C532">
        <v>22</v>
      </c>
      <c r="D532" t="s">
        <v>80</v>
      </c>
      <c r="E532" t="s">
        <v>86</v>
      </c>
      <c r="F532" t="s">
        <v>82</v>
      </c>
      <c r="G532">
        <v>0</v>
      </c>
      <c r="H532">
        <v>0</v>
      </c>
      <c r="I532">
        <v>0</v>
      </c>
      <c r="J532">
        <v>0</v>
      </c>
      <c r="K532">
        <v>656</v>
      </c>
      <c r="L53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680.04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4">
      <c r="A533" t="s">
        <v>67</v>
      </c>
      <c r="B533" t="s">
        <v>69</v>
      </c>
      <c r="C533">
        <v>22</v>
      </c>
      <c r="D533" t="s">
        <v>80</v>
      </c>
      <c r="E533" t="s">
        <v>87</v>
      </c>
      <c r="F533" t="s">
        <v>82</v>
      </c>
      <c r="G533">
        <v>78.7409976197319</v>
      </c>
      <c r="H533">
        <v>3E+20</v>
      </c>
      <c r="I533">
        <v>0</v>
      </c>
      <c r="J533">
        <v>178.26922590876799</v>
      </c>
      <c r="K533">
        <v>656</v>
      </c>
      <c r="L53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92.011077552476877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28.394716781335426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37.235943946119903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170.78088451033599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458.06693976826199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680.04</v>
      </c>
      <c r="W533" s="5">
        <f>IF((DiscreteStatsTable[[#This Row],[RepsRequested]]&gt;1),DiscreteStatsTable[[#This Row],[HalfWidth]],DiscreteStatsTable[[#This Row],[BatchMeansHalfWidth]])</f>
        <v>8.0696892219473568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4">
      <c r="A534" t="s">
        <v>67</v>
      </c>
      <c r="B534" t="s">
        <v>69</v>
      </c>
      <c r="C534">
        <v>23</v>
      </c>
      <c r="D534" t="s">
        <v>80</v>
      </c>
      <c r="E534" t="s">
        <v>81</v>
      </c>
      <c r="F534" t="s">
        <v>82</v>
      </c>
      <c r="G534">
        <v>0</v>
      </c>
      <c r="H534">
        <v>0</v>
      </c>
      <c r="I534">
        <v>0</v>
      </c>
      <c r="J534">
        <v>0</v>
      </c>
      <c r="K534">
        <v>702</v>
      </c>
      <c r="L53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0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0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0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0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0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680.04</v>
      </c>
      <c r="W534" s="5">
        <f>IF((DiscreteStatsTable[[#This Row],[RepsRequested]]&gt;1),DiscreteStatsTable[[#This Row],[HalfWidth]],DiscreteStatsTable[[#This Row],[BatchMeansHalfWidth]])</f>
        <v>0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4">
      <c r="A535" t="s">
        <v>67</v>
      </c>
      <c r="B535" t="s">
        <v>69</v>
      </c>
      <c r="C535">
        <v>23</v>
      </c>
      <c r="D535" t="s">
        <v>80</v>
      </c>
      <c r="E535" t="s">
        <v>83</v>
      </c>
      <c r="F535" t="s">
        <v>82</v>
      </c>
      <c r="G535">
        <v>121.279055923125</v>
      </c>
      <c r="H535">
        <v>2.3558385897444301</v>
      </c>
      <c r="I535">
        <v>64.467614716155396</v>
      </c>
      <c r="J535">
        <v>189.528965012062</v>
      </c>
      <c r="K535">
        <v>702</v>
      </c>
      <c r="L53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119.072877588487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1.1004315823637869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116.869916756062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121.279055923125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55.773522793583801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203.50100513585599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680.04</v>
      </c>
      <c r="W535" s="5">
        <f>IF((DiscreteStatsTable[[#This Row],[RepsRequested]]&gt;1),DiscreteStatsTable[[#This Row],[HalfWidth]],DiscreteStatsTable[[#This Row],[BatchMeansHalfWidth]])</f>
        <v>0.31273919539597844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4">
      <c r="A536" t="s">
        <v>67</v>
      </c>
      <c r="B536" t="s">
        <v>69</v>
      </c>
      <c r="C536">
        <v>23</v>
      </c>
      <c r="D536" t="s">
        <v>80</v>
      </c>
      <c r="E536" t="s">
        <v>84</v>
      </c>
      <c r="F536" t="s">
        <v>82</v>
      </c>
      <c r="G536">
        <v>263.409879927139</v>
      </c>
      <c r="H536">
        <v>3E+20</v>
      </c>
      <c r="I536">
        <v>81.395542908188901</v>
      </c>
      <c r="J536">
        <v>499.124507313631</v>
      </c>
      <c r="K536">
        <v>702</v>
      </c>
      <c r="L53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230.87278063103886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28.511985776754724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176.63374267103799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310.30313247646598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74.823945578616801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640.81970303432195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680.04</v>
      </c>
      <c r="W536" s="5">
        <f>IF((DiscreteStatsTable[[#This Row],[RepsRequested]]&gt;1),DiscreteStatsTable[[#This Row],[HalfWidth]],DiscreteStatsTable[[#This Row],[BatchMeansHalfWidth]])</f>
        <v>8.1030167016926651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4">
      <c r="A537" t="s">
        <v>67</v>
      </c>
      <c r="B537" t="s">
        <v>69</v>
      </c>
      <c r="C537">
        <v>23</v>
      </c>
      <c r="D537" t="s">
        <v>80</v>
      </c>
      <c r="E537" t="s">
        <v>85</v>
      </c>
      <c r="F537" t="s">
        <v>82</v>
      </c>
      <c r="G537">
        <v>19.816650599941799</v>
      </c>
      <c r="H537">
        <v>0.53819711937288695</v>
      </c>
      <c r="I537">
        <v>7.0849959497420496</v>
      </c>
      <c r="J537">
        <v>45.308274696824597</v>
      </c>
      <c r="K537">
        <v>702</v>
      </c>
      <c r="L53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19.788825490074792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19.1753932585017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20.6416816415399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6.0540217345149898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49.959821430489797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680.04</v>
      </c>
      <c r="W537" s="5">
        <f>IF((DiscreteStatsTable[[#This Row],[RepsRequested]]&gt;1),DiscreteStatsTable[[#This Row],[HalfWidth]],DiscreteStatsTable[[#This Row],[BatchMeansHalfWidth]])</f>
        <v>9.3664325535411846E-2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4">
      <c r="A538" t="s">
        <v>67</v>
      </c>
      <c r="B538" t="s">
        <v>69</v>
      </c>
      <c r="C538">
        <v>23</v>
      </c>
      <c r="D538" t="s">
        <v>80</v>
      </c>
      <c r="E538" t="s">
        <v>86</v>
      </c>
      <c r="F538" t="s">
        <v>82</v>
      </c>
      <c r="G538">
        <v>0</v>
      </c>
      <c r="H538">
        <v>0</v>
      </c>
      <c r="I538">
        <v>0</v>
      </c>
      <c r="J538">
        <v>0</v>
      </c>
      <c r="K538">
        <v>702</v>
      </c>
      <c r="L53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680.04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4">
      <c r="A539" t="s">
        <v>67</v>
      </c>
      <c r="B539" t="s">
        <v>69</v>
      </c>
      <c r="C539">
        <v>23</v>
      </c>
      <c r="D539" t="s">
        <v>80</v>
      </c>
      <c r="E539" t="s">
        <v>87</v>
      </c>
      <c r="F539" t="s">
        <v>82</v>
      </c>
      <c r="G539">
        <v>122.31417340407199</v>
      </c>
      <c r="H539">
        <v>3E+20</v>
      </c>
      <c r="I539">
        <v>0</v>
      </c>
      <c r="J539">
        <v>309.99361754327998</v>
      </c>
      <c r="K539">
        <v>702</v>
      </c>
      <c r="L53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92.011077552476877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28.394716781335426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37.235943946119903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170.78088451033599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458.06693976826199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680.04</v>
      </c>
      <c r="W539" s="5">
        <f>IF((DiscreteStatsTable[[#This Row],[RepsRequested]]&gt;1),DiscreteStatsTable[[#This Row],[HalfWidth]],DiscreteStatsTable[[#This Row],[BatchMeansHalfWidth]])</f>
        <v>8.0696892219473568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4">
      <c r="A540" t="s">
        <v>67</v>
      </c>
      <c r="B540" t="s">
        <v>69</v>
      </c>
      <c r="C540">
        <v>24</v>
      </c>
      <c r="D540" t="s">
        <v>80</v>
      </c>
      <c r="E540" t="s">
        <v>81</v>
      </c>
      <c r="F540" t="s">
        <v>82</v>
      </c>
      <c r="G540">
        <v>0</v>
      </c>
      <c r="H540">
        <v>0</v>
      </c>
      <c r="I540">
        <v>0</v>
      </c>
      <c r="J540">
        <v>0</v>
      </c>
      <c r="K540">
        <v>714</v>
      </c>
      <c r="L54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0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0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0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0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0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680.04</v>
      </c>
      <c r="W540" s="5">
        <f>IF((DiscreteStatsTable[[#This Row],[RepsRequested]]&gt;1),DiscreteStatsTable[[#This Row],[HalfWidth]],DiscreteStatsTable[[#This Row],[BatchMeansHalfWidth]])</f>
        <v>0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4">
      <c r="A541" t="s">
        <v>67</v>
      </c>
      <c r="B541" t="s">
        <v>69</v>
      </c>
      <c r="C541">
        <v>24</v>
      </c>
      <c r="D541" t="s">
        <v>80</v>
      </c>
      <c r="E541" t="s">
        <v>83</v>
      </c>
      <c r="F541" t="s">
        <v>82</v>
      </c>
      <c r="G541">
        <v>118.653847115956</v>
      </c>
      <c r="H541">
        <v>2.1174044644641601</v>
      </c>
      <c r="I541">
        <v>65.225799822623699</v>
      </c>
      <c r="J541">
        <v>186.85986911904101</v>
      </c>
      <c r="K541">
        <v>714</v>
      </c>
      <c r="L54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119.072877588487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1.1004315823637869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116.869916756062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121.279055923125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55.773522793583801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203.50100513585599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680.04</v>
      </c>
      <c r="W541" s="5">
        <f>IF((DiscreteStatsTable[[#This Row],[RepsRequested]]&gt;1),DiscreteStatsTable[[#This Row],[HalfWidth]],DiscreteStatsTable[[#This Row],[BatchMeansHalfWidth]])</f>
        <v>0.31273919539597844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4">
      <c r="A542" t="s">
        <v>67</v>
      </c>
      <c r="B542" t="s">
        <v>69</v>
      </c>
      <c r="C542">
        <v>24</v>
      </c>
      <c r="D542" t="s">
        <v>80</v>
      </c>
      <c r="E542" t="s">
        <v>84</v>
      </c>
      <c r="F542" t="s">
        <v>82</v>
      </c>
      <c r="G542">
        <v>229.24871813427399</v>
      </c>
      <c r="H542">
        <v>3E+20</v>
      </c>
      <c r="I542">
        <v>74.823945578616801</v>
      </c>
      <c r="J542">
        <v>395.81936213911001</v>
      </c>
      <c r="K542">
        <v>714</v>
      </c>
      <c r="L54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230.87278063103886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28.511985776754724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176.63374267103799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310.30313247646598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74.823945578616801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640.81970303432195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680.04</v>
      </c>
      <c r="W542" s="5">
        <f>IF((DiscreteStatsTable[[#This Row],[RepsRequested]]&gt;1),DiscreteStatsTable[[#This Row],[HalfWidth]],DiscreteStatsTable[[#This Row],[BatchMeansHalfWidth]])</f>
        <v>8.1030167016926651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4">
      <c r="A543" t="s">
        <v>67</v>
      </c>
      <c r="B543" t="s">
        <v>69</v>
      </c>
      <c r="C543">
        <v>24</v>
      </c>
      <c r="D543" t="s">
        <v>80</v>
      </c>
      <c r="E543" t="s">
        <v>85</v>
      </c>
      <c r="F543" t="s">
        <v>82</v>
      </c>
      <c r="G543">
        <v>19.3769000610361</v>
      </c>
      <c r="H543">
        <v>0.51533133901955297</v>
      </c>
      <c r="I543">
        <v>6.5626361959327797</v>
      </c>
      <c r="J543">
        <v>47.217423786643799</v>
      </c>
      <c r="K543">
        <v>714</v>
      </c>
      <c r="L54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19.788825490074792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19.1753932585017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20.6416816415399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6.0540217345149898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49.959821430489797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680.04</v>
      </c>
      <c r="W543" s="5">
        <f>IF((DiscreteStatsTable[[#This Row],[RepsRequested]]&gt;1),DiscreteStatsTable[[#This Row],[HalfWidth]],DiscreteStatsTable[[#This Row],[BatchMeansHalfWidth]])</f>
        <v>9.3664325535411846E-2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4">
      <c r="A544" t="s">
        <v>67</v>
      </c>
      <c r="B544" t="s">
        <v>69</v>
      </c>
      <c r="C544">
        <v>24</v>
      </c>
      <c r="D544" t="s">
        <v>80</v>
      </c>
      <c r="E544" t="s">
        <v>86</v>
      </c>
      <c r="F544" t="s">
        <v>82</v>
      </c>
      <c r="G544">
        <v>0</v>
      </c>
      <c r="H544">
        <v>0</v>
      </c>
      <c r="I544">
        <v>0</v>
      </c>
      <c r="J544">
        <v>0</v>
      </c>
      <c r="K544">
        <v>714</v>
      </c>
      <c r="L54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680.04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4">
      <c r="A545" t="s">
        <v>67</v>
      </c>
      <c r="B545" t="s">
        <v>69</v>
      </c>
      <c r="C545">
        <v>24</v>
      </c>
      <c r="D545" t="s">
        <v>80</v>
      </c>
      <c r="E545" t="s">
        <v>87</v>
      </c>
      <c r="F545" t="s">
        <v>82</v>
      </c>
      <c r="G545">
        <v>91.217970957281196</v>
      </c>
      <c r="H545">
        <v>3E+20</v>
      </c>
      <c r="I545">
        <v>0</v>
      </c>
      <c r="J545">
        <v>213.80195266644</v>
      </c>
      <c r="K545">
        <v>714</v>
      </c>
      <c r="L54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92.011077552476877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28.394716781335426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37.235943946119903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170.78088451033599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458.06693976826199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680.04</v>
      </c>
      <c r="W545" s="5">
        <f>IF((DiscreteStatsTable[[#This Row],[RepsRequested]]&gt;1),DiscreteStatsTable[[#This Row],[HalfWidth]],DiscreteStatsTable[[#This Row],[BatchMeansHalfWidth]])</f>
        <v>8.0696892219473568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4">
      <c r="A546" t="s">
        <v>67</v>
      </c>
      <c r="B546" t="s">
        <v>69</v>
      </c>
      <c r="C546">
        <v>25</v>
      </c>
      <c r="D546" t="s">
        <v>80</v>
      </c>
      <c r="E546" t="s">
        <v>81</v>
      </c>
      <c r="F546" t="s">
        <v>82</v>
      </c>
      <c r="G546">
        <v>0</v>
      </c>
      <c r="H546">
        <v>0</v>
      </c>
      <c r="I546">
        <v>0</v>
      </c>
      <c r="J546">
        <v>0</v>
      </c>
      <c r="K546">
        <v>763</v>
      </c>
      <c r="L54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0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0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0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0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0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680.04</v>
      </c>
      <c r="W546" s="5">
        <f>IF((DiscreteStatsTable[[#This Row],[RepsRequested]]&gt;1),DiscreteStatsTable[[#This Row],[HalfWidth]],DiscreteStatsTable[[#This Row],[BatchMeansHalfWidth]])</f>
        <v>0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4">
      <c r="A547" t="s">
        <v>67</v>
      </c>
      <c r="B547" t="s">
        <v>69</v>
      </c>
      <c r="C547">
        <v>25</v>
      </c>
      <c r="D547" t="s">
        <v>80</v>
      </c>
      <c r="E547" t="s">
        <v>83</v>
      </c>
      <c r="F547" t="s">
        <v>82</v>
      </c>
      <c r="G547">
        <v>116.869916756062</v>
      </c>
      <c r="H547">
        <v>3E+20</v>
      </c>
      <c r="I547">
        <v>57.821945225000803</v>
      </c>
      <c r="J547">
        <v>170.98931121975701</v>
      </c>
      <c r="K547">
        <v>763</v>
      </c>
      <c r="L54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119.072877588487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1.1004315823637869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116.869916756062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121.279055923125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55.773522793583801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203.50100513585599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680.04</v>
      </c>
      <c r="W547" s="5">
        <f>IF((DiscreteStatsTable[[#This Row],[RepsRequested]]&gt;1),DiscreteStatsTable[[#This Row],[HalfWidth]],DiscreteStatsTable[[#This Row],[BatchMeansHalfWidth]])</f>
        <v>0.31273919539597844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4">
      <c r="A548" t="s">
        <v>67</v>
      </c>
      <c r="B548" t="s">
        <v>69</v>
      </c>
      <c r="C548">
        <v>25</v>
      </c>
      <c r="D548" t="s">
        <v>80</v>
      </c>
      <c r="E548" t="s">
        <v>84</v>
      </c>
      <c r="F548" t="s">
        <v>82</v>
      </c>
      <c r="G548">
        <v>216.859014513289</v>
      </c>
      <c r="H548">
        <v>3E+20</v>
      </c>
      <c r="I548">
        <v>78.5377460502948</v>
      </c>
      <c r="J548">
        <v>443.86489609069503</v>
      </c>
      <c r="K548">
        <v>763</v>
      </c>
      <c r="L54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230.87278063103886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28.511985776754724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176.63374267103799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310.30313247646598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74.823945578616801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640.81970303432195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680.04</v>
      </c>
      <c r="W548" s="5">
        <f>IF((DiscreteStatsTable[[#This Row],[RepsRequested]]&gt;1),DiscreteStatsTable[[#This Row],[HalfWidth]],DiscreteStatsTable[[#This Row],[BatchMeansHalfWidth]])</f>
        <v>8.1030167016926651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4">
      <c r="A549" t="s">
        <v>67</v>
      </c>
      <c r="B549" t="s">
        <v>69</v>
      </c>
      <c r="C549">
        <v>25</v>
      </c>
      <c r="D549" t="s">
        <v>80</v>
      </c>
      <c r="E549" t="s">
        <v>85</v>
      </c>
      <c r="F549" t="s">
        <v>82</v>
      </c>
      <c r="G549">
        <v>19.410165532815899</v>
      </c>
      <c r="H549">
        <v>0.63576808188211598</v>
      </c>
      <c r="I549">
        <v>6.2133880291064498</v>
      </c>
      <c r="J549">
        <v>43.005037051867902</v>
      </c>
      <c r="K549">
        <v>763</v>
      </c>
      <c r="L54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19.788825490074792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19.1753932585017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20.6416816415399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6.0540217345149898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49.959821430489797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680.04</v>
      </c>
      <c r="W549" s="5">
        <f>IF((DiscreteStatsTable[[#This Row],[RepsRequested]]&gt;1),DiscreteStatsTable[[#This Row],[HalfWidth]],DiscreteStatsTable[[#This Row],[BatchMeansHalfWidth]])</f>
        <v>9.3664325535411846E-2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4">
      <c r="A550" t="s">
        <v>67</v>
      </c>
      <c r="B550" t="s">
        <v>69</v>
      </c>
      <c r="C550">
        <v>25</v>
      </c>
      <c r="D550" t="s">
        <v>80</v>
      </c>
      <c r="E550" t="s">
        <v>86</v>
      </c>
      <c r="F550" t="s">
        <v>82</v>
      </c>
      <c r="G550">
        <v>0</v>
      </c>
      <c r="H550">
        <v>0</v>
      </c>
      <c r="I550">
        <v>0</v>
      </c>
      <c r="J550">
        <v>0</v>
      </c>
      <c r="K550">
        <v>763</v>
      </c>
      <c r="L55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680.04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4">
      <c r="A551" t="s">
        <v>67</v>
      </c>
      <c r="B551" t="s">
        <v>69</v>
      </c>
      <c r="C551">
        <v>25</v>
      </c>
      <c r="D551" t="s">
        <v>80</v>
      </c>
      <c r="E551" t="s">
        <v>87</v>
      </c>
      <c r="F551" t="s">
        <v>82</v>
      </c>
      <c r="G551">
        <v>80.5789322244121</v>
      </c>
      <c r="H551">
        <v>3E+20</v>
      </c>
      <c r="I551">
        <v>0</v>
      </c>
      <c r="J551">
        <v>270.74494987572803</v>
      </c>
      <c r="K551">
        <v>763</v>
      </c>
      <c r="L55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92.011077552476877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28.394716781335426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37.235943946119903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170.78088451033599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458.06693976826199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680.04</v>
      </c>
      <c r="W551" s="5">
        <f>IF((DiscreteStatsTable[[#This Row],[RepsRequested]]&gt;1),DiscreteStatsTable[[#This Row],[HalfWidth]],DiscreteStatsTable[[#This Row],[BatchMeansHalfWidth]])</f>
        <v>8.0696892219473568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4">
      <c r="A552" t="s">
        <v>67</v>
      </c>
      <c r="B552" t="s">
        <v>69</v>
      </c>
      <c r="C552">
        <v>26</v>
      </c>
      <c r="D552" t="s">
        <v>80</v>
      </c>
      <c r="E552" t="s">
        <v>81</v>
      </c>
      <c r="F552" t="s">
        <v>82</v>
      </c>
      <c r="G552">
        <v>0</v>
      </c>
      <c r="H552">
        <v>0</v>
      </c>
      <c r="I552">
        <v>0</v>
      </c>
      <c r="J552">
        <v>0</v>
      </c>
      <c r="K552">
        <v>635</v>
      </c>
      <c r="L55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0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0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0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0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0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680.04</v>
      </c>
      <c r="W552" s="5">
        <f>IF((DiscreteStatsTable[[#This Row],[RepsRequested]]&gt;1),DiscreteStatsTable[[#This Row],[HalfWidth]],DiscreteStatsTable[[#This Row],[BatchMeansHalfWidth]])</f>
        <v>0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4">
      <c r="A553" t="s">
        <v>67</v>
      </c>
      <c r="B553" t="s">
        <v>69</v>
      </c>
      <c r="C553">
        <v>26</v>
      </c>
      <c r="D553" t="s">
        <v>80</v>
      </c>
      <c r="E553" t="s">
        <v>83</v>
      </c>
      <c r="F553" t="s">
        <v>82</v>
      </c>
      <c r="G553">
        <v>120.276670534505</v>
      </c>
      <c r="H553">
        <v>2.5259511345321601</v>
      </c>
      <c r="I553">
        <v>69.286164137728505</v>
      </c>
      <c r="J553">
        <v>184.10362628047301</v>
      </c>
      <c r="K553">
        <v>635</v>
      </c>
      <c r="L55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119.072877588487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1.1004315823637869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116.869916756062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121.279055923125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55.773522793583801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203.50100513585599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680.04</v>
      </c>
      <c r="W553" s="5">
        <f>IF((DiscreteStatsTable[[#This Row],[RepsRequested]]&gt;1),DiscreteStatsTable[[#This Row],[HalfWidth]],DiscreteStatsTable[[#This Row],[BatchMeansHalfWidth]])</f>
        <v>0.31273919539597844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4">
      <c r="A554" t="s">
        <v>67</v>
      </c>
      <c r="B554" t="s">
        <v>69</v>
      </c>
      <c r="C554">
        <v>26</v>
      </c>
      <c r="D554" t="s">
        <v>80</v>
      </c>
      <c r="E554" t="s">
        <v>84</v>
      </c>
      <c r="F554" t="s">
        <v>82</v>
      </c>
      <c r="G554">
        <v>276.72718856036198</v>
      </c>
      <c r="H554">
        <v>3E+20</v>
      </c>
      <c r="I554">
        <v>81.216765553228399</v>
      </c>
      <c r="J554">
        <v>526.28488029392702</v>
      </c>
      <c r="K554">
        <v>635</v>
      </c>
      <c r="L55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230.87278063103886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28.511985776754724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176.63374267103799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310.30313247646598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74.823945578616801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640.81970303432195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680.04</v>
      </c>
      <c r="W554" s="5">
        <f>IF((DiscreteStatsTable[[#This Row],[RepsRequested]]&gt;1),DiscreteStatsTable[[#This Row],[HalfWidth]],DiscreteStatsTable[[#This Row],[BatchMeansHalfWidth]])</f>
        <v>8.1030167016926651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4">
      <c r="A555" t="s">
        <v>67</v>
      </c>
      <c r="B555" t="s">
        <v>69</v>
      </c>
      <c r="C555">
        <v>26</v>
      </c>
      <c r="D555" t="s">
        <v>80</v>
      </c>
      <c r="E555" t="s">
        <v>85</v>
      </c>
      <c r="F555" t="s">
        <v>82</v>
      </c>
      <c r="G555">
        <v>20.060097599535599</v>
      </c>
      <c r="H555">
        <v>3E+20</v>
      </c>
      <c r="I555">
        <v>6.2347179731511897</v>
      </c>
      <c r="J555">
        <v>48.473569860123</v>
      </c>
      <c r="K555">
        <v>635</v>
      </c>
      <c r="L55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19.788825490074792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19.1753932585017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20.6416816415399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6.0540217345149898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49.959821430489797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680.04</v>
      </c>
      <c r="W555" s="5">
        <f>IF((DiscreteStatsTable[[#This Row],[RepsRequested]]&gt;1),DiscreteStatsTable[[#This Row],[HalfWidth]],DiscreteStatsTable[[#This Row],[BatchMeansHalfWidth]])</f>
        <v>9.3664325535411846E-2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4">
      <c r="A556" t="s">
        <v>67</v>
      </c>
      <c r="B556" t="s">
        <v>69</v>
      </c>
      <c r="C556">
        <v>26</v>
      </c>
      <c r="D556" t="s">
        <v>80</v>
      </c>
      <c r="E556" t="s">
        <v>86</v>
      </c>
      <c r="F556" t="s">
        <v>82</v>
      </c>
      <c r="G556">
        <v>0</v>
      </c>
      <c r="H556">
        <v>0</v>
      </c>
      <c r="I556">
        <v>0</v>
      </c>
      <c r="J556">
        <v>0</v>
      </c>
      <c r="K556">
        <v>635</v>
      </c>
      <c r="L55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680.04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4">
      <c r="A557" t="s">
        <v>67</v>
      </c>
      <c r="B557" t="s">
        <v>69</v>
      </c>
      <c r="C557">
        <v>26</v>
      </c>
      <c r="D557" t="s">
        <v>80</v>
      </c>
      <c r="E557" t="s">
        <v>87</v>
      </c>
      <c r="F557" t="s">
        <v>82</v>
      </c>
      <c r="G557">
        <v>136.39042042632099</v>
      </c>
      <c r="H557">
        <v>3E+20</v>
      </c>
      <c r="I557">
        <v>0</v>
      </c>
      <c r="J557">
        <v>337.44948817678699</v>
      </c>
      <c r="K557">
        <v>635</v>
      </c>
      <c r="L55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92.011077552476877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28.394716781335426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37.235943946119903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170.78088451033599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458.06693976826199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680.04</v>
      </c>
      <c r="W557" s="5">
        <f>IF((DiscreteStatsTable[[#This Row],[RepsRequested]]&gt;1),DiscreteStatsTable[[#This Row],[HalfWidth]],DiscreteStatsTable[[#This Row],[BatchMeansHalfWidth]])</f>
        <v>8.0696892219473568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4">
      <c r="A558" t="s">
        <v>67</v>
      </c>
      <c r="B558" t="s">
        <v>69</v>
      </c>
      <c r="C558">
        <v>27</v>
      </c>
      <c r="D558" t="s">
        <v>80</v>
      </c>
      <c r="E558" t="s">
        <v>81</v>
      </c>
      <c r="F558" t="s">
        <v>82</v>
      </c>
      <c r="G558">
        <v>0</v>
      </c>
      <c r="H558">
        <v>0</v>
      </c>
      <c r="I558">
        <v>0</v>
      </c>
      <c r="J558">
        <v>0</v>
      </c>
      <c r="K558">
        <v>687</v>
      </c>
      <c r="L55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0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0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0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0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0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680.04</v>
      </c>
      <c r="W558" s="5">
        <f>IF((DiscreteStatsTable[[#This Row],[RepsRequested]]&gt;1),DiscreteStatsTable[[#This Row],[HalfWidth]],DiscreteStatsTable[[#This Row],[BatchMeansHalfWidth]])</f>
        <v>0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4">
      <c r="A559" t="s">
        <v>67</v>
      </c>
      <c r="B559" t="s">
        <v>69</v>
      </c>
      <c r="C559">
        <v>27</v>
      </c>
      <c r="D559" t="s">
        <v>80</v>
      </c>
      <c r="E559" t="s">
        <v>83</v>
      </c>
      <c r="F559" t="s">
        <v>82</v>
      </c>
      <c r="G559">
        <v>117.37443862410301</v>
      </c>
      <c r="H559">
        <v>2.29039902643816</v>
      </c>
      <c r="I559">
        <v>67.972339271558596</v>
      </c>
      <c r="J559">
        <v>179.46786672615301</v>
      </c>
      <c r="K559">
        <v>687</v>
      </c>
      <c r="L55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119.072877588487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1.1004315823637869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116.869916756062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121.279055923125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55.773522793583801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203.50100513585599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680.04</v>
      </c>
      <c r="W559" s="5">
        <f>IF((DiscreteStatsTable[[#This Row],[RepsRequested]]&gt;1),DiscreteStatsTable[[#This Row],[HalfWidth]],DiscreteStatsTable[[#This Row],[BatchMeansHalfWidth]])</f>
        <v>0.31273919539597844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4">
      <c r="A560" t="s">
        <v>67</v>
      </c>
      <c r="B560" t="s">
        <v>69</v>
      </c>
      <c r="C560">
        <v>27</v>
      </c>
      <c r="D560" t="s">
        <v>80</v>
      </c>
      <c r="E560" t="s">
        <v>84</v>
      </c>
      <c r="F560" t="s">
        <v>82</v>
      </c>
      <c r="G560">
        <v>200.12183474872299</v>
      </c>
      <c r="H560">
        <v>3E+20</v>
      </c>
      <c r="I560">
        <v>82.895947033269294</v>
      </c>
      <c r="J560">
        <v>408.65801871533301</v>
      </c>
      <c r="K560">
        <v>687</v>
      </c>
      <c r="L56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230.87278063103886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28.511985776754724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176.63374267103799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310.30313247646598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74.823945578616801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640.81970303432195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680.04</v>
      </c>
      <c r="W560" s="5">
        <f>IF((DiscreteStatsTable[[#This Row],[RepsRequested]]&gt;1),DiscreteStatsTable[[#This Row],[HalfWidth]],DiscreteStatsTable[[#This Row],[BatchMeansHalfWidth]])</f>
        <v>8.1030167016926651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4">
      <c r="A561" t="s">
        <v>67</v>
      </c>
      <c r="B561" t="s">
        <v>69</v>
      </c>
      <c r="C561">
        <v>27</v>
      </c>
      <c r="D561" t="s">
        <v>80</v>
      </c>
      <c r="E561" t="s">
        <v>85</v>
      </c>
      <c r="F561" t="s">
        <v>82</v>
      </c>
      <c r="G561">
        <v>19.3483257852976</v>
      </c>
      <c r="H561">
        <v>0.65080458849974099</v>
      </c>
      <c r="I561">
        <v>6.0857684617147898</v>
      </c>
      <c r="J561">
        <v>45.936029196522703</v>
      </c>
      <c r="K561">
        <v>687</v>
      </c>
      <c r="L56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19.788825490074792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19.1753932585017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20.6416816415399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6.0540217345149898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49.959821430489797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680.04</v>
      </c>
      <c r="W561" s="5">
        <f>IF((DiscreteStatsTable[[#This Row],[RepsRequested]]&gt;1),DiscreteStatsTable[[#This Row],[HalfWidth]],DiscreteStatsTable[[#This Row],[BatchMeansHalfWidth]])</f>
        <v>9.3664325535411846E-2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4">
      <c r="A562" t="s">
        <v>67</v>
      </c>
      <c r="B562" t="s">
        <v>69</v>
      </c>
      <c r="C562">
        <v>27</v>
      </c>
      <c r="D562" t="s">
        <v>80</v>
      </c>
      <c r="E562" t="s">
        <v>86</v>
      </c>
      <c r="F562" t="s">
        <v>82</v>
      </c>
      <c r="G562">
        <v>0</v>
      </c>
      <c r="H562">
        <v>0</v>
      </c>
      <c r="I562">
        <v>0</v>
      </c>
      <c r="J562">
        <v>0</v>
      </c>
      <c r="K562">
        <v>687</v>
      </c>
      <c r="L56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680.04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4">
      <c r="A563" t="s">
        <v>67</v>
      </c>
      <c r="B563" t="s">
        <v>69</v>
      </c>
      <c r="C563">
        <v>27</v>
      </c>
      <c r="D563" t="s">
        <v>80</v>
      </c>
      <c r="E563" t="s">
        <v>87</v>
      </c>
      <c r="F563" t="s">
        <v>82</v>
      </c>
      <c r="G563">
        <v>63.399070339323004</v>
      </c>
      <c r="H563">
        <v>3E+20</v>
      </c>
      <c r="I563">
        <v>0</v>
      </c>
      <c r="J563">
        <v>224.45290861097101</v>
      </c>
      <c r="K563">
        <v>687</v>
      </c>
      <c r="L56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92.011077552476877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28.394716781335426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37.235943946119903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170.78088451033599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458.06693976826199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680.04</v>
      </c>
      <c r="W563" s="5">
        <f>IF((DiscreteStatsTable[[#This Row],[RepsRequested]]&gt;1),DiscreteStatsTable[[#This Row],[HalfWidth]],DiscreteStatsTable[[#This Row],[BatchMeansHalfWidth]])</f>
        <v>8.0696892219473568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4">
      <c r="A564" t="s">
        <v>67</v>
      </c>
      <c r="B564" t="s">
        <v>69</v>
      </c>
      <c r="C564">
        <v>28</v>
      </c>
      <c r="D564" t="s">
        <v>80</v>
      </c>
      <c r="E564" t="s">
        <v>81</v>
      </c>
      <c r="F564" t="s">
        <v>82</v>
      </c>
      <c r="G564">
        <v>0</v>
      </c>
      <c r="H564">
        <v>0</v>
      </c>
      <c r="I564">
        <v>0</v>
      </c>
      <c r="J564">
        <v>0</v>
      </c>
      <c r="K564">
        <v>619</v>
      </c>
      <c r="L56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0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0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0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0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0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680.04</v>
      </c>
      <c r="W564" s="5">
        <f>IF((DiscreteStatsTable[[#This Row],[RepsRequested]]&gt;1),DiscreteStatsTable[[#This Row],[HalfWidth]],DiscreteStatsTable[[#This Row],[BatchMeansHalfWidth]])</f>
        <v>0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4">
      <c r="A565" t="s">
        <v>67</v>
      </c>
      <c r="B565" t="s">
        <v>69</v>
      </c>
      <c r="C565">
        <v>28</v>
      </c>
      <c r="D565" t="s">
        <v>80</v>
      </c>
      <c r="E565" t="s">
        <v>83</v>
      </c>
      <c r="F565" t="s">
        <v>82</v>
      </c>
      <c r="G565">
        <v>120.489109403188</v>
      </c>
      <c r="H565">
        <v>2.16347963598133</v>
      </c>
      <c r="I565">
        <v>64.486919191958094</v>
      </c>
      <c r="J565">
        <v>174.95603360426901</v>
      </c>
      <c r="K565">
        <v>619</v>
      </c>
      <c r="L56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119.072877588487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1.1004315823637869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116.869916756062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121.279055923125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55.773522793583801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203.50100513585599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680.04</v>
      </c>
      <c r="W565" s="5">
        <f>IF((DiscreteStatsTable[[#This Row],[RepsRequested]]&gt;1),DiscreteStatsTable[[#This Row],[HalfWidth]],DiscreteStatsTable[[#This Row],[BatchMeansHalfWidth]])</f>
        <v>0.31273919539597844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4">
      <c r="A566" t="s">
        <v>67</v>
      </c>
      <c r="B566" t="s">
        <v>69</v>
      </c>
      <c r="C566">
        <v>28</v>
      </c>
      <c r="D566" t="s">
        <v>80</v>
      </c>
      <c r="E566" t="s">
        <v>84</v>
      </c>
      <c r="F566" t="s">
        <v>82</v>
      </c>
      <c r="G566">
        <v>236.12286651208899</v>
      </c>
      <c r="H566">
        <v>3E+20</v>
      </c>
      <c r="I566">
        <v>81.960940287664201</v>
      </c>
      <c r="J566">
        <v>478.31389571263799</v>
      </c>
      <c r="K566">
        <v>619</v>
      </c>
      <c r="L56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230.87278063103886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28.511985776754724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176.63374267103799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310.30313247646598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74.823945578616801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640.81970303432195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680.04</v>
      </c>
      <c r="W566" s="5">
        <f>IF((DiscreteStatsTable[[#This Row],[RepsRequested]]&gt;1),DiscreteStatsTable[[#This Row],[HalfWidth]],DiscreteStatsTable[[#This Row],[BatchMeansHalfWidth]])</f>
        <v>8.1030167016926651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4">
      <c r="A567" t="s">
        <v>67</v>
      </c>
      <c r="B567" t="s">
        <v>69</v>
      </c>
      <c r="C567">
        <v>28</v>
      </c>
      <c r="D567" t="s">
        <v>80</v>
      </c>
      <c r="E567" t="s">
        <v>85</v>
      </c>
      <c r="F567" t="s">
        <v>82</v>
      </c>
      <c r="G567">
        <v>19.8247790341469</v>
      </c>
      <c r="H567">
        <v>0.66077986890556195</v>
      </c>
      <c r="I567">
        <v>6.0540217345149898</v>
      </c>
      <c r="J567">
        <v>45.175791776348802</v>
      </c>
      <c r="K567">
        <v>619</v>
      </c>
      <c r="L56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19.788825490074792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19.1753932585017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20.6416816415399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6.0540217345149898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49.959821430489797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680.04</v>
      </c>
      <c r="W567" s="5">
        <f>IF((DiscreteStatsTable[[#This Row],[RepsRequested]]&gt;1),DiscreteStatsTable[[#This Row],[HalfWidth]],DiscreteStatsTable[[#This Row],[BatchMeansHalfWidth]])</f>
        <v>9.3664325535411846E-2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4">
      <c r="A568" t="s">
        <v>67</v>
      </c>
      <c r="B568" t="s">
        <v>69</v>
      </c>
      <c r="C568">
        <v>28</v>
      </c>
      <c r="D568" t="s">
        <v>80</v>
      </c>
      <c r="E568" t="s">
        <v>86</v>
      </c>
      <c r="F568" t="s">
        <v>82</v>
      </c>
      <c r="G568">
        <v>0</v>
      </c>
      <c r="H568">
        <v>0</v>
      </c>
      <c r="I568">
        <v>0</v>
      </c>
      <c r="J568">
        <v>0</v>
      </c>
      <c r="K568">
        <v>619</v>
      </c>
      <c r="L56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680.04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4">
      <c r="A569" t="s">
        <v>67</v>
      </c>
      <c r="B569" t="s">
        <v>69</v>
      </c>
      <c r="C569">
        <v>28</v>
      </c>
      <c r="D569" t="s">
        <v>80</v>
      </c>
      <c r="E569" t="s">
        <v>87</v>
      </c>
      <c r="F569" t="s">
        <v>82</v>
      </c>
      <c r="G569">
        <v>95.808978074753796</v>
      </c>
      <c r="H569">
        <v>3E+20</v>
      </c>
      <c r="I569">
        <v>0</v>
      </c>
      <c r="J569">
        <v>295.473857395653</v>
      </c>
      <c r="K569">
        <v>619</v>
      </c>
      <c r="L56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92.011077552476877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28.394716781335426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37.235943946119903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170.78088451033599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458.06693976826199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680.04</v>
      </c>
      <c r="W569" s="5">
        <f>IF((DiscreteStatsTable[[#This Row],[RepsRequested]]&gt;1),DiscreteStatsTable[[#This Row],[HalfWidth]],DiscreteStatsTable[[#This Row],[BatchMeansHalfWidth]])</f>
        <v>8.0696892219473568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4">
      <c r="A570" t="s">
        <v>67</v>
      </c>
      <c r="B570" t="s">
        <v>69</v>
      </c>
      <c r="C570">
        <v>29</v>
      </c>
      <c r="D570" t="s">
        <v>80</v>
      </c>
      <c r="E570" t="s">
        <v>81</v>
      </c>
      <c r="F570" t="s">
        <v>82</v>
      </c>
      <c r="G570">
        <v>0</v>
      </c>
      <c r="H570">
        <v>0</v>
      </c>
      <c r="I570">
        <v>0</v>
      </c>
      <c r="J570">
        <v>0</v>
      </c>
      <c r="K570">
        <v>720</v>
      </c>
      <c r="L57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0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0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0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0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0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680.04</v>
      </c>
      <c r="W570" s="5">
        <f>IF((DiscreteStatsTable[[#This Row],[RepsRequested]]&gt;1),DiscreteStatsTable[[#This Row],[HalfWidth]],DiscreteStatsTable[[#This Row],[BatchMeansHalfWidth]])</f>
        <v>0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4">
      <c r="A571" t="s">
        <v>67</v>
      </c>
      <c r="B571" t="s">
        <v>69</v>
      </c>
      <c r="C571">
        <v>29</v>
      </c>
      <c r="D571" t="s">
        <v>80</v>
      </c>
      <c r="E571" t="s">
        <v>83</v>
      </c>
      <c r="F571" t="s">
        <v>82</v>
      </c>
      <c r="G571">
        <v>121.010770460506</v>
      </c>
      <c r="H571">
        <v>2.2263748661525602</v>
      </c>
      <c r="I571">
        <v>66.446650578609507</v>
      </c>
      <c r="J571">
        <v>183.67048435353999</v>
      </c>
      <c r="K571">
        <v>720</v>
      </c>
      <c r="L57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119.072877588487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1.1004315823637869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116.869916756062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121.279055923125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55.773522793583801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203.50100513585599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680.04</v>
      </c>
      <c r="W571" s="5">
        <f>IF((DiscreteStatsTable[[#This Row],[RepsRequested]]&gt;1),DiscreteStatsTable[[#This Row],[HalfWidth]],DiscreteStatsTable[[#This Row],[BatchMeansHalfWidth]])</f>
        <v>0.31273919539597844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4">
      <c r="A572" t="s">
        <v>67</v>
      </c>
      <c r="B572" t="s">
        <v>69</v>
      </c>
      <c r="C572">
        <v>29</v>
      </c>
      <c r="D572" t="s">
        <v>80</v>
      </c>
      <c r="E572" t="s">
        <v>84</v>
      </c>
      <c r="F572" t="s">
        <v>82</v>
      </c>
      <c r="G572">
        <v>179.257469034357</v>
      </c>
      <c r="H572">
        <v>3E+20</v>
      </c>
      <c r="I572">
        <v>80.492445044732705</v>
      </c>
      <c r="J572">
        <v>352.043730645773</v>
      </c>
      <c r="K572">
        <v>720</v>
      </c>
      <c r="L57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230.87278063103886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28.511985776754724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176.63374267103799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310.30313247646598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74.823945578616801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640.81970303432195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680.04</v>
      </c>
      <c r="W572" s="5">
        <f>IF((DiscreteStatsTable[[#This Row],[RepsRequested]]&gt;1),DiscreteStatsTable[[#This Row],[HalfWidth]],DiscreteStatsTable[[#This Row],[BatchMeansHalfWidth]])</f>
        <v>8.1030167016926651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4">
      <c r="A573" t="s">
        <v>67</v>
      </c>
      <c r="B573" t="s">
        <v>69</v>
      </c>
      <c r="C573">
        <v>29</v>
      </c>
      <c r="D573" t="s">
        <v>80</v>
      </c>
      <c r="E573" t="s">
        <v>85</v>
      </c>
      <c r="F573" t="s">
        <v>82</v>
      </c>
      <c r="G573">
        <v>20.6416816415399</v>
      </c>
      <c r="H573">
        <v>0.54418848566354106</v>
      </c>
      <c r="I573">
        <v>6.5650554691313801</v>
      </c>
      <c r="J573">
        <v>49.725447453694201</v>
      </c>
      <c r="K573">
        <v>720</v>
      </c>
      <c r="L57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19.788825490074792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19.1753932585017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20.6416816415399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6.0540217345149898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49.959821430489797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680.04</v>
      </c>
      <c r="W573" s="5">
        <f>IF((DiscreteStatsTable[[#This Row],[RepsRequested]]&gt;1),DiscreteStatsTable[[#This Row],[HalfWidth]],DiscreteStatsTable[[#This Row],[BatchMeansHalfWidth]])</f>
        <v>9.3664325535411846E-2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4">
      <c r="A574" t="s">
        <v>67</v>
      </c>
      <c r="B574" t="s">
        <v>69</v>
      </c>
      <c r="C574">
        <v>29</v>
      </c>
      <c r="D574" t="s">
        <v>80</v>
      </c>
      <c r="E574" t="s">
        <v>86</v>
      </c>
      <c r="F574" t="s">
        <v>82</v>
      </c>
      <c r="G574">
        <v>0</v>
      </c>
      <c r="H574">
        <v>0</v>
      </c>
      <c r="I574">
        <v>0</v>
      </c>
      <c r="J574">
        <v>0</v>
      </c>
      <c r="K574">
        <v>720</v>
      </c>
      <c r="L57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680.04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4">
      <c r="A575" t="s">
        <v>67</v>
      </c>
      <c r="B575" t="s">
        <v>69</v>
      </c>
      <c r="C575">
        <v>29</v>
      </c>
      <c r="D575" t="s">
        <v>80</v>
      </c>
      <c r="E575" t="s">
        <v>87</v>
      </c>
      <c r="F575" t="s">
        <v>82</v>
      </c>
      <c r="G575">
        <v>37.605016932311301</v>
      </c>
      <c r="H575">
        <v>3E+20</v>
      </c>
      <c r="I575">
        <v>0</v>
      </c>
      <c r="J575">
        <v>161.701042598079</v>
      </c>
      <c r="K575">
        <v>720</v>
      </c>
      <c r="L57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92.011077552476877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28.394716781335426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37.235943946119903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170.78088451033599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458.06693976826199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680.04</v>
      </c>
      <c r="W575" s="5">
        <f>IF((DiscreteStatsTable[[#This Row],[RepsRequested]]&gt;1),DiscreteStatsTable[[#This Row],[HalfWidth]],DiscreteStatsTable[[#This Row],[BatchMeansHalfWidth]])</f>
        <v>8.0696892219473568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4">
      <c r="A576" t="s">
        <v>67</v>
      </c>
      <c r="B576" t="s">
        <v>69</v>
      </c>
      <c r="C576">
        <v>30</v>
      </c>
      <c r="D576" t="s">
        <v>80</v>
      </c>
      <c r="E576" t="s">
        <v>81</v>
      </c>
      <c r="F576" t="s">
        <v>82</v>
      </c>
      <c r="G576">
        <v>0</v>
      </c>
      <c r="H576">
        <v>0</v>
      </c>
      <c r="I576">
        <v>0</v>
      </c>
      <c r="J576">
        <v>0</v>
      </c>
      <c r="K576">
        <v>665</v>
      </c>
      <c r="L57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0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0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0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0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0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680.04</v>
      </c>
      <c r="W576" s="5">
        <f>IF((DiscreteStatsTable[[#This Row],[RepsRequested]]&gt;1),DiscreteStatsTable[[#This Row],[HalfWidth]],DiscreteStatsTable[[#This Row],[BatchMeansHalfWidth]])</f>
        <v>0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4">
      <c r="A577" t="s">
        <v>67</v>
      </c>
      <c r="B577" t="s">
        <v>69</v>
      </c>
      <c r="C577">
        <v>30</v>
      </c>
      <c r="D577" t="s">
        <v>80</v>
      </c>
      <c r="E577" t="s">
        <v>83</v>
      </c>
      <c r="F577" t="s">
        <v>82</v>
      </c>
      <c r="G577">
        <v>119.087031121249</v>
      </c>
      <c r="H577">
        <v>1.94613478558138</v>
      </c>
      <c r="I577">
        <v>65.851928793812604</v>
      </c>
      <c r="J577">
        <v>177.72261596835401</v>
      </c>
      <c r="K577">
        <v>665</v>
      </c>
      <c r="L57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119.072877588487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1.1004315823637869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116.869916756062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121.279055923125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55.773522793583801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203.50100513585599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680.04</v>
      </c>
      <c r="W577" s="5">
        <f>IF((DiscreteStatsTable[[#This Row],[RepsRequested]]&gt;1),DiscreteStatsTable[[#This Row],[HalfWidth]],DiscreteStatsTable[[#This Row],[BatchMeansHalfWidth]])</f>
        <v>0.31273919539597844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4">
      <c r="A578" t="s">
        <v>67</v>
      </c>
      <c r="B578" t="s">
        <v>69</v>
      </c>
      <c r="C578">
        <v>30</v>
      </c>
      <c r="D578" t="s">
        <v>80</v>
      </c>
      <c r="E578" t="s">
        <v>84</v>
      </c>
      <c r="F578" t="s">
        <v>82</v>
      </c>
      <c r="G578">
        <v>224.87232048307899</v>
      </c>
      <c r="H578">
        <v>3E+20</v>
      </c>
      <c r="I578">
        <v>87.119932001411001</v>
      </c>
      <c r="J578">
        <v>439.732261843895</v>
      </c>
      <c r="K578">
        <v>665</v>
      </c>
      <c r="L57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230.87278063103886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28.511985776754724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176.63374267103799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310.30313247646598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74.823945578616801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640.81970303432195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680.04</v>
      </c>
      <c r="W578" s="5">
        <f>IF((DiscreteStatsTable[[#This Row],[RepsRequested]]&gt;1),DiscreteStatsTable[[#This Row],[HalfWidth]],DiscreteStatsTable[[#This Row],[BatchMeansHalfWidth]])</f>
        <v>8.1030167016926651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4">
      <c r="A579" t="s">
        <v>67</v>
      </c>
      <c r="B579" t="s">
        <v>69</v>
      </c>
      <c r="C579">
        <v>30</v>
      </c>
      <c r="D579" t="s">
        <v>80</v>
      </c>
      <c r="E579" t="s">
        <v>85</v>
      </c>
      <c r="F579" t="s">
        <v>82</v>
      </c>
      <c r="G579">
        <v>19.500690025822401</v>
      </c>
      <c r="H579">
        <v>0.71403779881383</v>
      </c>
      <c r="I579">
        <v>6.5262565923683296</v>
      </c>
      <c r="J579">
        <v>45.065180479667802</v>
      </c>
      <c r="K579">
        <v>665</v>
      </c>
      <c r="L57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19.788825490074792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19.1753932585017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20.6416816415399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6.0540217345149898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49.959821430489797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680.04</v>
      </c>
      <c r="W579" s="5">
        <f>IF((DiscreteStatsTable[[#This Row],[RepsRequested]]&gt;1),DiscreteStatsTable[[#This Row],[HalfWidth]],DiscreteStatsTable[[#This Row],[BatchMeansHalfWidth]])</f>
        <v>9.3664325535411846E-2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4">
      <c r="A580" t="s">
        <v>67</v>
      </c>
      <c r="B580" t="s">
        <v>69</v>
      </c>
      <c r="C580">
        <v>30</v>
      </c>
      <c r="D580" t="s">
        <v>80</v>
      </c>
      <c r="E580" t="s">
        <v>86</v>
      </c>
      <c r="F580" t="s">
        <v>82</v>
      </c>
      <c r="G580">
        <v>0</v>
      </c>
      <c r="H580">
        <v>0</v>
      </c>
      <c r="I580">
        <v>0</v>
      </c>
      <c r="J580">
        <v>0</v>
      </c>
      <c r="K580">
        <v>665</v>
      </c>
      <c r="L58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680.04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4">
      <c r="A581" t="s">
        <v>67</v>
      </c>
      <c r="B581" t="s">
        <v>69</v>
      </c>
      <c r="C581">
        <v>30</v>
      </c>
      <c r="D581" t="s">
        <v>80</v>
      </c>
      <c r="E581" t="s">
        <v>87</v>
      </c>
      <c r="F581" t="s">
        <v>82</v>
      </c>
      <c r="G581">
        <v>86.284599336007602</v>
      </c>
      <c r="H581">
        <v>3E+20</v>
      </c>
      <c r="I581">
        <v>0</v>
      </c>
      <c r="J581">
        <v>262.68348169158298</v>
      </c>
      <c r="K581">
        <v>665</v>
      </c>
      <c r="L58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92.011077552476877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28.394716781335426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37.235943946119903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170.78088451033599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458.06693976826199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680.04</v>
      </c>
      <c r="W581" s="5">
        <f>IF((DiscreteStatsTable[[#This Row],[RepsRequested]]&gt;1),DiscreteStatsTable[[#This Row],[HalfWidth]],DiscreteStatsTable[[#This Row],[BatchMeansHalfWidth]])</f>
        <v>8.0696892219473568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4">
      <c r="A582" t="s">
        <v>67</v>
      </c>
      <c r="B582" t="s">
        <v>69</v>
      </c>
      <c r="C582">
        <v>31</v>
      </c>
      <c r="D582" t="s">
        <v>80</v>
      </c>
      <c r="E582" t="s">
        <v>81</v>
      </c>
      <c r="F582" t="s">
        <v>82</v>
      </c>
      <c r="G582">
        <v>0</v>
      </c>
      <c r="H582">
        <v>0</v>
      </c>
      <c r="I582">
        <v>0</v>
      </c>
      <c r="J582">
        <v>0</v>
      </c>
      <c r="K582">
        <v>711</v>
      </c>
      <c r="L58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0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0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0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0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0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680.04</v>
      </c>
      <c r="W582" s="5">
        <f>IF((DiscreteStatsTable[[#This Row],[RepsRequested]]&gt;1),DiscreteStatsTable[[#This Row],[HalfWidth]],DiscreteStatsTable[[#This Row],[BatchMeansHalfWidth]])</f>
        <v>0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4">
      <c r="A583" t="s">
        <v>67</v>
      </c>
      <c r="B583" t="s">
        <v>69</v>
      </c>
      <c r="C583">
        <v>31</v>
      </c>
      <c r="D583" t="s">
        <v>80</v>
      </c>
      <c r="E583" t="s">
        <v>83</v>
      </c>
      <c r="F583" t="s">
        <v>82</v>
      </c>
      <c r="G583">
        <v>118.725501129783</v>
      </c>
      <c r="H583">
        <v>2.3093484651798302</v>
      </c>
      <c r="I583">
        <v>70.555169088084995</v>
      </c>
      <c r="J583">
        <v>181.085422538497</v>
      </c>
      <c r="K583">
        <v>711</v>
      </c>
      <c r="L58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119.072877588487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1.1004315823637869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116.869916756062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121.279055923125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55.773522793583801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203.50100513585599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680.04</v>
      </c>
      <c r="W583" s="5">
        <f>IF((DiscreteStatsTable[[#This Row],[RepsRequested]]&gt;1),DiscreteStatsTable[[#This Row],[HalfWidth]],DiscreteStatsTable[[#This Row],[BatchMeansHalfWidth]])</f>
        <v>0.31273919539597844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4">
      <c r="A584" t="s">
        <v>67</v>
      </c>
      <c r="B584" t="s">
        <v>69</v>
      </c>
      <c r="C584">
        <v>31</v>
      </c>
      <c r="D584" t="s">
        <v>80</v>
      </c>
      <c r="E584" t="s">
        <v>84</v>
      </c>
      <c r="F584" t="s">
        <v>82</v>
      </c>
      <c r="G584">
        <v>224.29854140950101</v>
      </c>
      <c r="H584">
        <v>3E+20</v>
      </c>
      <c r="I584">
        <v>82.632947449804206</v>
      </c>
      <c r="J584">
        <v>433.30711179808299</v>
      </c>
      <c r="K584">
        <v>711</v>
      </c>
      <c r="L58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230.87278063103886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28.511985776754724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176.63374267103799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310.30313247646598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74.823945578616801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640.81970303432195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680.04</v>
      </c>
      <c r="W584" s="5">
        <f>IF((DiscreteStatsTable[[#This Row],[RepsRequested]]&gt;1),DiscreteStatsTable[[#This Row],[HalfWidth]],DiscreteStatsTable[[#This Row],[BatchMeansHalfWidth]])</f>
        <v>8.1030167016926651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4">
      <c r="A585" t="s">
        <v>67</v>
      </c>
      <c r="B585" t="s">
        <v>69</v>
      </c>
      <c r="C585">
        <v>31</v>
      </c>
      <c r="D585" t="s">
        <v>80</v>
      </c>
      <c r="E585" t="s">
        <v>85</v>
      </c>
      <c r="F585" t="s">
        <v>82</v>
      </c>
      <c r="G585">
        <v>19.599240031929099</v>
      </c>
      <c r="H585">
        <v>0.563298699015229</v>
      </c>
      <c r="I585">
        <v>6.2442055443186701</v>
      </c>
      <c r="J585">
        <v>47.048369612859297</v>
      </c>
      <c r="K585">
        <v>711</v>
      </c>
      <c r="L58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19.788825490074792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19.1753932585017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20.6416816415399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6.0540217345149898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49.959821430489797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680.04</v>
      </c>
      <c r="W585" s="5">
        <f>IF((DiscreteStatsTable[[#This Row],[RepsRequested]]&gt;1),DiscreteStatsTable[[#This Row],[HalfWidth]],DiscreteStatsTable[[#This Row],[BatchMeansHalfWidth]])</f>
        <v>9.3664325535411846E-2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4">
      <c r="A586" t="s">
        <v>67</v>
      </c>
      <c r="B586" t="s">
        <v>69</v>
      </c>
      <c r="C586">
        <v>31</v>
      </c>
      <c r="D586" t="s">
        <v>80</v>
      </c>
      <c r="E586" t="s">
        <v>86</v>
      </c>
      <c r="F586" t="s">
        <v>82</v>
      </c>
      <c r="G586">
        <v>0</v>
      </c>
      <c r="H586">
        <v>0</v>
      </c>
      <c r="I586">
        <v>0</v>
      </c>
      <c r="J586">
        <v>0</v>
      </c>
      <c r="K586">
        <v>711</v>
      </c>
      <c r="L58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680.04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4">
      <c r="A587" t="s">
        <v>67</v>
      </c>
      <c r="B587" t="s">
        <v>69</v>
      </c>
      <c r="C587">
        <v>31</v>
      </c>
      <c r="D587" t="s">
        <v>80</v>
      </c>
      <c r="E587" t="s">
        <v>87</v>
      </c>
      <c r="F587" t="s">
        <v>82</v>
      </c>
      <c r="G587">
        <v>85.973800247788802</v>
      </c>
      <c r="H587">
        <v>3E+20</v>
      </c>
      <c r="I587">
        <v>0</v>
      </c>
      <c r="J587">
        <v>251.62494895204699</v>
      </c>
      <c r="K587">
        <v>711</v>
      </c>
      <c r="L58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92.011077552476877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28.394716781335426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37.235943946119903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170.78088451033599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458.06693976826199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680.04</v>
      </c>
      <c r="W587" s="5">
        <f>IF((DiscreteStatsTable[[#This Row],[RepsRequested]]&gt;1),DiscreteStatsTable[[#This Row],[HalfWidth]],DiscreteStatsTable[[#This Row],[BatchMeansHalfWidth]])</f>
        <v>8.0696892219473568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4">
      <c r="A588" t="s">
        <v>67</v>
      </c>
      <c r="B588" t="s">
        <v>69</v>
      </c>
      <c r="C588">
        <v>32</v>
      </c>
      <c r="D588" t="s">
        <v>80</v>
      </c>
      <c r="E588" t="s">
        <v>81</v>
      </c>
      <c r="F588" t="s">
        <v>82</v>
      </c>
      <c r="G588">
        <v>0</v>
      </c>
      <c r="H588">
        <v>0</v>
      </c>
      <c r="I588">
        <v>0</v>
      </c>
      <c r="J588">
        <v>0</v>
      </c>
      <c r="K588">
        <v>661</v>
      </c>
      <c r="L58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0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0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0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0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0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680.04</v>
      </c>
      <c r="W588" s="5">
        <f>IF((DiscreteStatsTable[[#This Row],[RepsRequested]]&gt;1),DiscreteStatsTable[[#This Row],[HalfWidth]],DiscreteStatsTable[[#This Row],[BatchMeansHalfWidth]])</f>
        <v>0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4">
      <c r="A589" t="s">
        <v>67</v>
      </c>
      <c r="B589" t="s">
        <v>69</v>
      </c>
      <c r="C589">
        <v>32</v>
      </c>
      <c r="D589" t="s">
        <v>80</v>
      </c>
      <c r="E589" t="s">
        <v>83</v>
      </c>
      <c r="F589" t="s">
        <v>82</v>
      </c>
      <c r="G589">
        <v>118.276512897307</v>
      </c>
      <c r="H589">
        <v>3.1110987620930799</v>
      </c>
      <c r="I589">
        <v>67.543912986026498</v>
      </c>
      <c r="J589">
        <v>189.02677711234099</v>
      </c>
      <c r="K589">
        <v>661</v>
      </c>
      <c r="L58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119.072877588487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1.1004315823637869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116.869916756062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121.279055923125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55.773522793583801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203.50100513585599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680.04</v>
      </c>
      <c r="W589" s="5">
        <f>IF((DiscreteStatsTable[[#This Row],[RepsRequested]]&gt;1),DiscreteStatsTable[[#This Row],[HalfWidth]],DiscreteStatsTable[[#This Row],[BatchMeansHalfWidth]])</f>
        <v>0.31273919539597844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4">
      <c r="A590" t="s">
        <v>67</v>
      </c>
      <c r="B590" t="s">
        <v>69</v>
      </c>
      <c r="C590">
        <v>32</v>
      </c>
      <c r="D590" t="s">
        <v>80</v>
      </c>
      <c r="E590" t="s">
        <v>84</v>
      </c>
      <c r="F590" t="s">
        <v>82</v>
      </c>
      <c r="G590">
        <v>224.08221909877901</v>
      </c>
      <c r="H590">
        <v>3E+20</v>
      </c>
      <c r="I590">
        <v>84.791237093748506</v>
      </c>
      <c r="J590">
        <v>456.37034214030803</v>
      </c>
      <c r="K590">
        <v>661</v>
      </c>
      <c r="L59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230.87278063103886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28.511985776754724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176.63374267103799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310.30313247646598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74.823945578616801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640.81970303432195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680.04</v>
      </c>
      <c r="W590" s="5">
        <f>IF((DiscreteStatsTable[[#This Row],[RepsRequested]]&gt;1),DiscreteStatsTable[[#This Row],[HalfWidth]],DiscreteStatsTable[[#This Row],[BatchMeansHalfWidth]])</f>
        <v>8.1030167016926651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4">
      <c r="A591" t="s">
        <v>67</v>
      </c>
      <c r="B591" t="s">
        <v>69</v>
      </c>
      <c r="C591">
        <v>32</v>
      </c>
      <c r="D591" t="s">
        <v>80</v>
      </c>
      <c r="E591" t="s">
        <v>85</v>
      </c>
      <c r="F591" t="s">
        <v>82</v>
      </c>
      <c r="G591">
        <v>19.780509394054199</v>
      </c>
      <c r="H591">
        <v>0.76142317494901102</v>
      </c>
      <c r="I591">
        <v>6.2815717063495402</v>
      </c>
      <c r="J591">
        <v>47.106005529175299</v>
      </c>
      <c r="K591">
        <v>661</v>
      </c>
      <c r="L59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19.788825490074792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19.1753932585017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20.6416816415399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6.0540217345149898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49.959821430489797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680.04</v>
      </c>
      <c r="W591" s="5">
        <f>IF((DiscreteStatsTable[[#This Row],[RepsRequested]]&gt;1),DiscreteStatsTable[[#This Row],[HalfWidth]],DiscreteStatsTable[[#This Row],[BatchMeansHalfWidth]])</f>
        <v>9.3664325535411846E-2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4">
      <c r="A592" t="s">
        <v>67</v>
      </c>
      <c r="B592" t="s">
        <v>69</v>
      </c>
      <c r="C592">
        <v>32</v>
      </c>
      <c r="D592" t="s">
        <v>80</v>
      </c>
      <c r="E592" t="s">
        <v>86</v>
      </c>
      <c r="F592" t="s">
        <v>82</v>
      </c>
      <c r="G592">
        <v>0</v>
      </c>
      <c r="H592">
        <v>0</v>
      </c>
      <c r="I592">
        <v>0</v>
      </c>
      <c r="J592">
        <v>0</v>
      </c>
      <c r="K592">
        <v>661</v>
      </c>
      <c r="L59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680.04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4">
      <c r="A593" t="s">
        <v>67</v>
      </c>
      <c r="B593" t="s">
        <v>69</v>
      </c>
      <c r="C593">
        <v>32</v>
      </c>
      <c r="D593" t="s">
        <v>80</v>
      </c>
      <c r="E593" t="s">
        <v>87</v>
      </c>
      <c r="F593" t="s">
        <v>82</v>
      </c>
      <c r="G593">
        <v>86.025196807417103</v>
      </c>
      <c r="H593">
        <v>3E+20</v>
      </c>
      <c r="I593">
        <v>0</v>
      </c>
      <c r="J593">
        <v>265.920663660466</v>
      </c>
      <c r="K593">
        <v>661</v>
      </c>
      <c r="L59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92.011077552476877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28.394716781335426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37.235943946119903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170.78088451033599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458.06693976826199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680.04</v>
      </c>
      <c r="W593" s="5">
        <f>IF((DiscreteStatsTable[[#This Row],[RepsRequested]]&gt;1),DiscreteStatsTable[[#This Row],[HalfWidth]],DiscreteStatsTable[[#This Row],[BatchMeansHalfWidth]])</f>
        <v>8.0696892219473568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4">
      <c r="A594" t="s">
        <v>67</v>
      </c>
      <c r="B594" t="s">
        <v>69</v>
      </c>
      <c r="C594">
        <v>33</v>
      </c>
      <c r="D594" t="s">
        <v>80</v>
      </c>
      <c r="E594" t="s">
        <v>81</v>
      </c>
      <c r="F594" t="s">
        <v>82</v>
      </c>
      <c r="G594">
        <v>0</v>
      </c>
      <c r="H594">
        <v>0</v>
      </c>
      <c r="I594">
        <v>0</v>
      </c>
      <c r="J594">
        <v>0</v>
      </c>
      <c r="K594">
        <v>706</v>
      </c>
      <c r="L59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0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0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0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0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0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680.04</v>
      </c>
      <c r="W594" s="5">
        <f>IF((DiscreteStatsTable[[#This Row],[RepsRequested]]&gt;1),DiscreteStatsTable[[#This Row],[HalfWidth]],DiscreteStatsTable[[#This Row],[BatchMeansHalfWidth]])</f>
        <v>0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4">
      <c r="A595" t="s">
        <v>67</v>
      </c>
      <c r="B595" t="s">
        <v>69</v>
      </c>
      <c r="C595">
        <v>33</v>
      </c>
      <c r="D595" t="s">
        <v>80</v>
      </c>
      <c r="E595" t="s">
        <v>83</v>
      </c>
      <c r="F595" t="s">
        <v>82</v>
      </c>
      <c r="G595">
        <v>118.857397983037</v>
      </c>
      <c r="H595">
        <v>3E+20</v>
      </c>
      <c r="I595">
        <v>70.220736570471004</v>
      </c>
      <c r="J595">
        <v>182.17520851162601</v>
      </c>
      <c r="K595">
        <v>706</v>
      </c>
      <c r="L59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119.072877588487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1.1004315823637869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116.869916756062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121.279055923125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55.773522793583801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203.50100513585599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680.04</v>
      </c>
      <c r="W595" s="5">
        <f>IF((DiscreteStatsTable[[#This Row],[RepsRequested]]&gt;1),DiscreteStatsTable[[#This Row],[HalfWidth]],DiscreteStatsTable[[#This Row],[BatchMeansHalfWidth]])</f>
        <v>0.31273919539597844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4">
      <c r="A596" t="s">
        <v>67</v>
      </c>
      <c r="B596" t="s">
        <v>69</v>
      </c>
      <c r="C596">
        <v>33</v>
      </c>
      <c r="D596" t="s">
        <v>80</v>
      </c>
      <c r="E596" t="s">
        <v>84</v>
      </c>
      <c r="F596" t="s">
        <v>82</v>
      </c>
      <c r="G596">
        <v>210.478632489577</v>
      </c>
      <c r="H596">
        <v>3E+20</v>
      </c>
      <c r="I596">
        <v>84.132565615244403</v>
      </c>
      <c r="J596">
        <v>394.28833613246599</v>
      </c>
      <c r="K596">
        <v>706</v>
      </c>
      <c r="L59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230.87278063103886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28.511985776754724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176.63374267103799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310.30313247646598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74.823945578616801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640.81970303432195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680.04</v>
      </c>
      <c r="W596" s="5">
        <f>IF((DiscreteStatsTable[[#This Row],[RepsRequested]]&gt;1),DiscreteStatsTable[[#This Row],[HalfWidth]],DiscreteStatsTable[[#This Row],[BatchMeansHalfWidth]])</f>
        <v>8.1030167016926651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4">
      <c r="A597" t="s">
        <v>67</v>
      </c>
      <c r="B597" t="s">
        <v>69</v>
      </c>
      <c r="C597">
        <v>33</v>
      </c>
      <c r="D597" t="s">
        <v>80</v>
      </c>
      <c r="E597" t="s">
        <v>85</v>
      </c>
      <c r="F597" t="s">
        <v>82</v>
      </c>
      <c r="G597">
        <v>19.848848081806199</v>
      </c>
      <c r="H597">
        <v>0.55783533640046201</v>
      </c>
      <c r="I597">
        <v>6.3146531232687302</v>
      </c>
      <c r="J597">
        <v>46.673210845192699</v>
      </c>
      <c r="K597">
        <v>706</v>
      </c>
      <c r="L59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19.788825490074792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19.1753932585017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20.6416816415399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6.0540217345149898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49.959821430489797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680.04</v>
      </c>
      <c r="W597" s="5">
        <f>IF((DiscreteStatsTable[[#This Row],[RepsRequested]]&gt;1),DiscreteStatsTable[[#This Row],[HalfWidth]],DiscreteStatsTable[[#This Row],[BatchMeansHalfWidth]])</f>
        <v>9.3664325535411846E-2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4">
      <c r="A598" t="s">
        <v>67</v>
      </c>
      <c r="B598" t="s">
        <v>69</v>
      </c>
      <c r="C598">
        <v>33</v>
      </c>
      <c r="D598" t="s">
        <v>80</v>
      </c>
      <c r="E598" t="s">
        <v>86</v>
      </c>
      <c r="F598" t="s">
        <v>82</v>
      </c>
      <c r="G598">
        <v>0</v>
      </c>
      <c r="H598">
        <v>0</v>
      </c>
      <c r="I598">
        <v>0</v>
      </c>
      <c r="J598">
        <v>0</v>
      </c>
      <c r="K598">
        <v>706</v>
      </c>
      <c r="L59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680.04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4">
      <c r="A599" t="s">
        <v>67</v>
      </c>
      <c r="B599" t="s">
        <v>69</v>
      </c>
      <c r="C599">
        <v>33</v>
      </c>
      <c r="D599" t="s">
        <v>80</v>
      </c>
      <c r="E599" t="s">
        <v>87</v>
      </c>
      <c r="F599" t="s">
        <v>82</v>
      </c>
      <c r="G599">
        <v>71.772386424733796</v>
      </c>
      <c r="H599">
        <v>3E+20</v>
      </c>
      <c r="I599">
        <v>0</v>
      </c>
      <c r="J599">
        <v>202.01383849981599</v>
      </c>
      <c r="K599">
        <v>706</v>
      </c>
      <c r="L59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92.011077552476877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28.394716781335426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37.235943946119903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170.78088451033599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458.06693976826199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680.04</v>
      </c>
      <c r="W599" s="5">
        <f>IF((DiscreteStatsTable[[#This Row],[RepsRequested]]&gt;1),DiscreteStatsTable[[#This Row],[HalfWidth]],DiscreteStatsTable[[#This Row],[BatchMeansHalfWidth]])</f>
        <v>8.0696892219473568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4">
      <c r="A600" t="s">
        <v>67</v>
      </c>
      <c r="B600" t="s">
        <v>69</v>
      </c>
      <c r="C600">
        <v>34</v>
      </c>
      <c r="D600" t="s">
        <v>80</v>
      </c>
      <c r="E600" t="s">
        <v>81</v>
      </c>
      <c r="F600" t="s">
        <v>82</v>
      </c>
      <c r="G600">
        <v>0</v>
      </c>
      <c r="H600">
        <v>0</v>
      </c>
      <c r="I600">
        <v>0</v>
      </c>
      <c r="J600">
        <v>0</v>
      </c>
      <c r="K600">
        <v>736</v>
      </c>
      <c r="L60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0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0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0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0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0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680.04</v>
      </c>
      <c r="W600" s="5">
        <f>IF((DiscreteStatsTable[[#This Row],[RepsRequested]]&gt;1),DiscreteStatsTable[[#This Row],[HalfWidth]],DiscreteStatsTable[[#This Row],[BatchMeansHalfWidth]])</f>
        <v>0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4">
      <c r="A601" t="s">
        <v>67</v>
      </c>
      <c r="B601" t="s">
        <v>69</v>
      </c>
      <c r="C601">
        <v>34</v>
      </c>
      <c r="D601" t="s">
        <v>80</v>
      </c>
      <c r="E601" t="s">
        <v>83</v>
      </c>
      <c r="F601" t="s">
        <v>82</v>
      </c>
      <c r="G601">
        <v>118.98719277283401</v>
      </c>
      <c r="H601">
        <v>2.4717240241614</v>
      </c>
      <c r="I601">
        <v>67.015641559940804</v>
      </c>
      <c r="J601">
        <v>181.38449194509499</v>
      </c>
      <c r="K601">
        <v>736</v>
      </c>
      <c r="L60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119.072877588487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1.1004315823637869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116.869916756062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121.279055923125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55.773522793583801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203.50100513585599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680.04</v>
      </c>
      <c r="W601" s="5">
        <f>IF((DiscreteStatsTable[[#This Row],[RepsRequested]]&gt;1),DiscreteStatsTable[[#This Row],[HalfWidth]],DiscreteStatsTable[[#This Row],[BatchMeansHalfWidth]])</f>
        <v>0.31273919539597844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4">
      <c r="A602" t="s">
        <v>67</v>
      </c>
      <c r="B602" t="s">
        <v>69</v>
      </c>
      <c r="C602">
        <v>34</v>
      </c>
      <c r="D602" t="s">
        <v>80</v>
      </c>
      <c r="E602" t="s">
        <v>84</v>
      </c>
      <c r="F602" t="s">
        <v>82</v>
      </c>
      <c r="G602">
        <v>179.81785842290699</v>
      </c>
      <c r="H602">
        <v>3E+20</v>
      </c>
      <c r="I602">
        <v>84.587767195130695</v>
      </c>
      <c r="J602">
        <v>315.109371740499</v>
      </c>
      <c r="K602">
        <v>736</v>
      </c>
      <c r="L60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230.87278063103886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28.511985776754724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176.63374267103799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310.30313247646598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74.823945578616801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640.81970303432195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680.04</v>
      </c>
      <c r="W602" s="5">
        <f>IF((DiscreteStatsTable[[#This Row],[RepsRequested]]&gt;1),DiscreteStatsTable[[#This Row],[HalfWidth]],DiscreteStatsTable[[#This Row],[BatchMeansHalfWidth]])</f>
        <v>8.1030167016926651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4">
      <c r="A603" t="s">
        <v>67</v>
      </c>
      <c r="B603" t="s">
        <v>69</v>
      </c>
      <c r="C603">
        <v>34</v>
      </c>
      <c r="D603" t="s">
        <v>80</v>
      </c>
      <c r="E603" t="s">
        <v>85</v>
      </c>
      <c r="F603" t="s">
        <v>82</v>
      </c>
      <c r="G603">
        <v>19.745095004487901</v>
      </c>
      <c r="H603">
        <v>0.63475487000912501</v>
      </c>
      <c r="I603">
        <v>6.3923437899341602</v>
      </c>
      <c r="J603">
        <v>47.941658871560897</v>
      </c>
      <c r="K603">
        <v>736</v>
      </c>
      <c r="L60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19.788825490074792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19.1753932585017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20.6416816415399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6.0540217345149898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49.959821430489797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680.04</v>
      </c>
      <c r="W603" s="5">
        <f>IF((DiscreteStatsTable[[#This Row],[RepsRequested]]&gt;1),DiscreteStatsTable[[#This Row],[HalfWidth]],DiscreteStatsTable[[#This Row],[BatchMeansHalfWidth]])</f>
        <v>9.3664325535411846E-2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4">
      <c r="A604" t="s">
        <v>67</v>
      </c>
      <c r="B604" t="s">
        <v>69</v>
      </c>
      <c r="C604">
        <v>34</v>
      </c>
      <c r="D604" t="s">
        <v>80</v>
      </c>
      <c r="E604" t="s">
        <v>86</v>
      </c>
      <c r="F604" t="s">
        <v>82</v>
      </c>
      <c r="G604">
        <v>0</v>
      </c>
      <c r="H604">
        <v>0</v>
      </c>
      <c r="I604">
        <v>0</v>
      </c>
      <c r="J604">
        <v>0</v>
      </c>
      <c r="K604">
        <v>736</v>
      </c>
      <c r="L60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680.04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4">
      <c r="A605" t="s">
        <v>67</v>
      </c>
      <c r="B605" t="s">
        <v>69</v>
      </c>
      <c r="C605">
        <v>34</v>
      </c>
      <c r="D605" t="s">
        <v>80</v>
      </c>
      <c r="E605" t="s">
        <v>87</v>
      </c>
      <c r="F605" t="s">
        <v>82</v>
      </c>
      <c r="G605">
        <v>41.085570645584703</v>
      </c>
      <c r="H605">
        <v>3E+20</v>
      </c>
      <c r="I605">
        <v>0</v>
      </c>
      <c r="J605">
        <v>148.60561344156801</v>
      </c>
      <c r="K605">
        <v>736</v>
      </c>
      <c r="L60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92.011077552476877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28.394716781335426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37.235943946119903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170.78088451033599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458.06693976826199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680.04</v>
      </c>
      <c r="W605" s="5">
        <f>IF((DiscreteStatsTable[[#This Row],[RepsRequested]]&gt;1),DiscreteStatsTable[[#This Row],[HalfWidth]],DiscreteStatsTable[[#This Row],[BatchMeansHalfWidth]])</f>
        <v>8.0696892219473568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4">
      <c r="A606" t="s">
        <v>67</v>
      </c>
      <c r="B606" t="s">
        <v>69</v>
      </c>
      <c r="C606">
        <v>35</v>
      </c>
      <c r="D606" t="s">
        <v>80</v>
      </c>
      <c r="E606" t="s">
        <v>81</v>
      </c>
      <c r="F606" t="s">
        <v>82</v>
      </c>
      <c r="G606">
        <v>0</v>
      </c>
      <c r="H606">
        <v>0</v>
      </c>
      <c r="I606">
        <v>0</v>
      </c>
      <c r="J606">
        <v>0</v>
      </c>
      <c r="K606">
        <v>697</v>
      </c>
      <c r="L60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0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0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0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0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0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680.04</v>
      </c>
      <c r="W606" s="5">
        <f>IF((DiscreteStatsTable[[#This Row],[RepsRequested]]&gt;1),DiscreteStatsTable[[#This Row],[HalfWidth]],DiscreteStatsTable[[#This Row],[BatchMeansHalfWidth]])</f>
        <v>0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4">
      <c r="A607" t="s">
        <v>67</v>
      </c>
      <c r="B607" t="s">
        <v>69</v>
      </c>
      <c r="C607">
        <v>35</v>
      </c>
      <c r="D607" t="s">
        <v>80</v>
      </c>
      <c r="E607" t="s">
        <v>83</v>
      </c>
      <c r="F607" t="s">
        <v>82</v>
      </c>
      <c r="G607">
        <v>120.006885669558</v>
      </c>
      <c r="H607">
        <v>2.1939492291704901</v>
      </c>
      <c r="I607">
        <v>62.532594458140899</v>
      </c>
      <c r="J607">
        <v>176.176906855841</v>
      </c>
      <c r="K607">
        <v>697</v>
      </c>
      <c r="L60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119.072877588487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1.1004315823637869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116.869916756062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121.279055923125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55.773522793583801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203.50100513585599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680.04</v>
      </c>
      <c r="W607" s="5">
        <f>IF((DiscreteStatsTable[[#This Row],[RepsRequested]]&gt;1),DiscreteStatsTable[[#This Row],[HalfWidth]],DiscreteStatsTable[[#This Row],[BatchMeansHalfWidth]])</f>
        <v>0.31273919539597844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4">
      <c r="A608" t="s">
        <v>67</v>
      </c>
      <c r="B608" t="s">
        <v>69</v>
      </c>
      <c r="C608">
        <v>35</v>
      </c>
      <c r="D608" t="s">
        <v>80</v>
      </c>
      <c r="E608" t="s">
        <v>84</v>
      </c>
      <c r="F608" t="s">
        <v>82</v>
      </c>
      <c r="G608">
        <v>206.21737498418099</v>
      </c>
      <c r="H608">
        <v>3E+20</v>
      </c>
      <c r="I608">
        <v>81.798178346135501</v>
      </c>
      <c r="J608">
        <v>464.11820268684801</v>
      </c>
      <c r="K608">
        <v>697</v>
      </c>
      <c r="L60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230.87278063103886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28.511985776754724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176.63374267103799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310.30313247646598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74.823945578616801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640.81970303432195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680.04</v>
      </c>
      <c r="W608" s="5">
        <f>IF((DiscreteStatsTable[[#This Row],[RepsRequested]]&gt;1),DiscreteStatsTable[[#This Row],[HalfWidth]],DiscreteStatsTable[[#This Row],[BatchMeansHalfWidth]])</f>
        <v>8.1030167016926651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4">
      <c r="A609" t="s">
        <v>67</v>
      </c>
      <c r="B609" t="s">
        <v>69</v>
      </c>
      <c r="C609">
        <v>35</v>
      </c>
      <c r="D609" t="s">
        <v>80</v>
      </c>
      <c r="E609" t="s">
        <v>85</v>
      </c>
      <c r="F609" t="s">
        <v>82</v>
      </c>
      <c r="G609">
        <v>20.018477298843901</v>
      </c>
      <c r="H609">
        <v>0.66217239076450696</v>
      </c>
      <c r="I609">
        <v>6.3630247582189599</v>
      </c>
      <c r="J609">
        <v>42.173595535022102</v>
      </c>
      <c r="K609">
        <v>697</v>
      </c>
      <c r="L60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19.788825490074792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19.1753932585017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20.6416816415399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6.0540217345149898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49.959821430489797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680.04</v>
      </c>
      <c r="W609" s="5">
        <f>IF((DiscreteStatsTable[[#This Row],[RepsRequested]]&gt;1),DiscreteStatsTable[[#This Row],[HalfWidth]],DiscreteStatsTable[[#This Row],[BatchMeansHalfWidth]])</f>
        <v>9.3664325535411846E-2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4">
      <c r="A610" t="s">
        <v>67</v>
      </c>
      <c r="B610" t="s">
        <v>69</v>
      </c>
      <c r="C610">
        <v>35</v>
      </c>
      <c r="D610" t="s">
        <v>80</v>
      </c>
      <c r="E610" t="s">
        <v>86</v>
      </c>
      <c r="F610" t="s">
        <v>82</v>
      </c>
      <c r="G610">
        <v>0</v>
      </c>
      <c r="H610">
        <v>0</v>
      </c>
      <c r="I610">
        <v>0</v>
      </c>
      <c r="J610">
        <v>0</v>
      </c>
      <c r="K610">
        <v>697</v>
      </c>
      <c r="L61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680.04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4">
      <c r="A611" t="s">
        <v>67</v>
      </c>
      <c r="B611" t="s">
        <v>69</v>
      </c>
      <c r="C611">
        <v>35</v>
      </c>
      <c r="D611" t="s">
        <v>80</v>
      </c>
      <c r="E611" t="s">
        <v>87</v>
      </c>
      <c r="F611" t="s">
        <v>82</v>
      </c>
      <c r="G611">
        <v>66.192012015779497</v>
      </c>
      <c r="H611">
        <v>3E+20</v>
      </c>
      <c r="I611">
        <v>0</v>
      </c>
      <c r="J611">
        <v>269.86996387460198</v>
      </c>
      <c r="K611">
        <v>697</v>
      </c>
      <c r="L61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92.011077552476877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28.394716781335426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37.235943946119903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170.78088451033599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458.06693976826199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680.04</v>
      </c>
      <c r="W611" s="5">
        <f>IF((DiscreteStatsTable[[#This Row],[RepsRequested]]&gt;1),DiscreteStatsTable[[#This Row],[HalfWidth]],DiscreteStatsTable[[#This Row],[BatchMeansHalfWidth]])</f>
        <v>8.0696892219473568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4">
      <c r="A612" t="s">
        <v>67</v>
      </c>
      <c r="B612" t="s">
        <v>69</v>
      </c>
      <c r="C612">
        <v>36</v>
      </c>
      <c r="D612" t="s">
        <v>80</v>
      </c>
      <c r="E612" t="s">
        <v>81</v>
      </c>
      <c r="F612" t="s">
        <v>82</v>
      </c>
      <c r="G612">
        <v>0</v>
      </c>
      <c r="H612">
        <v>0</v>
      </c>
      <c r="I612">
        <v>0</v>
      </c>
      <c r="J612">
        <v>0</v>
      </c>
      <c r="K612">
        <v>678</v>
      </c>
      <c r="L61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0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0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0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0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0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680.04</v>
      </c>
      <c r="W612" s="5">
        <f>IF((DiscreteStatsTable[[#This Row],[RepsRequested]]&gt;1),DiscreteStatsTable[[#This Row],[HalfWidth]],DiscreteStatsTable[[#This Row],[BatchMeansHalfWidth]])</f>
        <v>0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4">
      <c r="A613" t="s">
        <v>67</v>
      </c>
      <c r="B613" t="s">
        <v>69</v>
      </c>
      <c r="C613">
        <v>36</v>
      </c>
      <c r="D613" t="s">
        <v>80</v>
      </c>
      <c r="E613" t="s">
        <v>83</v>
      </c>
      <c r="F613" t="s">
        <v>82</v>
      </c>
      <c r="G613">
        <v>119.97704031029301</v>
      </c>
      <c r="H613">
        <v>2.6396158968679599</v>
      </c>
      <c r="I613">
        <v>71.471358180897496</v>
      </c>
      <c r="J613">
        <v>192.18606306735299</v>
      </c>
      <c r="K613">
        <v>678</v>
      </c>
      <c r="L61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119.072877588487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1.1004315823637869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116.869916756062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121.279055923125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55.773522793583801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203.50100513585599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680.04</v>
      </c>
      <c r="W613" s="5">
        <f>IF((DiscreteStatsTable[[#This Row],[RepsRequested]]&gt;1),DiscreteStatsTable[[#This Row],[HalfWidth]],DiscreteStatsTable[[#This Row],[BatchMeansHalfWidth]])</f>
        <v>0.31273919539597844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4">
      <c r="A614" t="s">
        <v>67</v>
      </c>
      <c r="B614" t="s">
        <v>69</v>
      </c>
      <c r="C614">
        <v>36</v>
      </c>
      <c r="D614" t="s">
        <v>80</v>
      </c>
      <c r="E614" t="s">
        <v>84</v>
      </c>
      <c r="F614" t="s">
        <v>82</v>
      </c>
      <c r="G614">
        <v>240.20845322990999</v>
      </c>
      <c r="H614">
        <v>3E+20</v>
      </c>
      <c r="I614">
        <v>80.996853911189206</v>
      </c>
      <c r="J614">
        <v>436.47566208105502</v>
      </c>
      <c r="K614">
        <v>678</v>
      </c>
      <c r="L61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230.87278063103886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28.511985776754724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176.63374267103799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310.30313247646598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74.823945578616801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640.81970303432195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680.04</v>
      </c>
      <c r="W614" s="5">
        <f>IF((DiscreteStatsTable[[#This Row],[RepsRequested]]&gt;1),DiscreteStatsTable[[#This Row],[HalfWidth]],DiscreteStatsTable[[#This Row],[BatchMeansHalfWidth]])</f>
        <v>8.1030167016926651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4">
      <c r="A615" t="s">
        <v>67</v>
      </c>
      <c r="B615" t="s">
        <v>69</v>
      </c>
      <c r="C615">
        <v>36</v>
      </c>
      <c r="D615" t="s">
        <v>80</v>
      </c>
      <c r="E615" t="s">
        <v>85</v>
      </c>
      <c r="F615" t="s">
        <v>82</v>
      </c>
      <c r="G615">
        <v>20.06706722234</v>
      </c>
      <c r="H615">
        <v>0.65993404102628705</v>
      </c>
      <c r="I615">
        <v>6.2953735661956198</v>
      </c>
      <c r="J615">
        <v>49.242904896648497</v>
      </c>
      <c r="K615">
        <v>678</v>
      </c>
      <c r="L61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19.788825490074792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19.1753932585017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20.6416816415399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6.0540217345149898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49.959821430489797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680.04</v>
      </c>
      <c r="W615" s="5">
        <f>IF((DiscreteStatsTable[[#This Row],[RepsRequested]]&gt;1),DiscreteStatsTable[[#This Row],[HalfWidth]],DiscreteStatsTable[[#This Row],[BatchMeansHalfWidth]])</f>
        <v>9.3664325535411846E-2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4">
      <c r="A616" t="s">
        <v>67</v>
      </c>
      <c r="B616" t="s">
        <v>69</v>
      </c>
      <c r="C616">
        <v>36</v>
      </c>
      <c r="D616" t="s">
        <v>80</v>
      </c>
      <c r="E616" t="s">
        <v>86</v>
      </c>
      <c r="F616" t="s">
        <v>82</v>
      </c>
      <c r="G616">
        <v>0</v>
      </c>
      <c r="H616">
        <v>0</v>
      </c>
      <c r="I616">
        <v>0</v>
      </c>
      <c r="J616">
        <v>0</v>
      </c>
      <c r="K616">
        <v>678</v>
      </c>
      <c r="L61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680.04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4">
      <c r="A617" t="s">
        <v>67</v>
      </c>
      <c r="B617" t="s">
        <v>69</v>
      </c>
      <c r="C617">
        <v>36</v>
      </c>
      <c r="D617" t="s">
        <v>80</v>
      </c>
      <c r="E617" t="s">
        <v>87</v>
      </c>
      <c r="F617" t="s">
        <v>82</v>
      </c>
      <c r="G617">
        <v>100.164345697276</v>
      </c>
      <c r="H617">
        <v>3E+20</v>
      </c>
      <c r="I617">
        <v>0</v>
      </c>
      <c r="J617">
        <v>236.94723379475101</v>
      </c>
      <c r="K617">
        <v>678</v>
      </c>
      <c r="L61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92.011077552476877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28.394716781335426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37.235943946119903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170.78088451033599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458.06693976826199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680.04</v>
      </c>
      <c r="W617" s="5">
        <f>IF((DiscreteStatsTable[[#This Row],[RepsRequested]]&gt;1),DiscreteStatsTable[[#This Row],[HalfWidth]],DiscreteStatsTable[[#This Row],[BatchMeansHalfWidth]])</f>
        <v>8.0696892219473568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4">
      <c r="A618" t="s">
        <v>67</v>
      </c>
      <c r="B618" t="s">
        <v>69</v>
      </c>
      <c r="C618">
        <v>37</v>
      </c>
      <c r="D618" t="s">
        <v>80</v>
      </c>
      <c r="E618" t="s">
        <v>81</v>
      </c>
      <c r="F618" t="s">
        <v>82</v>
      </c>
      <c r="G618">
        <v>0</v>
      </c>
      <c r="H618">
        <v>0</v>
      </c>
      <c r="I618">
        <v>0</v>
      </c>
      <c r="J618">
        <v>0</v>
      </c>
      <c r="K618">
        <v>664</v>
      </c>
      <c r="L61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0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0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0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0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0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0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680.04</v>
      </c>
      <c r="W618" s="5">
        <f>IF((DiscreteStatsTable[[#This Row],[RepsRequested]]&gt;1),DiscreteStatsTable[[#This Row],[HalfWidth]],DiscreteStatsTable[[#This Row],[BatchMeansHalfWidth]])</f>
        <v>0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4">
      <c r="A619" t="s">
        <v>67</v>
      </c>
      <c r="B619" t="s">
        <v>69</v>
      </c>
      <c r="C619">
        <v>37</v>
      </c>
      <c r="D619" t="s">
        <v>80</v>
      </c>
      <c r="E619" t="s">
        <v>83</v>
      </c>
      <c r="F619" t="s">
        <v>82</v>
      </c>
      <c r="G619">
        <v>119.070427766324</v>
      </c>
      <c r="H619">
        <v>2.98469913089688</v>
      </c>
      <c r="I619">
        <v>68.035770533284904</v>
      </c>
      <c r="J619">
        <v>180.78036901601999</v>
      </c>
      <c r="K619">
        <v>664</v>
      </c>
      <c r="L61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119.072877588487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1.1004315823637869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116.869916756062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121.279055923125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55.773522793583801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203.50100513585599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680.04</v>
      </c>
      <c r="W619" s="5">
        <f>IF((DiscreteStatsTable[[#This Row],[RepsRequested]]&gt;1),DiscreteStatsTable[[#This Row],[HalfWidth]],DiscreteStatsTable[[#This Row],[BatchMeansHalfWidth]])</f>
        <v>0.31273919539597844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4">
      <c r="A620" t="s">
        <v>67</v>
      </c>
      <c r="B620" t="s">
        <v>69</v>
      </c>
      <c r="C620">
        <v>37</v>
      </c>
      <c r="D620" t="s">
        <v>80</v>
      </c>
      <c r="E620" t="s">
        <v>84</v>
      </c>
      <c r="F620" t="s">
        <v>82</v>
      </c>
      <c r="G620">
        <v>221.31644438774299</v>
      </c>
      <c r="H620">
        <v>3E+20</v>
      </c>
      <c r="I620">
        <v>77.234855517947807</v>
      </c>
      <c r="J620">
        <v>427.58343679133998</v>
      </c>
      <c r="K620">
        <v>664</v>
      </c>
      <c r="L62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230.87278063103886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28.511985776754724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176.63374267103799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310.30313247646598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74.823945578616801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640.81970303432195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680.04</v>
      </c>
      <c r="W620" s="5">
        <f>IF((DiscreteStatsTable[[#This Row],[RepsRequested]]&gt;1),DiscreteStatsTable[[#This Row],[HalfWidth]],DiscreteStatsTable[[#This Row],[BatchMeansHalfWidth]])</f>
        <v>8.1030167016926651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4">
      <c r="A621" t="s">
        <v>67</v>
      </c>
      <c r="B621" t="s">
        <v>69</v>
      </c>
      <c r="C621">
        <v>37</v>
      </c>
      <c r="D621" t="s">
        <v>80</v>
      </c>
      <c r="E621" t="s">
        <v>85</v>
      </c>
      <c r="F621" t="s">
        <v>82</v>
      </c>
      <c r="G621">
        <v>20.030308165901101</v>
      </c>
      <c r="H621">
        <v>3E+20</v>
      </c>
      <c r="I621">
        <v>6.4893618952857004</v>
      </c>
      <c r="J621">
        <v>43.7787344712833</v>
      </c>
      <c r="K621">
        <v>664</v>
      </c>
      <c r="L62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19.788825490074792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19.1753932585017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20.6416816415399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6.0540217345149898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49.959821430489797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680.04</v>
      </c>
      <c r="W621" s="5">
        <f>IF((DiscreteStatsTable[[#This Row],[RepsRequested]]&gt;1),DiscreteStatsTable[[#This Row],[HalfWidth]],DiscreteStatsTable[[#This Row],[BatchMeansHalfWidth]])</f>
        <v>9.3664325535411846E-2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4">
      <c r="A622" t="s">
        <v>67</v>
      </c>
      <c r="B622" t="s">
        <v>69</v>
      </c>
      <c r="C622">
        <v>37</v>
      </c>
      <c r="D622" t="s">
        <v>80</v>
      </c>
      <c r="E622" t="s">
        <v>86</v>
      </c>
      <c r="F622" t="s">
        <v>82</v>
      </c>
      <c r="G622">
        <v>0</v>
      </c>
      <c r="H622">
        <v>0</v>
      </c>
      <c r="I622">
        <v>0</v>
      </c>
      <c r="J622">
        <v>0</v>
      </c>
      <c r="K622">
        <v>664</v>
      </c>
      <c r="L62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680.04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4">
      <c r="A623" t="s">
        <v>67</v>
      </c>
      <c r="B623" t="s">
        <v>69</v>
      </c>
      <c r="C623">
        <v>37</v>
      </c>
      <c r="D623" t="s">
        <v>80</v>
      </c>
      <c r="E623" t="s">
        <v>87</v>
      </c>
      <c r="F623" t="s">
        <v>82</v>
      </c>
      <c r="G623">
        <v>82.2157084555175</v>
      </c>
      <c r="H623">
        <v>3E+20</v>
      </c>
      <c r="I623">
        <v>0</v>
      </c>
      <c r="J623">
        <v>237.263534930698</v>
      </c>
      <c r="K623">
        <v>664</v>
      </c>
      <c r="L62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92.011077552476877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28.394716781335426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37.235943946119903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170.78088451033599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458.06693976826199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680.04</v>
      </c>
      <c r="W623" s="5">
        <f>IF((DiscreteStatsTable[[#This Row],[RepsRequested]]&gt;1),DiscreteStatsTable[[#This Row],[HalfWidth]],DiscreteStatsTable[[#This Row],[BatchMeansHalfWidth]])</f>
        <v>8.0696892219473568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4">
      <c r="A624" t="s">
        <v>67</v>
      </c>
      <c r="B624" t="s">
        <v>69</v>
      </c>
      <c r="C624">
        <v>38</v>
      </c>
      <c r="D624" t="s">
        <v>80</v>
      </c>
      <c r="E624" t="s">
        <v>81</v>
      </c>
      <c r="F624" t="s">
        <v>82</v>
      </c>
      <c r="G624">
        <v>0</v>
      </c>
      <c r="H624">
        <v>0</v>
      </c>
      <c r="I624">
        <v>0</v>
      </c>
      <c r="J624">
        <v>0</v>
      </c>
      <c r="K624">
        <v>760</v>
      </c>
      <c r="L62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0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0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0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0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0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680.04</v>
      </c>
      <c r="W624" s="5">
        <f>IF((DiscreteStatsTable[[#This Row],[RepsRequested]]&gt;1),DiscreteStatsTable[[#This Row],[HalfWidth]],DiscreteStatsTable[[#This Row],[BatchMeansHalfWidth]])</f>
        <v>0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4">
      <c r="A625" t="s">
        <v>67</v>
      </c>
      <c r="B625" t="s">
        <v>69</v>
      </c>
      <c r="C625">
        <v>38</v>
      </c>
      <c r="D625" t="s">
        <v>80</v>
      </c>
      <c r="E625" t="s">
        <v>83</v>
      </c>
      <c r="F625" t="s">
        <v>82</v>
      </c>
      <c r="G625">
        <v>118.451696854022</v>
      </c>
      <c r="H625">
        <v>2.8570332818649602</v>
      </c>
      <c r="I625">
        <v>57.545542839954997</v>
      </c>
      <c r="J625">
        <v>184.00818832909101</v>
      </c>
      <c r="K625">
        <v>760</v>
      </c>
      <c r="L62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119.072877588487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1.1004315823637869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116.869916756062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121.279055923125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55.773522793583801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203.50100513585599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680.04</v>
      </c>
      <c r="W625" s="5">
        <f>IF((DiscreteStatsTable[[#This Row],[RepsRequested]]&gt;1),DiscreteStatsTable[[#This Row],[HalfWidth]],DiscreteStatsTable[[#This Row],[BatchMeansHalfWidth]])</f>
        <v>0.31273919539597844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4">
      <c r="A626" t="s">
        <v>67</v>
      </c>
      <c r="B626" t="s">
        <v>69</v>
      </c>
      <c r="C626">
        <v>38</v>
      </c>
      <c r="D626" t="s">
        <v>80</v>
      </c>
      <c r="E626" t="s">
        <v>84</v>
      </c>
      <c r="F626" t="s">
        <v>82</v>
      </c>
      <c r="G626">
        <v>224.73856176480899</v>
      </c>
      <c r="H626">
        <v>3E+20</v>
      </c>
      <c r="I626">
        <v>79.640207245470705</v>
      </c>
      <c r="J626">
        <v>376.25580629637801</v>
      </c>
      <c r="K626">
        <v>760</v>
      </c>
      <c r="L62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230.87278063103886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28.511985776754724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176.63374267103799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310.30313247646598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74.823945578616801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640.81970303432195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680.04</v>
      </c>
      <c r="W626" s="5">
        <f>IF((DiscreteStatsTable[[#This Row],[RepsRequested]]&gt;1),DiscreteStatsTable[[#This Row],[HalfWidth]],DiscreteStatsTable[[#This Row],[BatchMeansHalfWidth]])</f>
        <v>8.1030167016926651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4">
      <c r="A627" t="s">
        <v>67</v>
      </c>
      <c r="B627" t="s">
        <v>69</v>
      </c>
      <c r="C627">
        <v>38</v>
      </c>
      <c r="D627" t="s">
        <v>80</v>
      </c>
      <c r="E627" t="s">
        <v>85</v>
      </c>
      <c r="F627" t="s">
        <v>82</v>
      </c>
      <c r="G627">
        <v>19.607544806589601</v>
      </c>
      <c r="H627">
        <v>0.71760188965163896</v>
      </c>
      <c r="I627">
        <v>6.3059258714665098</v>
      </c>
      <c r="J627">
        <v>47.888087668657498</v>
      </c>
      <c r="K627">
        <v>760</v>
      </c>
      <c r="L62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19.788825490074792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19.1753932585017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20.6416816415399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6.0540217345149898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49.959821430489797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680.04</v>
      </c>
      <c r="W627" s="5">
        <f>IF((DiscreteStatsTable[[#This Row],[RepsRequested]]&gt;1),DiscreteStatsTable[[#This Row],[HalfWidth]],DiscreteStatsTable[[#This Row],[BatchMeansHalfWidth]])</f>
        <v>9.3664325535411846E-2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4">
      <c r="A628" t="s">
        <v>67</v>
      </c>
      <c r="B628" t="s">
        <v>69</v>
      </c>
      <c r="C628">
        <v>38</v>
      </c>
      <c r="D628" t="s">
        <v>80</v>
      </c>
      <c r="E628" t="s">
        <v>86</v>
      </c>
      <c r="F628" t="s">
        <v>82</v>
      </c>
      <c r="G628">
        <v>0</v>
      </c>
      <c r="H628">
        <v>0</v>
      </c>
      <c r="I628">
        <v>0</v>
      </c>
      <c r="J628">
        <v>0</v>
      </c>
      <c r="K628">
        <v>760</v>
      </c>
      <c r="L62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680.04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4">
      <c r="A629" t="s">
        <v>67</v>
      </c>
      <c r="B629" t="s">
        <v>69</v>
      </c>
      <c r="C629">
        <v>38</v>
      </c>
      <c r="D629" t="s">
        <v>80</v>
      </c>
      <c r="E629" t="s">
        <v>87</v>
      </c>
      <c r="F629" t="s">
        <v>82</v>
      </c>
      <c r="G629">
        <v>86.679320104196805</v>
      </c>
      <c r="H629">
        <v>3E+20</v>
      </c>
      <c r="I629">
        <v>0</v>
      </c>
      <c r="J629">
        <v>193.76338168677401</v>
      </c>
      <c r="K629">
        <v>760</v>
      </c>
      <c r="L62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92.011077552476877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28.394716781335426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37.235943946119903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170.78088451033599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458.06693976826199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680.04</v>
      </c>
      <c r="W629" s="5">
        <f>IF((DiscreteStatsTable[[#This Row],[RepsRequested]]&gt;1),DiscreteStatsTable[[#This Row],[HalfWidth]],DiscreteStatsTable[[#This Row],[BatchMeansHalfWidth]])</f>
        <v>8.0696892219473568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4">
      <c r="A630" t="s">
        <v>67</v>
      </c>
      <c r="B630" t="s">
        <v>69</v>
      </c>
      <c r="C630">
        <v>39</v>
      </c>
      <c r="D630" t="s">
        <v>80</v>
      </c>
      <c r="E630" t="s">
        <v>81</v>
      </c>
      <c r="F630" t="s">
        <v>82</v>
      </c>
      <c r="G630">
        <v>0</v>
      </c>
      <c r="H630">
        <v>0</v>
      </c>
      <c r="I630">
        <v>0</v>
      </c>
      <c r="J630">
        <v>0</v>
      </c>
      <c r="K630">
        <v>649</v>
      </c>
      <c r="L63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0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0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0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0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0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0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680.04</v>
      </c>
      <c r="W630" s="5">
        <f>IF((DiscreteStatsTable[[#This Row],[RepsRequested]]&gt;1),DiscreteStatsTable[[#This Row],[HalfWidth]],DiscreteStatsTable[[#This Row],[BatchMeansHalfWidth]])</f>
        <v>0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4">
      <c r="A631" t="s">
        <v>67</v>
      </c>
      <c r="B631" t="s">
        <v>69</v>
      </c>
      <c r="C631">
        <v>39</v>
      </c>
      <c r="D631" t="s">
        <v>80</v>
      </c>
      <c r="E631" t="s">
        <v>83</v>
      </c>
      <c r="F631" t="s">
        <v>82</v>
      </c>
      <c r="G631">
        <v>117.958327634322</v>
      </c>
      <c r="H631">
        <v>2.6853947158360598</v>
      </c>
      <c r="I631">
        <v>65.437812188505703</v>
      </c>
      <c r="J631">
        <v>180.774009245423</v>
      </c>
      <c r="K631">
        <v>649</v>
      </c>
      <c r="L63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119.072877588487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1.1004315823637869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116.869916756062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121.279055923125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55.773522793583801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203.50100513585599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680.04</v>
      </c>
      <c r="W631" s="5">
        <f>IF((DiscreteStatsTable[[#This Row],[RepsRequested]]&gt;1),DiscreteStatsTable[[#This Row],[HalfWidth]],DiscreteStatsTable[[#This Row],[BatchMeansHalfWidth]])</f>
        <v>0.31273919539597844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4">
      <c r="A632" t="s">
        <v>67</v>
      </c>
      <c r="B632" t="s">
        <v>69</v>
      </c>
      <c r="C632">
        <v>39</v>
      </c>
      <c r="D632" t="s">
        <v>80</v>
      </c>
      <c r="E632" t="s">
        <v>84</v>
      </c>
      <c r="F632" t="s">
        <v>82</v>
      </c>
      <c r="G632">
        <v>238.86077873283199</v>
      </c>
      <c r="H632">
        <v>3E+20</v>
      </c>
      <c r="I632">
        <v>83.4032983375144</v>
      </c>
      <c r="J632">
        <v>534.48831590171994</v>
      </c>
      <c r="K632">
        <v>649</v>
      </c>
      <c r="L63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230.87278063103886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28.511985776754724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176.63374267103799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310.30313247646598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74.823945578616801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640.81970303432195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680.04</v>
      </c>
      <c r="W632" s="5">
        <f>IF((DiscreteStatsTable[[#This Row],[RepsRequested]]&gt;1),DiscreteStatsTable[[#This Row],[HalfWidth]],DiscreteStatsTable[[#This Row],[BatchMeansHalfWidth]])</f>
        <v>8.1030167016926651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4">
      <c r="A633" t="s">
        <v>67</v>
      </c>
      <c r="B633" t="s">
        <v>69</v>
      </c>
      <c r="C633">
        <v>39</v>
      </c>
      <c r="D633" t="s">
        <v>80</v>
      </c>
      <c r="E633" t="s">
        <v>85</v>
      </c>
      <c r="F633" t="s">
        <v>82</v>
      </c>
      <c r="G633">
        <v>19.754827571270098</v>
      </c>
      <c r="H633">
        <v>0.78906779444804398</v>
      </c>
      <c r="I633">
        <v>6.2870431905877204</v>
      </c>
      <c r="J633">
        <v>48.511342852671298</v>
      </c>
      <c r="K633">
        <v>649</v>
      </c>
      <c r="L63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19.788825490074792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19.1753932585017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20.6416816415399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6.0540217345149898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49.959821430489797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680.04</v>
      </c>
      <c r="W633" s="5">
        <f>IF((DiscreteStatsTable[[#This Row],[RepsRequested]]&gt;1),DiscreteStatsTable[[#This Row],[HalfWidth]],DiscreteStatsTable[[#This Row],[BatchMeansHalfWidth]])</f>
        <v>9.3664325535411846E-2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4">
      <c r="A634" t="s">
        <v>67</v>
      </c>
      <c r="B634" t="s">
        <v>69</v>
      </c>
      <c r="C634">
        <v>39</v>
      </c>
      <c r="D634" t="s">
        <v>80</v>
      </c>
      <c r="E634" t="s">
        <v>86</v>
      </c>
      <c r="F634" t="s">
        <v>82</v>
      </c>
      <c r="G634">
        <v>0</v>
      </c>
      <c r="H634">
        <v>0</v>
      </c>
      <c r="I634">
        <v>0</v>
      </c>
      <c r="J634">
        <v>0</v>
      </c>
      <c r="K634">
        <v>649</v>
      </c>
      <c r="L63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680.04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4">
      <c r="A635" t="s">
        <v>67</v>
      </c>
      <c r="B635" t="s">
        <v>69</v>
      </c>
      <c r="C635">
        <v>39</v>
      </c>
      <c r="D635" t="s">
        <v>80</v>
      </c>
      <c r="E635" t="s">
        <v>87</v>
      </c>
      <c r="F635" t="s">
        <v>82</v>
      </c>
      <c r="G635">
        <v>101.14762352724</v>
      </c>
      <c r="H635">
        <v>3E+20</v>
      </c>
      <c r="I635">
        <v>0</v>
      </c>
      <c r="J635">
        <v>369.82550709364699</v>
      </c>
      <c r="K635">
        <v>649</v>
      </c>
      <c r="L63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92.011077552476877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28.394716781335426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37.235943946119903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170.78088451033599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458.06693976826199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680.04</v>
      </c>
      <c r="W635" s="5">
        <f>IF((DiscreteStatsTable[[#This Row],[RepsRequested]]&gt;1),DiscreteStatsTable[[#This Row],[HalfWidth]],DiscreteStatsTable[[#This Row],[BatchMeansHalfWidth]])</f>
        <v>8.0696892219473568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4">
      <c r="A636" t="s">
        <v>67</v>
      </c>
      <c r="B636" t="s">
        <v>69</v>
      </c>
      <c r="C636">
        <v>40</v>
      </c>
      <c r="D636" t="s">
        <v>80</v>
      </c>
      <c r="E636" t="s">
        <v>81</v>
      </c>
      <c r="F636" t="s">
        <v>82</v>
      </c>
      <c r="G636">
        <v>0</v>
      </c>
      <c r="H636">
        <v>0</v>
      </c>
      <c r="I636">
        <v>0</v>
      </c>
      <c r="J636">
        <v>0</v>
      </c>
      <c r="K636">
        <v>596</v>
      </c>
      <c r="L63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0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0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0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0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0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680.04</v>
      </c>
      <c r="W636" s="5">
        <f>IF((DiscreteStatsTable[[#This Row],[RepsRequested]]&gt;1),DiscreteStatsTable[[#This Row],[HalfWidth]],DiscreteStatsTable[[#This Row],[BatchMeansHalfWidth]])</f>
        <v>0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4">
      <c r="A637" t="s">
        <v>67</v>
      </c>
      <c r="B637" t="s">
        <v>69</v>
      </c>
      <c r="C637">
        <v>40</v>
      </c>
      <c r="D637" t="s">
        <v>80</v>
      </c>
      <c r="E637" t="s">
        <v>83</v>
      </c>
      <c r="F637" t="s">
        <v>82</v>
      </c>
      <c r="G637">
        <v>120.342493935362</v>
      </c>
      <c r="H637">
        <v>2.8040066193138098</v>
      </c>
      <c r="I637">
        <v>70.399488312825994</v>
      </c>
      <c r="J637">
        <v>181.26272440555201</v>
      </c>
      <c r="K637">
        <v>596</v>
      </c>
      <c r="L63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119.072877588487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1.1004315823637869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116.869916756062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121.279055923125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55.773522793583801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203.50100513585599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680.04</v>
      </c>
      <c r="W637" s="5">
        <f>IF((DiscreteStatsTable[[#This Row],[RepsRequested]]&gt;1),DiscreteStatsTable[[#This Row],[HalfWidth]],DiscreteStatsTable[[#This Row],[BatchMeansHalfWidth]])</f>
        <v>0.31273919539597844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4">
      <c r="A638" t="s">
        <v>67</v>
      </c>
      <c r="B638" t="s">
        <v>69</v>
      </c>
      <c r="C638">
        <v>40</v>
      </c>
      <c r="D638" t="s">
        <v>80</v>
      </c>
      <c r="E638" t="s">
        <v>84</v>
      </c>
      <c r="F638" t="s">
        <v>82</v>
      </c>
      <c r="G638">
        <v>247.443897989753</v>
      </c>
      <c r="H638">
        <v>3E+20</v>
      </c>
      <c r="I638">
        <v>84.268594145474694</v>
      </c>
      <c r="J638">
        <v>640.81970303432195</v>
      </c>
      <c r="K638">
        <v>596</v>
      </c>
      <c r="L63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230.87278063103886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28.511985776754724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176.63374267103799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310.30313247646598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74.823945578616801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640.81970303432195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680.04</v>
      </c>
      <c r="W638" s="5">
        <f>IF((DiscreteStatsTable[[#This Row],[RepsRequested]]&gt;1),DiscreteStatsTable[[#This Row],[HalfWidth]],DiscreteStatsTable[[#This Row],[BatchMeansHalfWidth]])</f>
        <v>8.1030167016926651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4">
      <c r="A639" t="s">
        <v>67</v>
      </c>
      <c r="B639" t="s">
        <v>69</v>
      </c>
      <c r="C639">
        <v>40</v>
      </c>
      <c r="D639" t="s">
        <v>80</v>
      </c>
      <c r="E639" t="s">
        <v>85</v>
      </c>
      <c r="F639" t="s">
        <v>82</v>
      </c>
      <c r="G639">
        <v>20.414978511085302</v>
      </c>
      <c r="H639">
        <v>0.71580806505187</v>
      </c>
      <c r="I639">
        <v>6.1740702161682703</v>
      </c>
      <c r="J639">
        <v>48.124518187370299</v>
      </c>
      <c r="K639">
        <v>596</v>
      </c>
      <c r="L63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19.788825490074792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19.1753932585017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20.6416816415399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6.0540217345149898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49.959821430489797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680.04</v>
      </c>
      <c r="W639" s="5">
        <f>IF((DiscreteStatsTable[[#This Row],[RepsRequested]]&gt;1),DiscreteStatsTable[[#This Row],[HalfWidth]],DiscreteStatsTable[[#This Row],[BatchMeansHalfWidth]])</f>
        <v>9.3664325535411846E-2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4">
      <c r="A640" t="s">
        <v>67</v>
      </c>
      <c r="B640" t="s">
        <v>69</v>
      </c>
      <c r="C640">
        <v>40</v>
      </c>
      <c r="D640" t="s">
        <v>80</v>
      </c>
      <c r="E640" t="s">
        <v>86</v>
      </c>
      <c r="F640" t="s">
        <v>82</v>
      </c>
      <c r="G640">
        <v>0</v>
      </c>
      <c r="H640">
        <v>0</v>
      </c>
      <c r="I640">
        <v>0</v>
      </c>
      <c r="J640">
        <v>0</v>
      </c>
      <c r="K640">
        <v>596</v>
      </c>
      <c r="L64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680.04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4">
      <c r="A641" t="s">
        <v>67</v>
      </c>
      <c r="B641" t="s">
        <v>69</v>
      </c>
      <c r="C641">
        <v>40</v>
      </c>
      <c r="D641" t="s">
        <v>80</v>
      </c>
      <c r="E641" t="s">
        <v>87</v>
      </c>
      <c r="F641" t="s">
        <v>82</v>
      </c>
      <c r="G641">
        <v>106.68642554330501</v>
      </c>
      <c r="H641">
        <v>3E+20</v>
      </c>
      <c r="I641">
        <v>0</v>
      </c>
      <c r="J641">
        <v>458.06693976826199</v>
      </c>
      <c r="K641">
        <v>596</v>
      </c>
      <c r="L64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92.011077552476877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28.394716781335426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37.235943946119903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170.78088451033599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458.06693976826199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680.04</v>
      </c>
      <c r="W641" s="5">
        <f>IF((DiscreteStatsTable[[#This Row],[RepsRequested]]&gt;1),DiscreteStatsTable[[#This Row],[HalfWidth]],DiscreteStatsTable[[#This Row],[BatchMeansHalfWidth]])</f>
        <v>8.0696892219473568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4">
      <c r="A642" t="s">
        <v>67</v>
      </c>
      <c r="B642" t="s">
        <v>69</v>
      </c>
      <c r="C642">
        <v>41</v>
      </c>
      <c r="D642" t="s">
        <v>80</v>
      </c>
      <c r="E642" t="s">
        <v>81</v>
      </c>
      <c r="F642" t="s">
        <v>82</v>
      </c>
      <c r="G642">
        <v>0</v>
      </c>
      <c r="H642">
        <v>0</v>
      </c>
      <c r="I642">
        <v>0</v>
      </c>
      <c r="J642">
        <v>0</v>
      </c>
      <c r="K642">
        <v>609</v>
      </c>
      <c r="L64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0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0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0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0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0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0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680.04</v>
      </c>
      <c r="W642" s="5">
        <f>IF((DiscreteStatsTable[[#This Row],[RepsRequested]]&gt;1),DiscreteStatsTable[[#This Row],[HalfWidth]],DiscreteStatsTable[[#This Row],[BatchMeansHalfWidth]])</f>
        <v>0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4">
      <c r="A643" t="s">
        <v>67</v>
      </c>
      <c r="B643" t="s">
        <v>69</v>
      </c>
      <c r="C643">
        <v>41</v>
      </c>
      <c r="D643" t="s">
        <v>80</v>
      </c>
      <c r="E643" t="s">
        <v>83</v>
      </c>
      <c r="F643" t="s">
        <v>82</v>
      </c>
      <c r="G643">
        <v>117.67554856956301</v>
      </c>
      <c r="H643">
        <v>2.3183237727114201</v>
      </c>
      <c r="I643">
        <v>63.407672968127599</v>
      </c>
      <c r="J643">
        <v>183.17356697904299</v>
      </c>
      <c r="K643">
        <v>609</v>
      </c>
      <c r="L64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119.072877588487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1.1004315823637869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116.869916756062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121.279055923125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55.773522793583801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203.50100513585599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680.04</v>
      </c>
      <c r="W643" s="5">
        <f>IF((DiscreteStatsTable[[#This Row],[RepsRequested]]&gt;1),DiscreteStatsTable[[#This Row],[HalfWidth]],DiscreteStatsTable[[#This Row],[BatchMeansHalfWidth]])</f>
        <v>0.31273919539597844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4">
      <c r="A644" t="s">
        <v>67</v>
      </c>
      <c r="B644" t="s">
        <v>69</v>
      </c>
      <c r="C644">
        <v>41</v>
      </c>
      <c r="D644" t="s">
        <v>80</v>
      </c>
      <c r="E644" t="s">
        <v>84</v>
      </c>
      <c r="F644" t="s">
        <v>82</v>
      </c>
      <c r="G644">
        <v>251.790950598595</v>
      </c>
      <c r="H644">
        <v>3E+20</v>
      </c>
      <c r="I644">
        <v>82.666477871957795</v>
      </c>
      <c r="J644">
        <v>536.23420270199904</v>
      </c>
      <c r="K644">
        <v>609</v>
      </c>
      <c r="L64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230.87278063103886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28.511985776754724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176.63374267103799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310.30313247646598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74.823945578616801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640.81970303432195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680.04</v>
      </c>
      <c r="W644" s="5">
        <f>IF((DiscreteStatsTable[[#This Row],[RepsRequested]]&gt;1),DiscreteStatsTable[[#This Row],[HalfWidth]],DiscreteStatsTable[[#This Row],[BatchMeansHalfWidth]])</f>
        <v>8.1030167016926651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4">
      <c r="A645" t="s">
        <v>67</v>
      </c>
      <c r="B645" t="s">
        <v>69</v>
      </c>
      <c r="C645">
        <v>41</v>
      </c>
      <c r="D645" t="s">
        <v>80</v>
      </c>
      <c r="E645" t="s">
        <v>85</v>
      </c>
      <c r="F645" t="s">
        <v>82</v>
      </c>
      <c r="G645">
        <v>19.437564667950401</v>
      </c>
      <c r="H645">
        <v>0.62798267619926296</v>
      </c>
      <c r="I645">
        <v>6.3253058245466001</v>
      </c>
      <c r="J645">
        <v>45.656303547001997</v>
      </c>
      <c r="K645">
        <v>609</v>
      </c>
      <c r="L64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19.788825490074792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19.1753932585017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20.6416816415399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6.0540217345149898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49.959821430489797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680.04</v>
      </c>
      <c r="W645" s="5">
        <f>IF((DiscreteStatsTable[[#This Row],[RepsRequested]]&gt;1),DiscreteStatsTable[[#This Row],[HalfWidth]],DiscreteStatsTable[[#This Row],[BatchMeansHalfWidth]])</f>
        <v>9.3664325535411846E-2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4">
      <c r="A646" t="s">
        <v>67</v>
      </c>
      <c r="B646" t="s">
        <v>69</v>
      </c>
      <c r="C646">
        <v>41</v>
      </c>
      <c r="D646" t="s">
        <v>80</v>
      </c>
      <c r="E646" t="s">
        <v>86</v>
      </c>
      <c r="F646" t="s">
        <v>82</v>
      </c>
      <c r="G646">
        <v>0</v>
      </c>
      <c r="H646">
        <v>0</v>
      </c>
      <c r="I646">
        <v>0</v>
      </c>
      <c r="J646">
        <v>0</v>
      </c>
      <c r="K646">
        <v>609</v>
      </c>
      <c r="L64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680.04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4">
      <c r="A647" t="s">
        <v>67</v>
      </c>
      <c r="B647" t="s">
        <v>69</v>
      </c>
      <c r="C647">
        <v>41</v>
      </c>
      <c r="D647" t="s">
        <v>80</v>
      </c>
      <c r="E647" t="s">
        <v>87</v>
      </c>
      <c r="F647" t="s">
        <v>82</v>
      </c>
      <c r="G647">
        <v>114.677837361082</v>
      </c>
      <c r="H647">
        <v>3E+20</v>
      </c>
      <c r="I647">
        <v>0</v>
      </c>
      <c r="J647">
        <v>343.682716178845</v>
      </c>
      <c r="K647">
        <v>609</v>
      </c>
      <c r="L64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92.011077552476877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28.394716781335426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37.235943946119903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170.78088451033599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458.06693976826199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680.04</v>
      </c>
      <c r="W647" s="5">
        <f>IF((DiscreteStatsTable[[#This Row],[RepsRequested]]&gt;1),DiscreteStatsTable[[#This Row],[HalfWidth]],DiscreteStatsTable[[#This Row],[BatchMeansHalfWidth]])</f>
        <v>8.0696892219473568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4">
      <c r="A648" t="s">
        <v>67</v>
      </c>
      <c r="B648" t="s">
        <v>69</v>
      </c>
      <c r="C648">
        <v>42</v>
      </c>
      <c r="D648" t="s">
        <v>80</v>
      </c>
      <c r="E648" t="s">
        <v>81</v>
      </c>
      <c r="F648" t="s">
        <v>82</v>
      </c>
      <c r="G648">
        <v>0</v>
      </c>
      <c r="H648">
        <v>0</v>
      </c>
      <c r="I648">
        <v>0</v>
      </c>
      <c r="J648">
        <v>0</v>
      </c>
      <c r="K648">
        <v>648</v>
      </c>
      <c r="L64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0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0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0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0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0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680.04</v>
      </c>
      <c r="W648" s="5">
        <f>IF((DiscreteStatsTable[[#This Row],[RepsRequested]]&gt;1),DiscreteStatsTable[[#This Row],[HalfWidth]],DiscreteStatsTable[[#This Row],[BatchMeansHalfWidth]])</f>
        <v>0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4">
      <c r="A649" t="s">
        <v>67</v>
      </c>
      <c r="B649" t="s">
        <v>69</v>
      </c>
      <c r="C649">
        <v>42</v>
      </c>
      <c r="D649" t="s">
        <v>80</v>
      </c>
      <c r="E649" t="s">
        <v>83</v>
      </c>
      <c r="F649" t="s">
        <v>82</v>
      </c>
      <c r="G649">
        <v>119.99340660360799</v>
      </c>
      <c r="H649">
        <v>2.5574350013240301</v>
      </c>
      <c r="I649">
        <v>61.472605124085497</v>
      </c>
      <c r="J649">
        <v>180.505482617909</v>
      </c>
      <c r="K649">
        <v>648</v>
      </c>
      <c r="L64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119.072877588487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1.1004315823637869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116.869916756062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121.279055923125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55.773522793583801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203.50100513585599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680.04</v>
      </c>
      <c r="W649" s="5">
        <f>IF((DiscreteStatsTable[[#This Row],[RepsRequested]]&gt;1),DiscreteStatsTable[[#This Row],[HalfWidth]],DiscreteStatsTable[[#This Row],[BatchMeansHalfWidth]])</f>
        <v>0.31273919539597844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4">
      <c r="A650" t="s">
        <v>67</v>
      </c>
      <c r="B650" t="s">
        <v>69</v>
      </c>
      <c r="C650">
        <v>42</v>
      </c>
      <c r="D650" t="s">
        <v>80</v>
      </c>
      <c r="E650" t="s">
        <v>84</v>
      </c>
      <c r="F650" t="s">
        <v>82</v>
      </c>
      <c r="G650">
        <v>255.882681427243</v>
      </c>
      <c r="H650">
        <v>3E+20</v>
      </c>
      <c r="I650">
        <v>84.320708874198999</v>
      </c>
      <c r="J650">
        <v>462.21035861533397</v>
      </c>
      <c r="K650">
        <v>648</v>
      </c>
      <c r="L65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230.87278063103886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28.511985776754724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176.63374267103799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310.30313247646598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74.823945578616801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640.81970303432195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680.04</v>
      </c>
      <c r="W650" s="5">
        <f>IF((DiscreteStatsTable[[#This Row],[RepsRequested]]&gt;1),DiscreteStatsTable[[#This Row],[HalfWidth]],DiscreteStatsTable[[#This Row],[BatchMeansHalfWidth]])</f>
        <v>8.1030167016926651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4">
      <c r="A651" t="s">
        <v>67</v>
      </c>
      <c r="B651" t="s">
        <v>69</v>
      </c>
      <c r="C651">
        <v>42</v>
      </c>
      <c r="D651" t="s">
        <v>80</v>
      </c>
      <c r="E651" t="s">
        <v>85</v>
      </c>
      <c r="F651" t="s">
        <v>82</v>
      </c>
      <c r="G651">
        <v>19.861426221534</v>
      </c>
      <c r="H651">
        <v>0.68001930048699499</v>
      </c>
      <c r="I651">
        <v>6.2194313734331699</v>
      </c>
      <c r="J651">
        <v>46.5097135969473</v>
      </c>
      <c r="K651">
        <v>648</v>
      </c>
      <c r="L65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19.788825490074792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19.1753932585017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20.6416816415399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6.0540217345149898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49.959821430489797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680.04</v>
      </c>
      <c r="W651" s="5">
        <f>IF((DiscreteStatsTable[[#This Row],[RepsRequested]]&gt;1),DiscreteStatsTable[[#This Row],[HalfWidth]],DiscreteStatsTable[[#This Row],[BatchMeansHalfWidth]])</f>
        <v>9.3664325535411846E-2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4">
      <c r="A652" t="s">
        <v>67</v>
      </c>
      <c r="B652" t="s">
        <v>69</v>
      </c>
      <c r="C652">
        <v>42</v>
      </c>
      <c r="D652" t="s">
        <v>80</v>
      </c>
      <c r="E652" t="s">
        <v>86</v>
      </c>
      <c r="F652" t="s">
        <v>82</v>
      </c>
      <c r="G652">
        <v>0</v>
      </c>
      <c r="H652">
        <v>0</v>
      </c>
      <c r="I652">
        <v>0</v>
      </c>
      <c r="J652">
        <v>0</v>
      </c>
      <c r="K652">
        <v>648</v>
      </c>
      <c r="L65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680.04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4">
      <c r="A653" t="s">
        <v>67</v>
      </c>
      <c r="B653" t="s">
        <v>69</v>
      </c>
      <c r="C653">
        <v>42</v>
      </c>
      <c r="D653" t="s">
        <v>80</v>
      </c>
      <c r="E653" t="s">
        <v>87</v>
      </c>
      <c r="F653" t="s">
        <v>82</v>
      </c>
      <c r="G653">
        <v>116.027848602101</v>
      </c>
      <c r="H653">
        <v>3E+20</v>
      </c>
      <c r="I653">
        <v>0</v>
      </c>
      <c r="J653">
        <v>262.62595740827999</v>
      </c>
      <c r="K653">
        <v>648</v>
      </c>
      <c r="L65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92.011077552476877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28.394716781335426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37.235943946119903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170.78088451033599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458.06693976826199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680.04</v>
      </c>
      <c r="W653" s="5">
        <f>IF((DiscreteStatsTable[[#This Row],[RepsRequested]]&gt;1),DiscreteStatsTable[[#This Row],[HalfWidth]],DiscreteStatsTable[[#This Row],[BatchMeansHalfWidth]])</f>
        <v>8.0696892219473568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4">
      <c r="A654" t="s">
        <v>67</v>
      </c>
      <c r="B654" t="s">
        <v>69</v>
      </c>
      <c r="C654">
        <v>43</v>
      </c>
      <c r="D654" t="s">
        <v>80</v>
      </c>
      <c r="E654" t="s">
        <v>81</v>
      </c>
      <c r="F654" t="s">
        <v>82</v>
      </c>
      <c r="G654">
        <v>0</v>
      </c>
      <c r="H654">
        <v>0</v>
      </c>
      <c r="I654">
        <v>0</v>
      </c>
      <c r="J654">
        <v>0</v>
      </c>
      <c r="K654">
        <v>672</v>
      </c>
      <c r="L65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0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0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0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0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0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0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680.04</v>
      </c>
      <c r="W654" s="5">
        <f>IF((DiscreteStatsTable[[#This Row],[RepsRequested]]&gt;1),DiscreteStatsTable[[#This Row],[HalfWidth]],DiscreteStatsTable[[#This Row],[BatchMeansHalfWidth]])</f>
        <v>0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4">
      <c r="A655" t="s">
        <v>67</v>
      </c>
      <c r="B655" t="s">
        <v>69</v>
      </c>
      <c r="C655">
        <v>43</v>
      </c>
      <c r="D655" t="s">
        <v>80</v>
      </c>
      <c r="E655" t="s">
        <v>83</v>
      </c>
      <c r="F655" t="s">
        <v>82</v>
      </c>
      <c r="G655">
        <v>120.730276265029</v>
      </c>
      <c r="H655">
        <v>2.0167817029762198</v>
      </c>
      <c r="I655">
        <v>62.778872507700001</v>
      </c>
      <c r="J655">
        <v>178.10069026100899</v>
      </c>
      <c r="K655">
        <v>672</v>
      </c>
      <c r="L65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119.072877588487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1.1004315823637869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116.869916756062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121.279055923125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55.773522793583801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203.50100513585599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680.04</v>
      </c>
      <c r="W655" s="5">
        <f>IF((DiscreteStatsTable[[#This Row],[RepsRequested]]&gt;1),DiscreteStatsTable[[#This Row],[HalfWidth]],DiscreteStatsTable[[#This Row],[BatchMeansHalfWidth]])</f>
        <v>0.31273919539597844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4">
      <c r="A656" t="s">
        <v>67</v>
      </c>
      <c r="B656" t="s">
        <v>69</v>
      </c>
      <c r="C656">
        <v>43</v>
      </c>
      <c r="D656" t="s">
        <v>80</v>
      </c>
      <c r="E656" t="s">
        <v>84</v>
      </c>
      <c r="F656" t="s">
        <v>82</v>
      </c>
      <c r="G656">
        <v>220.17553864733699</v>
      </c>
      <c r="H656">
        <v>3E+20</v>
      </c>
      <c r="I656">
        <v>76.295420951115602</v>
      </c>
      <c r="J656">
        <v>412.56115010860498</v>
      </c>
      <c r="K656">
        <v>672</v>
      </c>
      <c r="L65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230.87278063103886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28.511985776754724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176.63374267103799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310.30313247646598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74.823945578616801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640.81970303432195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680.04</v>
      </c>
      <c r="W656" s="5">
        <f>IF((DiscreteStatsTable[[#This Row],[RepsRequested]]&gt;1),DiscreteStatsTable[[#This Row],[HalfWidth]],DiscreteStatsTable[[#This Row],[BatchMeansHalfWidth]])</f>
        <v>8.1030167016926651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4">
      <c r="A657" t="s">
        <v>67</v>
      </c>
      <c r="B657" t="s">
        <v>69</v>
      </c>
      <c r="C657">
        <v>43</v>
      </c>
      <c r="D657" t="s">
        <v>80</v>
      </c>
      <c r="E657" t="s">
        <v>85</v>
      </c>
      <c r="F657" t="s">
        <v>82</v>
      </c>
      <c r="G657">
        <v>20.179829033894599</v>
      </c>
      <c r="H657">
        <v>0.59116162913867998</v>
      </c>
      <c r="I657">
        <v>6.3566035014671298</v>
      </c>
      <c r="J657">
        <v>49.509549746772997</v>
      </c>
      <c r="K657">
        <v>672</v>
      </c>
      <c r="L65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19.788825490074792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19.1753932585017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20.6416816415399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6.0540217345149898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49.959821430489797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680.04</v>
      </c>
      <c r="W657" s="5">
        <f>IF((DiscreteStatsTable[[#This Row],[RepsRequested]]&gt;1),DiscreteStatsTable[[#This Row],[HalfWidth]],DiscreteStatsTable[[#This Row],[BatchMeansHalfWidth]])</f>
        <v>9.3664325535411846E-2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4">
      <c r="A658" t="s">
        <v>67</v>
      </c>
      <c r="B658" t="s">
        <v>69</v>
      </c>
      <c r="C658">
        <v>43</v>
      </c>
      <c r="D658" t="s">
        <v>80</v>
      </c>
      <c r="E658" t="s">
        <v>86</v>
      </c>
      <c r="F658" t="s">
        <v>82</v>
      </c>
      <c r="G658">
        <v>0</v>
      </c>
      <c r="H658">
        <v>0</v>
      </c>
      <c r="I658">
        <v>0</v>
      </c>
      <c r="J658">
        <v>0</v>
      </c>
      <c r="K658">
        <v>672</v>
      </c>
      <c r="L65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680.04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4">
      <c r="A659" t="s">
        <v>67</v>
      </c>
      <c r="B659" t="s">
        <v>69</v>
      </c>
      <c r="C659">
        <v>43</v>
      </c>
      <c r="D659" t="s">
        <v>80</v>
      </c>
      <c r="E659" t="s">
        <v>87</v>
      </c>
      <c r="F659" t="s">
        <v>82</v>
      </c>
      <c r="G659">
        <v>79.265433348413197</v>
      </c>
      <c r="H659">
        <v>3E+20</v>
      </c>
      <c r="I659">
        <v>0</v>
      </c>
      <c r="J659">
        <v>241.62439333428301</v>
      </c>
      <c r="K659">
        <v>672</v>
      </c>
      <c r="L65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92.011077552476877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28.394716781335426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37.235943946119903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170.78088451033599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458.06693976826199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680.04</v>
      </c>
      <c r="W659" s="5">
        <f>IF((DiscreteStatsTable[[#This Row],[RepsRequested]]&gt;1),DiscreteStatsTable[[#This Row],[HalfWidth]],DiscreteStatsTable[[#This Row],[BatchMeansHalfWidth]])</f>
        <v>8.0696892219473568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4">
      <c r="A660" t="s">
        <v>67</v>
      </c>
      <c r="B660" t="s">
        <v>69</v>
      </c>
      <c r="C660">
        <v>44</v>
      </c>
      <c r="D660" t="s">
        <v>80</v>
      </c>
      <c r="E660" t="s">
        <v>81</v>
      </c>
      <c r="F660" t="s">
        <v>82</v>
      </c>
      <c r="G660">
        <v>0</v>
      </c>
      <c r="H660">
        <v>0</v>
      </c>
      <c r="I660">
        <v>0</v>
      </c>
      <c r="J660">
        <v>0</v>
      </c>
      <c r="K660">
        <v>663</v>
      </c>
      <c r="L66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0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0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0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0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0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680.04</v>
      </c>
      <c r="W660" s="5">
        <f>IF((DiscreteStatsTable[[#This Row],[RepsRequested]]&gt;1),DiscreteStatsTable[[#This Row],[HalfWidth]],DiscreteStatsTable[[#This Row],[BatchMeansHalfWidth]])</f>
        <v>0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4">
      <c r="A661" t="s">
        <v>67</v>
      </c>
      <c r="B661" t="s">
        <v>69</v>
      </c>
      <c r="C661">
        <v>44</v>
      </c>
      <c r="D661" t="s">
        <v>80</v>
      </c>
      <c r="E661" t="s">
        <v>83</v>
      </c>
      <c r="F661" t="s">
        <v>82</v>
      </c>
      <c r="G661">
        <v>119.058562639462</v>
      </c>
      <c r="H661">
        <v>3.0140898862944101</v>
      </c>
      <c r="I661">
        <v>68.240931639574697</v>
      </c>
      <c r="J661">
        <v>181.859562999876</v>
      </c>
      <c r="K661">
        <v>663</v>
      </c>
      <c r="L66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119.072877588487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1.1004315823637869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116.869916756062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121.279055923125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55.773522793583801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203.50100513585599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680.04</v>
      </c>
      <c r="W661" s="5">
        <f>IF((DiscreteStatsTable[[#This Row],[RepsRequested]]&gt;1),DiscreteStatsTable[[#This Row],[HalfWidth]],DiscreteStatsTable[[#This Row],[BatchMeansHalfWidth]])</f>
        <v>0.31273919539597844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4">
      <c r="A662" t="s">
        <v>67</v>
      </c>
      <c r="B662" t="s">
        <v>69</v>
      </c>
      <c r="C662">
        <v>44</v>
      </c>
      <c r="D662" t="s">
        <v>80</v>
      </c>
      <c r="E662" t="s">
        <v>84</v>
      </c>
      <c r="F662" t="s">
        <v>82</v>
      </c>
      <c r="G662">
        <v>251.29730585686599</v>
      </c>
      <c r="H662">
        <v>3E+20</v>
      </c>
      <c r="I662">
        <v>81.321904557396493</v>
      </c>
      <c r="J662">
        <v>466.98434187422902</v>
      </c>
      <c r="K662">
        <v>663</v>
      </c>
      <c r="L66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230.87278063103886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28.511985776754724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176.63374267103799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310.30313247646598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74.823945578616801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640.81970303432195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680.04</v>
      </c>
      <c r="W662" s="5">
        <f>IF((DiscreteStatsTable[[#This Row],[RepsRequested]]&gt;1),DiscreteStatsTable[[#This Row],[HalfWidth]],DiscreteStatsTable[[#This Row],[BatchMeansHalfWidth]])</f>
        <v>8.1030167016926651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4">
      <c r="A663" t="s">
        <v>67</v>
      </c>
      <c r="B663" t="s">
        <v>69</v>
      </c>
      <c r="C663">
        <v>44</v>
      </c>
      <c r="D663" t="s">
        <v>80</v>
      </c>
      <c r="E663" t="s">
        <v>85</v>
      </c>
      <c r="F663" t="s">
        <v>82</v>
      </c>
      <c r="G663">
        <v>19.636729103567099</v>
      </c>
      <c r="H663">
        <v>0.85753808619226002</v>
      </c>
      <c r="I663">
        <v>6.2071015790617103</v>
      </c>
      <c r="J663">
        <v>47.924301328650998</v>
      </c>
      <c r="K663">
        <v>663</v>
      </c>
      <c r="L66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19.788825490074792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19.1753932585017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20.6416816415399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6.0540217345149898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49.959821430489797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680.04</v>
      </c>
      <c r="W663" s="5">
        <f>IF((DiscreteStatsTable[[#This Row],[RepsRequested]]&gt;1),DiscreteStatsTable[[#This Row],[HalfWidth]],DiscreteStatsTable[[#This Row],[BatchMeansHalfWidth]])</f>
        <v>9.3664325535411846E-2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4">
      <c r="A664" t="s">
        <v>67</v>
      </c>
      <c r="B664" t="s">
        <v>69</v>
      </c>
      <c r="C664">
        <v>44</v>
      </c>
      <c r="D664" t="s">
        <v>80</v>
      </c>
      <c r="E664" t="s">
        <v>86</v>
      </c>
      <c r="F664" t="s">
        <v>82</v>
      </c>
      <c r="G664">
        <v>0</v>
      </c>
      <c r="H664">
        <v>0</v>
      </c>
      <c r="I664">
        <v>0</v>
      </c>
      <c r="J664">
        <v>0</v>
      </c>
      <c r="K664">
        <v>663</v>
      </c>
      <c r="L66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680.04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4">
      <c r="A665" t="s">
        <v>67</v>
      </c>
      <c r="B665" t="s">
        <v>69</v>
      </c>
      <c r="C665">
        <v>44</v>
      </c>
      <c r="D665" t="s">
        <v>80</v>
      </c>
      <c r="E665" t="s">
        <v>87</v>
      </c>
      <c r="F665" t="s">
        <v>82</v>
      </c>
      <c r="G665">
        <v>112.60201411383601</v>
      </c>
      <c r="H665">
        <v>3E+20</v>
      </c>
      <c r="I665">
        <v>0</v>
      </c>
      <c r="J665">
        <v>296.12425214962502</v>
      </c>
      <c r="K665">
        <v>663</v>
      </c>
      <c r="L66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92.011077552476877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28.394716781335426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37.235943946119903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170.78088451033599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458.06693976826199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680.04</v>
      </c>
      <c r="W665" s="5">
        <f>IF((DiscreteStatsTable[[#This Row],[RepsRequested]]&gt;1),DiscreteStatsTable[[#This Row],[HalfWidth]],DiscreteStatsTable[[#This Row],[BatchMeansHalfWidth]])</f>
        <v>8.0696892219473568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4">
      <c r="A666" t="s">
        <v>67</v>
      </c>
      <c r="B666" t="s">
        <v>69</v>
      </c>
      <c r="C666">
        <v>45</v>
      </c>
      <c r="D666" t="s">
        <v>80</v>
      </c>
      <c r="E666" t="s">
        <v>81</v>
      </c>
      <c r="F666" t="s">
        <v>82</v>
      </c>
      <c r="G666">
        <v>0</v>
      </c>
      <c r="H666">
        <v>0</v>
      </c>
      <c r="I666">
        <v>0</v>
      </c>
      <c r="J666">
        <v>0</v>
      </c>
      <c r="K666">
        <v>687</v>
      </c>
      <c r="L66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0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0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0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0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0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0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680.04</v>
      </c>
      <c r="W666" s="5">
        <f>IF((DiscreteStatsTable[[#This Row],[RepsRequested]]&gt;1),DiscreteStatsTable[[#This Row],[HalfWidth]],DiscreteStatsTable[[#This Row],[BatchMeansHalfWidth]])</f>
        <v>0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4">
      <c r="A667" t="s">
        <v>67</v>
      </c>
      <c r="B667" t="s">
        <v>69</v>
      </c>
      <c r="C667">
        <v>45</v>
      </c>
      <c r="D667" t="s">
        <v>80</v>
      </c>
      <c r="E667" t="s">
        <v>83</v>
      </c>
      <c r="F667" t="s">
        <v>82</v>
      </c>
      <c r="G667">
        <v>117.709250161611</v>
      </c>
      <c r="H667">
        <v>2.1550379385045701</v>
      </c>
      <c r="I667">
        <v>70.527141965354303</v>
      </c>
      <c r="J667">
        <v>179.021131815709</v>
      </c>
      <c r="K667">
        <v>687</v>
      </c>
      <c r="L66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119.072877588487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1.1004315823637869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116.869916756062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121.279055923125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55.773522793583801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203.50100513585599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680.04</v>
      </c>
      <c r="W667" s="5">
        <f>IF((DiscreteStatsTable[[#This Row],[RepsRequested]]&gt;1),DiscreteStatsTable[[#This Row],[HalfWidth]],DiscreteStatsTable[[#This Row],[BatchMeansHalfWidth]])</f>
        <v>0.31273919539597844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4">
      <c r="A668" t="s">
        <v>67</v>
      </c>
      <c r="B668" t="s">
        <v>69</v>
      </c>
      <c r="C668">
        <v>45</v>
      </c>
      <c r="D668" t="s">
        <v>80</v>
      </c>
      <c r="E668" t="s">
        <v>84</v>
      </c>
      <c r="F668" t="s">
        <v>82</v>
      </c>
      <c r="G668">
        <v>249.10031210110299</v>
      </c>
      <c r="H668">
        <v>3E+20</v>
      </c>
      <c r="I668">
        <v>81.087900806862507</v>
      </c>
      <c r="J668">
        <v>454.39144542031801</v>
      </c>
      <c r="K668">
        <v>687</v>
      </c>
      <c r="L66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230.87278063103886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28.511985776754724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176.63374267103799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310.30313247646598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74.823945578616801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640.81970303432195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680.04</v>
      </c>
      <c r="W668" s="5">
        <f>IF((DiscreteStatsTable[[#This Row],[RepsRequested]]&gt;1),DiscreteStatsTable[[#This Row],[HalfWidth]],DiscreteStatsTable[[#This Row],[BatchMeansHalfWidth]])</f>
        <v>8.1030167016926651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4">
      <c r="A669" t="s">
        <v>67</v>
      </c>
      <c r="B669" t="s">
        <v>69</v>
      </c>
      <c r="C669">
        <v>45</v>
      </c>
      <c r="D669" t="s">
        <v>80</v>
      </c>
      <c r="E669" t="s">
        <v>85</v>
      </c>
      <c r="F669" t="s">
        <v>82</v>
      </c>
      <c r="G669">
        <v>19.312628049005699</v>
      </c>
      <c r="H669">
        <v>0.60808943558515904</v>
      </c>
      <c r="I669">
        <v>6.22547746479637</v>
      </c>
      <c r="J669">
        <v>46.563098953932197</v>
      </c>
      <c r="K669">
        <v>687</v>
      </c>
      <c r="L66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19.788825490074792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19.1753932585017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20.6416816415399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6.0540217345149898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49.959821430489797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680.04</v>
      </c>
      <c r="W669" s="5">
        <f>IF((DiscreteStatsTable[[#This Row],[RepsRequested]]&gt;1),DiscreteStatsTable[[#This Row],[HalfWidth]],DiscreteStatsTable[[#This Row],[BatchMeansHalfWidth]])</f>
        <v>9.3664325535411846E-2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4">
      <c r="A670" t="s">
        <v>67</v>
      </c>
      <c r="B670" t="s">
        <v>69</v>
      </c>
      <c r="C670">
        <v>45</v>
      </c>
      <c r="D670" t="s">
        <v>80</v>
      </c>
      <c r="E670" t="s">
        <v>86</v>
      </c>
      <c r="F670" t="s">
        <v>82</v>
      </c>
      <c r="G670">
        <v>0</v>
      </c>
      <c r="H670">
        <v>0</v>
      </c>
      <c r="I670">
        <v>0</v>
      </c>
      <c r="J670">
        <v>0</v>
      </c>
      <c r="K670">
        <v>687</v>
      </c>
      <c r="L67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680.04</v>
      </c>
      <c r="W670" s="5">
        <f>IF((DiscreteStatsTable[[#This Row],[RepsRequested]]&gt;1),DiscreteStatsTable[[#This Row],[HalfWidth]],DiscreteStatsTable[[#This Row],[BatchMeansHalfWidth]])</f>
        <v>0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4">
      <c r="A671" t="s">
        <v>67</v>
      </c>
      <c r="B671" t="s">
        <v>69</v>
      </c>
      <c r="C671">
        <v>45</v>
      </c>
      <c r="D671" t="s">
        <v>80</v>
      </c>
      <c r="E671" t="s">
        <v>87</v>
      </c>
      <c r="F671" t="s">
        <v>82</v>
      </c>
      <c r="G671">
        <v>112.078433890486</v>
      </c>
      <c r="H671">
        <v>3E+20</v>
      </c>
      <c r="I671">
        <v>0</v>
      </c>
      <c r="J671">
        <v>275.85579944076397</v>
      </c>
      <c r="K671">
        <v>687</v>
      </c>
      <c r="L67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92.011077552476877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28.394716781335426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37.235943946119903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170.78088451033599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458.06693976826199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680.04</v>
      </c>
      <c r="W671" s="5">
        <f>IF((DiscreteStatsTable[[#This Row],[RepsRequested]]&gt;1),DiscreteStatsTable[[#This Row],[HalfWidth]],DiscreteStatsTable[[#This Row],[BatchMeansHalfWidth]])</f>
        <v>8.0696892219473568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4">
      <c r="A672" t="s">
        <v>67</v>
      </c>
      <c r="B672" t="s">
        <v>69</v>
      </c>
      <c r="C672">
        <v>46</v>
      </c>
      <c r="D672" t="s">
        <v>80</v>
      </c>
      <c r="E672" t="s">
        <v>81</v>
      </c>
      <c r="F672" t="s">
        <v>82</v>
      </c>
      <c r="G672">
        <v>0</v>
      </c>
      <c r="H672">
        <v>0</v>
      </c>
      <c r="I672">
        <v>0</v>
      </c>
      <c r="J672">
        <v>0</v>
      </c>
      <c r="K672">
        <v>729</v>
      </c>
      <c r="L672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0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0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0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0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0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0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680.04</v>
      </c>
      <c r="W672" s="5">
        <f>IF((DiscreteStatsTable[[#This Row],[RepsRequested]]&gt;1),DiscreteStatsTable[[#This Row],[HalfWidth]],DiscreteStatsTable[[#This Row],[BatchMeansHalfWidth]])</f>
        <v>0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4">
      <c r="A673" t="s">
        <v>67</v>
      </c>
      <c r="B673" t="s">
        <v>69</v>
      </c>
      <c r="C673">
        <v>46</v>
      </c>
      <c r="D673" t="s">
        <v>80</v>
      </c>
      <c r="E673" t="s">
        <v>83</v>
      </c>
      <c r="F673" t="s">
        <v>82</v>
      </c>
      <c r="G673">
        <v>118.374330818315</v>
      </c>
      <c r="H673">
        <v>2.27261553561855</v>
      </c>
      <c r="I673">
        <v>69.742351720392804</v>
      </c>
      <c r="J673">
        <v>190.466757715966</v>
      </c>
      <c r="K673">
        <v>729</v>
      </c>
      <c r="L673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119.072877588487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1.1004315823637869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116.869916756062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121.279055923125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55.773522793583801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203.50100513585599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680.04</v>
      </c>
      <c r="W673" s="5">
        <f>IF((DiscreteStatsTable[[#This Row],[RepsRequested]]&gt;1),DiscreteStatsTable[[#This Row],[HalfWidth]],DiscreteStatsTable[[#This Row],[BatchMeansHalfWidth]])</f>
        <v>0.31273919539597844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4">
      <c r="A674" t="s">
        <v>67</v>
      </c>
      <c r="B674" t="s">
        <v>69</v>
      </c>
      <c r="C674">
        <v>46</v>
      </c>
      <c r="D674" t="s">
        <v>80</v>
      </c>
      <c r="E674" t="s">
        <v>84</v>
      </c>
      <c r="F674" t="s">
        <v>82</v>
      </c>
      <c r="G674">
        <v>231.35757337218601</v>
      </c>
      <c r="H674">
        <v>3E+20</v>
      </c>
      <c r="I674">
        <v>83.201136105451994</v>
      </c>
      <c r="J674">
        <v>437.23784152963998</v>
      </c>
      <c r="K674">
        <v>729</v>
      </c>
      <c r="L674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230.87278063103886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28.511985776754724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176.63374267103799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310.30313247646598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74.823945578616801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640.81970303432195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680.04</v>
      </c>
      <c r="W674" s="5">
        <f>IF((DiscreteStatsTable[[#This Row],[RepsRequested]]&gt;1),DiscreteStatsTable[[#This Row],[HalfWidth]],DiscreteStatsTable[[#This Row],[BatchMeansHalfWidth]])</f>
        <v>8.1030167016926651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4">
      <c r="A675" t="s">
        <v>67</v>
      </c>
      <c r="B675" t="s">
        <v>69</v>
      </c>
      <c r="C675">
        <v>46</v>
      </c>
      <c r="D675" t="s">
        <v>80</v>
      </c>
      <c r="E675" t="s">
        <v>85</v>
      </c>
      <c r="F675" t="s">
        <v>82</v>
      </c>
      <c r="G675">
        <v>19.436559292066701</v>
      </c>
      <c r="H675">
        <v>0.66204056802281497</v>
      </c>
      <c r="I675">
        <v>6.3053238894841597</v>
      </c>
      <c r="J675">
        <v>48.516884875862601</v>
      </c>
      <c r="K675">
        <v>729</v>
      </c>
      <c r="L675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19.788825490074792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19.1753932585017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20.6416816415399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6.0540217345149898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49.959821430489797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680.04</v>
      </c>
      <c r="W675" s="5">
        <f>IF((DiscreteStatsTable[[#This Row],[RepsRequested]]&gt;1),DiscreteStatsTable[[#This Row],[HalfWidth]],DiscreteStatsTable[[#This Row],[BatchMeansHalfWidth]])</f>
        <v>9.3664325535411846E-2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4">
      <c r="A676" t="s">
        <v>67</v>
      </c>
      <c r="B676" t="s">
        <v>69</v>
      </c>
      <c r="C676">
        <v>46</v>
      </c>
      <c r="D676" t="s">
        <v>80</v>
      </c>
      <c r="E676" t="s">
        <v>86</v>
      </c>
      <c r="F676" t="s">
        <v>82</v>
      </c>
      <c r="G676">
        <v>0</v>
      </c>
      <c r="H676">
        <v>0</v>
      </c>
      <c r="I676">
        <v>0</v>
      </c>
      <c r="J676">
        <v>0</v>
      </c>
      <c r="K676">
        <v>729</v>
      </c>
      <c r="L676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680.04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4">
      <c r="A677" t="s">
        <v>67</v>
      </c>
      <c r="B677" t="s">
        <v>69</v>
      </c>
      <c r="C677">
        <v>46</v>
      </c>
      <c r="D677" t="s">
        <v>80</v>
      </c>
      <c r="E677" t="s">
        <v>87</v>
      </c>
      <c r="F677" t="s">
        <v>82</v>
      </c>
      <c r="G677">
        <v>93.546683261804205</v>
      </c>
      <c r="H677">
        <v>3E+20</v>
      </c>
      <c r="I677">
        <v>0</v>
      </c>
      <c r="J677">
        <v>245.235414137513</v>
      </c>
      <c r="K677">
        <v>729</v>
      </c>
      <c r="L677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92.011077552476877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28.394716781335426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37.235943946119903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170.78088451033599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458.06693976826199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680.04</v>
      </c>
      <c r="W677" s="5">
        <f>IF((DiscreteStatsTable[[#This Row],[RepsRequested]]&gt;1),DiscreteStatsTable[[#This Row],[HalfWidth]],DiscreteStatsTable[[#This Row],[BatchMeansHalfWidth]])</f>
        <v>8.0696892219473568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4">
      <c r="A678" t="s">
        <v>67</v>
      </c>
      <c r="B678" t="s">
        <v>69</v>
      </c>
      <c r="C678">
        <v>47</v>
      </c>
      <c r="D678" t="s">
        <v>80</v>
      </c>
      <c r="E678" t="s">
        <v>81</v>
      </c>
      <c r="F678" t="s">
        <v>82</v>
      </c>
      <c r="G678">
        <v>0</v>
      </c>
      <c r="H678">
        <v>0</v>
      </c>
      <c r="I678">
        <v>0</v>
      </c>
      <c r="J678">
        <v>0</v>
      </c>
      <c r="K678">
        <v>698</v>
      </c>
      <c r="L678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0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0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0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0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0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0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680.04</v>
      </c>
      <c r="W678" s="5">
        <f>IF((DiscreteStatsTable[[#This Row],[RepsRequested]]&gt;1),DiscreteStatsTable[[#This Row],[HalfWidth]],DiscreteStatsTable[[#This Row],[BatchMeansHalfWidth]])</f>
        <v>0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4">
      <c r="A679" t="s">
        <v>67</v>
      </c>
      <c r="B679" t="s">
        <v>69</v>
      </c>
      <c r="C679">
        <v>47</v>
      </c>
      <c r="D679" t="s">
        <v>80</v>
      </c>
      <c r="E679" t="s">
        <v>83</v>
      </c>
      <c r="F679" t="s">
        <v>82</v>
      </c>
      <c r="G679">
        <v>117.606284041718</v>
      </c>
      <c r="H679">
        <v>3.1509128678307401</v>
      </c>
      <c r="I679">
        <v>69.092141519117803</v>
      </c>
      <c r="J679">
        <v>178.03272586621199</v>
      </c>
      <c r="K679">
        <v>698</v>
      </c>
      <c r="L679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119.072877588487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1.1004315823637869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116.869916756062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121.279055923125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55.773522793583801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203.50100513585599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680.04</v>
      </c>
      <c r="W679" s="5">
        <f>IF((DiscreteStatsTable[[#This Row],[RepsRequested]]&gt;1),DiscreteStatsTable[[#This Row],[HalfWidth]],DiscreteStatsTable[[#This Row],[BatchMeansHalfWidth]])</f>
        <v>0.31273919539597844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4">
      <c r="A680" t="s">
        <v>67</v>
      </c>
      <c r="B680" t="s">
        <v>69</v>
      </c>
      <c r="C680">
        <v>47</v>
      </c>
      <c r="D680" t="s">
        <v>80</v>
      </c>
      <c r="E680" t="s">
        <v>84</v>
      </c>
      <c r="F680" t="s">
        <v>82</v>
      </c>
      <c r="G680">
        <v>224.15281904740201</v>
      </c>
      <c r="H680">
        <v>3E+20</v>
      </c>
      <c r="I680">
        <v>83.998685503781999</v>
      </c>
      <c r="J680">
        <v>420.68116927896</v>
      </c>
      <c r="K680">
        <v>698</v>
      </c>
      <c r="L680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230.87278063103886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28.511985776754724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176.63374267103799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310.30313247646598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74.823945578616801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640.81970303432195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680.04</v>
      </c>
      <c r="W680" s="5">
        <f>IF((DiscreteStatsTable[[#This Row],[RepsRequested]]&gt;1),DiscreteStatsTable[[#This Row],[HalfWidth]],DiscreteStatsTable[[#This Row],[BatchMeansHalfWidth]])</f>
        <v>8.1030167016926651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4">
      <c r="A681" t="s">
        <v>67</v>
      </c>
      <c r="B681" t="s">
        <v>69</v>
      </c>
      <c r="C681">
        <v>47</v>
      </c>
      <c r="D681" t="s">
        <v>80</v>
      </c>
      <c r="E681" t="s">
        <v>85</v>
      </c>
      <c r="F681" t="s">
        <v>82</v>
      </c>
      <c r="G681">
        <v>19.633763789543998</v>
      </c>
      <c r="H681">
        <v>0.85246978157584397</v>
      </c>
      <c r="I681">
        <v>6.4777494001939404</v>
      </c>
      <c r="J681">
        <v>44.718897745106503</v>
      </c>
      <c r="K681">
        <v>698</v>
      </c>
      <c r="L681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19.788825490074792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19.1753932585017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20.6416816415399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6.0540217345149898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49.959821430489797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680.04</v>
      </c>
      <c r="W681" s="5">
        <f>IF((DiscreteStatsTable[[#This Row],[RepsRequested]]&gt;1),DiscreteStatsTable[[#This Row],[HalfWidth]],DiscreteStatsTable[[#This Row],[BatchMeansHalfWidth]])</f>
        <v>9.3664325535411846E-2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4">
      <c r="A682" t="s">
        <v>67</v>
      </c>
      <c r="B682" t="s">
        <v>69</v>
      </c>
      <c r="C682">
        <v>47</v>
      </c>
      <c r="D682" t="s">
        <v>80</v>
      </c>
      <c r="E682" t="s">
        <v>86</v>
      </c>
      <c r="F682" t="s">
        <v>82</v>
      </c>
      <c r="G682">
        <v>0</v>
      </c>
      <c r="H682">
        <v>0</v>
      </c>
      <c r="I682">
        <v>0</v>
      </c>
      <c r="J682">
        <v>0</v>
      </c>
      <c r="K682">
        <v>698</v>
      </c>
      <c r="L682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680.04</v>
      </c>
      <c r="W682" s="5">
        <f>IF((DiscreteStatsTable[[#This Row],[RepsRequested]]&gt;1),DiscreteStatsTable[[#This Row],[HalfWidth]],DiscreteStatsTable[[#This Row],[BatchMeansHalfWidth]])</f>
        <v>0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4">
      <c r="A683" t="s">
        <v>67</v>
      </c>
      <c r="B683" t="s">
        <v>69</v>
      </c>
      <c r="C683">
        <v>47</v>
      </c>
      <c r="D683" t="s">
        <v>80</v>
      </c>
      <c r="E683" t="s">
        <v>87</v>
      </c>
      <c r="F683" t="s">
        <v>82</v>
      </c>
      <c r="G683">
        <v>86.912771216139802</v>
      </c>
      <c r="H683">
        <v>3E+20</v>
      </c>
      <c r="I683">
        <v>0</v>
      </c>
      <c r="J683">
        <v>239.131271494001</v>
      </c>
      <c r="K683">
        <v>698</v>
      </c>
      <c r="L683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92.011077552476877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28.394716781335426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37.235943946119903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170.78088451033599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458.06693976826199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680.04</v>
      </c>
      <c r="W683" s="5">
        <f>IF((DiscreteStatsTable[[#This Row],[RepsRequested]]&gt;1),DiscreteStatsTable[[#This Row],[HalfWidth]],DiscreteStatsTable[[#This Row],[BatchMeansHalfWidth]])</f>
        <v>8.0696892219473568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4">
      <c r="A684" t="s">
        <v>67</v>
      </c>
      <c r="B684" t="s">
        <v>69</v>
      </c>
      <c r="C684">
        <v>48</v>
      </c>
      <c r="D684" t="s">
        <v>80</v>
      </c>
      <c r="E684" t="s">
        <v>81</v>
      </c>
      <c r="F684" t="s">
        <v>82</v>
      </c>
      <c r="G684">
        <v>0</v>
      </c>
      <c r="H684">
        <v>0</v>
      </c>
      <c r="I684">
        <v>0</v>
      </c>
      <c r="J684">
        <v>0</v>
      </c>
      <c r="K684">
        <v>643</v>
      </c>
      <c r="L684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0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0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0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0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0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0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680.04</v>
      </c>
      <c r="W684" s="5">
        <f>IF((DiscreteStatsTable[[#This Row],[RepsRequested]]&gt;1),DiscreteStatsTable[[#This Row],[HalfWidth]],DiscreteStatsTable[[#This Row],[BatchMeansHalfWidth]])</f>
        <v>0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4">
      <c r="A685" t="s">
        <v>67</v>
      </c>
      <c r="B685" t="s">
        <v>69</v>
      </c>
      <c r="C685">
        <v>48</v>
      </c>
      <c r="D685" t="s">
        <v>80</v>
      </c>
      <c r="E685" t="s">
        <v>83</v>
      </c>
      <c r="F685" t="s">
        <v>82</v>
      </c>
      <c r="G685">
        <v>119.05432272887001</v>
      </c>
      <c r="H685">
        <v>2.88947941468109</v>
      </c>
      <c r="I685">
        <v>68.977762077258106</v>
      </c>
      <c r="J685">
        <v>182.02586768731601</v>
      </c>
      <c r="K685">
        <v>643</v>
      </c>
      <c r="L685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119.072877588487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1.1004315823637869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116.869916756062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121.279055923125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55.773522793583801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203.50100513585599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680.04</v>
      </c>
      <c r="W685" s="5">
        <f>IF((DiscreteStatsTable[[#This Row],[RepsRequested]]&gt;1),DiscreteStatsTable[[#This Row],[HalfWidth]],DiscreteStatsTable[[#This Row],[BatchMeansHalfWidth]])</f>
        <v>0.31273919539597844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4">
      <c r="A686" t="s">
        <v>67</v>
      </c>
      <c r="B686" t="s">
        <v>69</v>
      </c>
      <c r="C686">
        <v>48</v>
      </c>
      <c r="D686" t="s">
        <v>80</v>
      </c>
      <c r="E686" t="s">
        <v>84</v>
      </c>
      <c r="F686" t="s">
        <v>82</v>
      </c>
      <c r="G686">
        <v>237.149841193849</v>
      </c>
      <c r="H686">
        <v>3E+20</v>
      </c>
      <c r="I686">
        <v>86.086905450153196</v>
      </c>
      <c r="J686">
        <v>428.95831268985199</v>
      </c>
      <c r="K686">
        <v>643</v>
      </c>
      <c r="L686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230.87278063103886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28.511985776754724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176.63374267103799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310.30313247646598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74.823945578616801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640.81970303432195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680.04</v>
      </c>
      <c r="W686" s="5">
        <f>IF((DiscreteStatsTable[[#This Row],[RepsRequested]]&gt;1),DiscreteStatsTable[[#This Row],[HalfWidth]],DiscreteStatsTable[[#This Row],[BatchMeansHalfWidth]])</f>
        <v>8.1030167016926651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4">
      <c r="A687" t="s">
        <v>67</v>
      </c>
      <c r="B687" t="s">
        <v>69</v>
      </c>
      <c r="C687">
        <v>48</v>
      </c>
      <c r="D687" t="s">
        <v>80</v>
      </c>
      <c r="E687" t="s">
        <v>85</v>
      </c>
      <c r="F687" t="s">
        <v>82</v>
      </c>
      <c r="G687">
        <v>19.746350828800001</v>
      </c>
      <c r="H687">
        <v>3E+20</v>
      </c>
      <c r="I687">
        <v>6.5394603865586296</v>
      </c>
      <c r="J687">
        <v>46.446143849393401</v>
      </c>
      <c r="K687">
        <v>643</v>
      </c>
      <c r="L687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19.788825490074792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19.1753932585017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20.6416816415399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6.0540217345149898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49.959821430489797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680.04</v>
      </c>
      <c r="W687" s="5">
        <f>IF((DiscreteStatsTable[[#This Row],[RepsRequested]]&gt;1),DiscreteStatsTable[[#This Row],[HalfWidth]],DiscreteStatsTable[[#This Row],[BatchMeansHalfWidth]])</f>
        <v>9.3664325535411846E-2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4">
      <c r="A688" t="s">
        <v>67</v>
      </c>
      <c r="B688" t="s">
        <v>69</v>
      </c>
      <c r="C688">
        <v>48</v>
      </c>
      <c r="D688" t="s">
        <v>80</v>
      </c>
      <c r="E688" t="s">
        <v>86</v>
      </c>
      <c r="F688" t="s">
        <v>82</v>
      </c>
      <c r="G688">
        <v>0</v>
      </c>
      <c r="H688">
        <v>0</v>
      </c>
      <c r="I688">
        <v>0</v>
      </c>
      <c r="J688">
        <v>0</v>
      </c>
      <c r="K688">
        <v>643</v>
      </c>
      <c r="L688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680.04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4">
      <c r="A689" t="s">
        <v>67</v>
      </c>
      <c r="B689" t="s">
        <v>69</v>
      </c>
      <c r="C689">
        <v>48</v>
      </c>
      <c r="D689" t="s">
        <v>80</v>
      </c>
      <c r="E689" t="s">
        <v>87</v>
      </c>
      <c r="F689" t="s">
        <v>82</v>
      </c>
      <c r="G689">
        <v>98.349167636179899</v>
      </c>
      <c r="H689">
        <v>3E+20</v>
      </c>
      <c r="I689">
        <v>0</v>
      </c>
      <c r="J689">
        <v>243.78465366028101</v>
      </c>
      <c r="K689">
        <v>643</v>
      </c>
      <c r="L689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92.011077552476877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28.394716781335426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37.235943946119903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170.78088451033599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458.06693976826199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680.04</v>
      </c>
      <c r="W689" s="5">
        <f>IF((DiscreteStatsTable[[#This Row],[RepsRequested]]&gt;1),DiscreteStatsTable[[#This Row],[HalfWidth]],DiscreteStatsTable[[#This Row],[BatchMeansHalfWidth]])</f>
        <v>8.0696892219473568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4">
      <c r="A690" t="s">
        <v>67</v>
      </c>
      <c r="B690" t="s">
        <v>69</v>
      </c>
      <c r="C690">
        <v>49</v>
      </c>
      <c r="D690" t="s">
        <v>80</v>
      </c>
      <c r="E690" t="s">
        <v>81</v>
      </c>
      <c r="F690" t="s">
        <v>82</v>
      </c>
      <c r="G690">
        <v>0</v>
      </c>
      <c r="H690">
        <v>0</v>
      </c>
      <c r="I690">
        <v>0</v>
      </c>
      <c r="J690">
        <v>0</v>
      </c>
      <c r="K690">
        <v>666</v>
      </c>
      <c r="L690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0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0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0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0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0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0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680.04</v>
      </c>
      <c r="W690" s="5">
        <f>IF((DiscreteStatsTable[[#This Row],[RepsRequested]]&gt;1),DiscreteStatsTable[[#This Row],[HalfWidth]],DiscreteStatsTable[[#This Row],[BatchMeansHalfWidth]])</f>
        <v>0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4">
      <c r="A691" t="s">
        <v>67</v>
      </c>
      <c r="B691" t="s">
        <v>69</v>
      </c>
      <c r="C691">
        <v>49</v>
      </c>
      <c r="D691" t="s">
        <v>80</v>
      </c>
      <c r="E691" t="s">
        <v>83</v>
      </c>
      <c r="F691" t="s">
        <v>82</v>
      </c>
      <c r="G691">
        <v>119.43524077391</v>
      </c>
      <c r="H691">
        <v>2.6235422834073101</v>
      </c>
      <c r="I691">
        <v>70.483356900975394</v>
      </c>
      <c r="J691">
        <v>203.50100513585599</v>
      </c>
      <c r="K691">
        <v>666</v>
      </c>
      <c r="L691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119.072877588487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1.1004315823637869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116.869916756062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121.279055923125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55.773522793583801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203.50100513585599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680.04</v>
      </c>
      <c r="W691" s="5">
        <f>IF((DiscreteStatsTable[[#This Row],[RepsRequested]]&gt;1),DiscreteStatsTable[[#This Row],[HalfWidth]],DiscreteStatsTable[[#This Row],[BatchMeansHalfWidth]])</f>
        <v>0.31273919539597844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4">
      <c r="A692" t="s">
        <v>67</v>
      </c>
      <c r="B692" t="s">
        <v>69</v>
      </c>
      <c r="C692">
        <v>49</v>
      </c>
      <c r="D692" t="s">
        <v>80</v>
      </c>
      <c r="E692" t="s">
        <v>84</v>
      </c>
      <c r="F692" t="s">
        <v>82</v>
      </c>
      <c r="G692">
        <v>227.50517222206301</v>
      </c>
      <c r="H692">
        <v>3E+20</v>
      </c>
      <c r="I692">
        <v>83.693584716579096</v>
      </c>
      <c r="J692">
        <v>471.77651636244099</v>
      </c>
      <c r="K692">
        <v>666</v>
      </c>
      <c r="L692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230.87278063103886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28.511985776754724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176.63374267103799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310.30313247646598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74.823945578616801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640.81970303432195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680.04</v>
      </c>
      <c r="W692" s="5">
        <f>IF((DiscreteStatsTable[[#This Row],[RepsRequested]]&gt;1),DiscreteStatsTable[[#This Row],[HalfWidth]],DiscreteStatsTable[[#This Row],[BatchMeansHalfWidth]])</f>
        <v>8.1030167016926651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4">
      <c r="A693" t="s">
        <v>67</v>
      </c>
      <c r="B693" t="s">
        <v>69</v>
      </c>
      <c r="C693">
        <v>49</v>
      </c>
      <c r="D693" t="s">
        <v>80</v>
      </c>
      <c r="E693" t="s">
        <v>85</v>
      </c>
      <c r="F693" t="s">
        <v>82</v>
      </c>
      <c r="G693">
        <v>20.148050798596302</v>
      </c>
      <c r="H693">
        <v>0.712499386757519</v>
      </c>
      <c r="I693">
        <v>6.3202368540256701</v>
      </c>
      <c r="J693">
        <v>49.739298736841498</v>
      </c>
      <c r="K693">
        <v>666</v>
      </c>
      <c r="L693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19.788825490074792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19.1753932585017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20.6416816415399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6.0540217345149898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49.959821430489797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680.04</v>
      </c>
      <c r="W693" s="5">
        <f>IF((DiscreteStatsTable[[#This Row],[RepsRequested]]&gt;1),DiscreteStatsTable[[#This Row],[HalfWidth]],DiscreteStatsTable[[#This Row],[BatchMeansHalfWidth]])</f>
        <v>9.3664325535411846E-2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4">
      <c r="A694" t="s">
        <v>67</v>
      </c>
      <c r="B694" t="s">
        <v>69</v>
      </c>
      <c r="C694">
        <v>49</v>
      </c>
      <c r="D694" t="s">
        <v>80</v>
      </c>
      <c r="E694" t="s">
        <v>86</v>
      </c>
      <c r="F694" t="s">
        <v>82</v>
      </c>
      <c r="G694">
        <v>0</v>
      </c>
      <c r="H694">
        <v>0</v>
      </c>
      <c r="I694">
        <v>0</v>
      </c>
      <c r="J694">
        <v>0</v>
      </c>
      <c r="K694">
        <v>666</v>
      </c>
      <c r="L694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680.04</v>
      </c>
      <c r="W694" s="5">
        <f>IF((DiscreteStatsTable[[#This Row],[RepsRequested]]&gt;1),DiscreteStatsTable[[#This Row],[HalfWidth]],DiscreteStatsTable[[#This Row],[BatchMeansHalfWidth]])</f>
        <v>0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4">
      <c r="A695" t="s">
        <v>67</v>
      </c>
      <c r="B695" t="s">
        <v>69</v>
      </c>
      <c r="C695">
        <v>49</v>
      </c>
      <c r="D695" t="s">
        <v>80</v>
      </c>
      <c r="E695" t="s">
        <v>87</v>
      </c>
      <c r="F695" t="s">
        <v>82</v>
      </c>
      <c r="G695">
        <v>87.921880649555902</v>
      </c>
      <c r="H695">
        <v>3E+20</v>
      </c>
      <c r="I695">
        <v>0</v>
      </c>
      <c r="J695">
        <v>285.487385792444</v>
      </c>
      <c r="K695">
        <v>666</v>
      </c>
      <c r="L695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92.011077552476877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28.394716781335426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37.235943946119903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170.78088451033599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458.06693976826199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680.04</v>
      </c>
      <c r="W695" s="5">
        <f>IF((DiscreteStatsTable[[#This Row],[RepsRequested]]&gt;1),DiscreteStatsTable[[#This Row],[HalfWidth]],DiscreteStatsTable[[#This Row],[BatchMeansHalfWidth]])</f>
        <v>8.0696892219473568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4">
      <c r="A696" t="s">
        <v>67</v>
      </c>
      <c r="B696" t="s">
        <v>69</v>
      </c>
      <c r="C696">
        <v>50</v>
      </c>
      <c r="D696" t="s">
        <v>80</v>
      </c>
      <c r="E696" t="s">
        <v>81</v>
      </c>
      <c r="F696" t="s">
        <v>82</v>
      </c>
      <c r="G696">
        <v>0</v>
      </c>
      <c r="H696">
        <v>0</v>
      </c>
      <c r="I696">
        <v>0</v>
      </c>
      <c r="J696">
        <v>0</v>
      </c>
      <c r="K696">
        <v>725</v>
      </c>
      <c r="L696" s="5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0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0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0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0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0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0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680.04</v>
      </c>
      <c r="W696" s="5">
        <f>IF((DiscreteStatsTable[[#This Row],[RepsRequested]]&gt;1),DiscreteStatsTable[[#This Row],[HalfWidth]],DiscreteStatsTable[[#This Row],[BatchMeansHalfWidth]])</f>
        <v>0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4">
      <c r="A697" t="s">
        <v>67</v>
      </c>
      <c r="B697" t="s">
        <v>69</v>
      </c>
      <c r="C697">
        <v>50</v>
      </c>
      <c r="D697" t="s">
        <v>80</v>
      </c>
      <c r="E697" t="s">
        <v>83</v>
      </c>
      <c r="F697" t="s">
        <v>82</v>
      </c>
      <c r="G697">
        <v>119.07618919658699</v>
      </c>
      <c r="H697">
        <v>2.31736846174925</v>
      </c>
      <c r="I697">
        <v>62.517408627981702</v>
      </c>
      <c r="J697">
        <v>175.48807257158899</v>
      </c>
      <c r="K697">
        <v>725</v>
      </c>
      <c r="L697" s="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119.072877588487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1.1004315823637869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0.31273919539597844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116.869916756062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121.279055923125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55.773522793583801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203.50100513585599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680.04</v>
      </c>
      <c r="W697" s="5">
        <f>IF((DiscreteStatsTable[[#This Row],[RepsRequested]]&gt;1),DiscreteStatsTable[[#This Row],[HalfWidth]],DiscreteStatsTable[[#This Row],[BatchMeansHalfWidth]])</f>
        <v>0.31273919539597844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4">
      <c r="A698" t="s">
        <v>67</v>
      </c>
      <c r="B698" t="s">
        <v>69</v>
      </c>
      <c r="C698">
        <v>50</v>
      </c>
      <c r="D698" t="s">
        <v>80</v>
      </c>
      <c r="E698" t="s">
        <v>84</v>
      </c>
      <c r="F698" t="s">
        <v>82</v>
      </c>
      <c r="G698">
        <v>219.44552162986099</v>
      </c>
      <c r="H698">
        <v>3E+20</v>
      </c>
      <c r="I698">
        <v>81.181835993462101</v>
      </c>
      <c r="J698">
        <v>398.98335890324302</v>
      </c>
      <c r="K698">
        <v>725</v>
      </c>
      <c r="L698" s="5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230.87278063103886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28.511985776754724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8.1030167016926651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176.63374267103799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310.30313247646598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74.823945578616801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640.81970303432195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680.04</v>
      </c>
      <c r="W698" s="5">
        <f>IF((DiscreteStatsTable[[#This Row],[RepsRequested]]&gt;1),DiscreteStatsTable[[#This Row],[HalfWidth]],DiscreteStatsTable[[#This Row],[BatchMeansHalfWidth]])</f>
        <v>8.1030167016926651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4">
      <c r="A699" t="s">
        <v>67</v>
      </c>
      <c r="B699" t="s">
        <v>69</v>
      </c>
      <c r="C699">
        <v>50</v>
      </c>
      <c r="D699" t="s">
        <v>80</v>
      </c>
      <c r="E699" t="s">
        <v>85</v>
      </c>
      <c r="F699" t="s">
        <v>82</v>
      </c>
      <c r="G699">
        <v>19.8118190315307</v>
      </c>
      <c r="H699">
        <v>0.68791386189723103</v>
      </c>
      <c r="I699">
        <v>6.1511951941057497</v>
      </c>
      <c r="J699">
        <v>44.338164028177502</v>
      </c>
      <c r="K699">
        <v>725</v>
      </c>
      <c r="L699" s="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19.788825490074792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0.32957551684388431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9.3664325535411846E-2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19.1753932585017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20.6416816415399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6.0540217345149898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49.959821430489797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680.04</v>
      </c>
      <c r="W699" s="5">
        <f>IF((DiscreteStatsTable[[#This Row],[RepsRequested]]&gt;1),DiscreteStatsTable[[#This Row],[HalfWidth]],DiscreteStatsTable[[#This Row],[BatchMeansHalfWidth]])</f>
        <v>9.3664325535411846E-2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4">
      <c r="A700" t="s">
        <v>67</v>
      </c>
      <c r="B700" t="s">
        <v>69</v>
      </c>
      <c r="C700">
        <v>50</v>
      </c>
      <c r="D700" t="s">
        <v>80</v>
      </c>
      <c r="E700" t="s">
        <v>86</v>
      </c>
      <c r="F700" t="s">
        <v>82</v>
      </c>
      <c r="G700">
        <v>0</v>
      </c>
      <c r="H700">
        <v>0</v>
      </c>
      <c r="I700">
        <v>0</v>
      </c>
      <c r="J700">
        <v>0</v>
      </c>
      <c r="K700">
        <v>725</v>
      </c>
      <c r="L700" s="5" t="str">
        <f>DiscreteStatsTable[[#This Row],[ProjectName]]&amp;DiscreteStatsTable[[#This Row],[Name]]&amp;DiscreteStatsTable[[#This Row],[Type]]&amp;DiscreteStatsTable[[#This Row],[Source]]</f>
        <v>Unnamed ProjectTouristVA TimeEntity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680.04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4">
      <c r="A701" t="s">
        <v>67</v>
      </c>
      <c r="B701" t="s">
        <v>69</v>
      </c>
      <c r="C701">
        <v>50</v>
      </c>
      <c r="D701" t="s">
        <v>80</v>
      </c>
      <c r="E701" t="s">
        <v>87</v>
      </c>
      <c r="F701" t="s">
        <v>82</v>
      </c>
      <c r="G701">
        <v>80.557513401743194</v>
      </c>
      <c r="H701">
        <v>3E+20</v>
      </c>
      <c r="I701">
        <v>0</v>
      </c>
      <c r="J701">
        <v>226.636630521184</v>
      </c>
      <c r="K701">
        <v>725</v>
      </c>
      <c r="L701" s="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92.011077552476877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28.394716781335426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8.0696892219473568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37.235943946119903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170.78088451033599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458.06693976826199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680.04</v>
      </c>
      <c r="W701" s="5">
        <f>IF((DiscreteStatsTable[[#This Row],[RepsRequested]]&gt;1),DiscreteStatsTable[[#This Row],[HalfWidth]],DiscreteStatsTable[[#This Row],[BatchMeansHalfWidth]])</f>
        <v>8.0696892219473568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</sheetData>
  <phoneticPr fontId="2" type="noConversion"/>
  <conditionalFormatting sqref="H2:H701 Q2:Q701">
    <cfRule type="expression" dxfId="27" priority="23">
      <formula>H2=200000000000000000000</formula>
    </cfRule>
  </conditionalFormatting>
  <conditionalFormatting sqref="H2:H701">
    <cfRule type="expression" dxfId="26" priority="21">
      <formula>H2=300000000000000000000</formula>
    </cfRule>
  </conditionalFormatting>
  <conditionalFormatting sqref="L2:Y701">
    <cfRule type="expression" dxfId="25" priority="19">
      <formula>MOD(ROW(),2)=0</formula>
    </cfRule>
  </conditionalFormatting>
  <conditionalFormatting sqref="Y2:Y701">
    <cfRule type="expression" dxfId="24" priority="14">
      <formula>Y2=0</formula>
    </cfRule>
    <cfRule type="expression" dxfId="23" priority="16">
      <formula>Y2=1</formula>
    </cfRule>
  </conditionalFormatting>
  <conditionalFormatting sqref="Y3:Y701">
    <cfRule type="expression" dxfId="22" priority="15">
      <formula>Y3=1</formula>
    </cfRule>
  </conditionalFormatting>
  <conditionalFormatting sqref="W2:W70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701 W2:W70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51"/>
  <sheetViews>
    <sheetView workbookViewId="0">
      <selection activeCell="D2" sqref="D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4.4609375" bestFit="1" customWidth="1"/>
    <col min="6" max="6" width="8.69140625" bestFit="1" customWidth="1"/>
    <col min="7" max="7" width="11.84375" bestFit="1" customWidth="1"/>
    <col min="8" max="8" width="22.07421875" bestFit="1" customWidth="1"/>
    <col min="9" max="9" width="11.15234375" bestFit="1" customWidth="1"/>
    <col min="10" max="10" width="11.53515625" bestFit="1" customWidth="1"/>
    <col min="11" max="11" width="19.07421875" bestFit="1" customWidth="1"/>
    <col min="12" max="12" width="11.07421875" bestFit="1" customWidth="1"/>
    <col min="13" max="13" width="60.3828125" bestFit="1" customWidth="1"/>
    <col min="14" max="14" width="16" bestFit="1" customWidth="1"/>
    <col min="15" max="15" width="18.69140625" bestFit="1" customWidth="1"/>
    <col min="16" max="16" width="16.69140625" bestFit="1" customWidth="1"/>
    <col min="17" max="17" width="18.84375" bestFit="1" customWidth="1"/>
    <col min="18" max="18" width="11.84375" bestFit="1" customWidth="1"/>
    <col min="19" max="19" width="18" bestFit="1" customWidth="1"/>
    <col min="20" max="20" width="18.3828125" bestFit="1" customWidth="1"/>
    <col min="21" max="21" width="19.53515625" bestFit="1" customWidth="1"/>
    <col min="22" max="22" width="20" bestFit="1" customWidth="1"/>
  </cols>
  <sheetData>
    <row r="1" spans="1:21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">
      <c r="A2" t="s">
        <v>67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4">
      <c r="A3" t="s">
        <v>67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4">
      <c r="A4" t="s">
        <v>67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4">
      <c r="A5" t="s">
        <v>67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4">
      <c r="A6" t="s">
        <v>67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38.078147260668999</v>
      </c>
      <c r="U6">
        <f>IF((ContinuousStatsTable[[#This Row],[RepsRequested]]&gt;1),ContinuousStatsTable[[#This Row],[HalfWidth]],ContinuousStatsTable[[#This Row],[BatchMeansHalfWidth]])</f>
        <v>2.1115241847680202</v>
      </c>
    </row>
    <row r="7" spans="1:21" x14ac:dyDescent="0.4">
      <c r="A7" t="s">
        <v>67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10.7783398635915</v>
      </c>
      <c r="H7">
        <v>3E+20</v>
      </c>
      <c r="I7">
        <v>0</v>
      </c>
      <c r="J7">
        <v>34</v>
      </c>
      <c r="K7">
        <v>25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49.6745792704859</v>
      </c>
      <c r="U7">
        <f>IF((ContinuousStatsTable[[#This Row],[RepsRequested]]&gt;1),ContinuousStatsTable[[#This Row],[HalfWidth]],ContinuousStatsTable[[#This Row],[BatchMeansHalfWidth]])</f>
        <v>3.578413083149202</v>
      </c>
    </row>
    <row r="8" spans="1:21" x14ac:dyDescent="0.4">
      <c r="A8" t="s">
        <v>67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5.0037147502107997</v>
      </c>
      <c r="H8">
        <v>3E+20</v>
      </c>
      <c r="I8">
        <v>0</v>
      </c>
      <c r="J8">
        <v>30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51.634328282384999</v>
      </c>
      <c r="U8">
        <f>IF((ContinuousStatsTable[[#This Row],[RepsRequested]]&gt;1),ContinuousStatsTable[[#This Row],[HalfWidth]],ContinuousStatsTable[[#This Row],[BatchMeansHalfWidth]])</f>
        <v>4.2398640284824616</v>
      </c>
    </row>
    <row r="9" spans="1:21" x14ac:dyDescent="0.4">
      <c r="A9" t="s">
        <v>67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2.81153586973956</v>
      </c>
      <c r="H9">
        <v>2E+20</v>
      </c>
      <c r="I9">
        <v>0</v>
      </c>
      <c r="J9">
        <v>21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42.684614626171097</v>
      </c>
      <c r="U9">
        <f>IF((ContinuousStatsTable[[#This Row],[RepsRequested]]&gt;1),ContinuousStatsTable[[#This Row],[HalfWidth]],ContinuousStatsTable[[#This Row],[BatchMeansHalfWidth]])</f>
        <v>3.4837709905544232</v>
      </c>
    </row>
    <row r="10" spans="1:21" x14ac:dyDescent="0.4">
      <c r="A10" t="s">
        <v>67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65.921363270599898</v>
      </c>
      <c r="H10">
        <v>3E+20</v>
      </c>
      <c r="I10">
        <v>0</v>
      </c>
      <c r="J10">
        <v>97</v>
      </c>
      <c r="K10">
        <v>89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60.764515331306598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102.902066283605</v>
      </c>
      <c r="U10">
        <f>IF((ContinuousStatsTable[[#This Row],[RepsRequested]]&gt;1),ContinuousStatsTable[[#This Row],[HalfWidth]],ContinuousStatsTable[[#This Row],[BatchMeansHalfWidth]])</f>
        <v>2.7368751260137634</v>
      </c>
    </row>
    <row r="11" spans="1:21" x14ac:dyDescent="0.4">
      <c r="A11" t="s">
        <v>67</v>
      </c>
      <c r="B11" t="s">
        <v>69</v>
      </c>
      <c r="C11">
        <v>2</v>
      </c>
      <c r="D11" t="s">
        <v>70</v>
      </c>
      <c r="E11" t="s">
        <v>88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4">
      <c r="A12" t="s">
        <v>67</v>
      </c>
      <c r="B12" t="s">
        <v>69</v>
      </c>
      <c r="C12">
        <v>2</v>
      </c>
      <c r="D12" t="s">
        <v>73</v>
      </c>
      <c r="E12" t="s">
        <v>88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4">
      <c r="A13" t="s">
        <v>67</v>
      </c>
      <c r="B13" t="s">
        <v>69</v>
      </c>
      <c r="C13">
        <v>2</v>
      </c>
      <c r="D13" t="s">
        <v>74</v>
      </c>
      <c r="E13" t="s">
        <v>88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>
        <f>IF((ContinuousStatsTable[[#This Row],[RepsRequested]]&gt;1),ContinuousStatsTable[[#This Row],[HalfWidth]],ContinuousStatsTable[[#This Row],[BatchMeansHalfWidth]])</f>
        <v>0</v>
      </c>
    </row>
    <row r="14" spans="1:21" x14ac:dyDescent="0.4">
      <c r="A14" t="s">
        <v>67</v>
      </c>
      <c r="B14" t="s">
        <v>69</v>
      </c>
      <c r="C14">
        <v>2</v>
      </c>
      <c r="D14" t="s">
        <v>75</v>
      </c>
      <c r="E14" t="s">
        <v>88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4">
      <c r="A15" t="s">
        <v>67</v>
      </c>
      <c r="B15" t="s">
        <v>69</v>
      </c>
      <c r="C15">
        <v>2</v>
      </c>
      <c r="D15" t="s">
        <v>76</v>
      </c>
      <c r="E15" t="s">
        <v>88</v>
      </c>
      <c r="F15" t="s">
        <v>72</v>
      </c>
      <c r="G15">
        <v>6.4457881918703004</v>
      </c>
      <c r="H15">
        <v>3E+20</v>
      </c>
      <c r="I15">
        <v>0</v>
      </c>
      <c r="J15">
        <v>30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38.078147260668999</v>
      </c>
      <c r="U15">
        <f>IF((ContinuousStatsTable[[#This Row],[RepsRequested]]&gt;1),ContinuousStatsTable[[#This Row],[HalfWidth]],ContinuousStatsTable[[#This Row],[BatchMeansHalfWidth]])</f>
        <v>2.1115241847680202</v>
      </c>
    </row>
    <row r="16" spans="1:21" x14ac:dyDescent="0.4">
      <c r="A16" t="s">
        <v>67</v>
      </c>
      <c r="B16" t="s">
        <v>69</v>
      </c>
      <c r="C16">
        <v>2</v>
      </c>
      <c r="D16" t="s">
        <v>77</v>
      </c>
      <c r="E16" t="s">
        <v>88</v>
      </c>
      <c r="F16" t="s">
        <v>72</v>
      </c>
      <c r="G16">
        <v>9.0541173630449894</v>
      </c>
      <c r="H16">
        <v>3E+20</v>
      </c>
      <c r="I16">
        <v>0</v>
      </c>
      <c r="J16">
        <v>59</v>
      </c>
      <c r="K16">
        <v>57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49.6745792704859</v>
      </c>
      <c r="U16">
        <f>IF((ContinuousStatsTable[[#This Row],[RepsRequested]]&gt;1),ContinuousStatsTable[[#This Row],[HalfWidth]],ContinuousStatsTable[[#This Row],[BatchMeansHalfWidth]])</f>
        <v>3.578413083149202</v>
      </c>
    </row>
    <row r="17" spans="1:21" x14ac:dyDescent="0.4">
      <c r="A17" t="s">
        <v>67</v>
      </c>
      <c r="B17" t="s">
        <v>69</v>
      </c>
      <c r="C17">
        <v>2</v>
      </c>
      <c r="D17" t="s">
        <v>78</v>
      </c>
      <c r="E17" t="s">
        <v>88</v>
      </c>
      <c r="F17" t="s">
        <v>72</v>
      </c>
      <c r="G17">
        <v>1.09767579959077</v>
      </c>
      <c r="H17">
        <v>2E+20</v>
      </c>
      <c r="I17">
        <v>0</v>
      </c>
      <c r="J17">
        <v>12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51.634328282384999</v>
      </c>
      <c r="U17">
        <f>IF((ContinuousStatsTable[[#This Row],[RepsRequested]]&gt;1),ContinuousStatsTable[[#This Row],[HalfWidth]],ContinuousStatsTable[[#This Row],[BatchMeansHalfWidth]])</f>
        <v>4.2398640284824616</v>
      </c>
    </row>
    <row r="18" spans="1:21" x14ac:dyDescent="0.4">
      <c r="A18" t="s">
        <v>67</v>
      </c>
      <c r="B18" t="s">
        <v>69</v>
      </c>
      <c r="C18">
        <v>2</v>
      </c>
      <c r="D18" t="s">
        <v>79</v>
      </c>
      <c r="E18" t="s">
        <v>88</v>
      </c>
      <c r="F18" t="s">
        <v>72</v>
      </c>
      <c r="G18">
        <v>0.28496071486239599</v>
      </c>
      <c r="H18">
        <v>2E+20</v>
      </c>
      <c r="I18">
        <v>0</v>
      </c>
      <c r="J18">
        <v>6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42.684614626171097</v>
      </c>
      <c r="U18">
        <f>IF((ContinuousStatsTable[[#This Row],[RepsRequested]]&gt;1),ContinuousStatsTable[[#This Row],[HalfWidth]],ContinuousStatsTable[[#This Row],[BatchMeansHalfWidth]])</f>
        <v>3.4837709905544232</v>
      </c>
    </row>
    <row r="19" spans="1:21" x14ac:dyDescent="0.4">
      <c r="A19" t="s">
        <v>67</v>
      </c>
      <c r="B19" t="s">
        <v>69</v>
      </c>
      <c r="C19">
        <v>2</v>
      </c>
      <c r="D19" t="s">
        <v>80</v>
      </c>
      <c r="E19" t="s">
        <v>89</v>
      </c>
      <c r="F19" t="s">
        <v>82</v>
      </c>
      <c r="G19">
        <v>62.819573565301503</v>
      </c>
      <c r="H19">
        <v>3E+20</v>
      </c>
      <c r="I19">
        <v>0</v>
      </c>
      <c r="J19">
        <v>97</v>
      </c>
      <c r="K19">
        <v>96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60.764515331306598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102.902066283605</v>
      </c>
      <c r="U19">
        <f>IF((ContinuousStatsTable[[#This Row],[RepsRequested]]&gt;1),ContinuousStatsTable[[#This Row],[HalfWidth]],ContinuousStatsTable[[#This Row],[BatchMeansHalfWidth]])</f>
        <v>2.7368751260137634</v>
      </c>
    </row>
    <row r="20" spans="1:21" x14ac:dyDescent="0.4">
      <c r="A20" t="s">
        <v>67</v>
      </c>
      <c r="B20" t="s">
        <v>69</v>
      </c>
      <c r="C20">
        <v>3</v>
      </c>
      <c r="D20" t="s">
        <v>70</v>
      </c>
      <c r="E20" t="s">
        <v>88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4">
      <c r="A21" t="s">
        <v>67</v>
      </c>
      <c r="B21" t="s">
        <v>69</v>
      </c>
      <c r="C21">
        <v>3</v>
      </c>
      <c r="D21" t="s">
        <v>73</v>
      </c>
      <c r="E21" t="s">
        <v>88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4">
      <c r="A22" t="s">
        <v>67</v>
      </c>
      <c r="B22" t="s">
        <v>69</v>
      </c>
      <c r="C22">
        <v>3</v>
      </c>
      <c r="D22" t="s">
        <v>74</v>
      </c>
      <c r="E22" t="s">
        <v>88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4">
      <c r="A23" t="s">
        <v>67</v>
      </c>
      <c r="B23" t="s">
        <v>69</v>
      </c>
      <c r="C23">
        <v>3</v>
      </c>
      <c r="D23" t="s">
        <v>75</v>
      </c>
      <c r="E23" t="s">
        <v>88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4">
      <c r="A24" t="s">
        <v>67</v>
      </c>
      <c r="B24" t="s">
        <v>69</v>
      </c>
      <c r="C24">
        <v>3</v>
      </c>
      <c r="D24" t="s">
        <v>76</v>
      </c>
      <c r="E24" t="s">
        <v>88</v>
      </c>
      <c r="F24" t="s">
        <v>72</v>
      </c>
      <c r="G24">
        <v>13.0230562536926</v>
      </c>
      <c r="H24">
        <v>3E+20</v>
      </c>
      <c r="I24">
        <v>0</v>
      </c>
      <c r="J24">
        <v>48</v>
      </c>
      <c r="K24">
        <v>15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38.078147260668999</v>
      </c>
      <c r="U24">
        <f>IF((ContinuousStatsTable[[#This Row],[RepsRequested]]&gt;1),ContinuousStatsTable[[#This Row],[HalfWidth]],ContinuousStatsTable[[#This Row],[BatchMeansHalfWidth]])</f>
        <v>2.1115241847680202</v>
      </c>
    </row>
    <row r="25" spans="1:21" x14ac:dyDescent="0.4">
      <c r="A25" t="s">
        <v>67</v>
      </c>
      <c r="B25" t="s">
        <v>69</v>
      </c>
      <c r="C25">
        <v>3</v>
      </c>
      <c r="D25" t="s">
        <v>77</v>
      </c>
      <c r="E25" t="s">
        <v>88</v>
      </c>
      <c r="F25" t="s">
        <v>72</v>
      </c>
      <c r="G25">
        <v>0.12320629435087301</v>
      </c>
      <c r="H25">
        <v>2E+20</v>
      </c>
      <c r="I25">
        <v>0</v>
      </c>
      <c r="J25">
        <v>7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49.6745792704859</v>
      </c>
      <c r="U25">
        <f>IF((ContinuousStatsTable[[#This Row],[RepsRequested]]&gt;1),ContinuousStatsTable[[#This Row],[HalfWidth]],ContinuousStatsTable[[#This Row],[BatchMeansHalfWidth]])</f>
        <v>3.578413083149202</v>
      </c>
    </row>
    <row r="26" spans="1:21" x14ac:dyDescent="0.4">
      <c r="A26" t="s">
        <v>67</v>
      </c>
      <c r="B26" t="s">
        <v>69</v>
      </c>
      <c r="C26">
        <v>3</v>
      </c>
      <c r="D26" t="s">
        <v>78</v>
      </c>
      <c r="E26" t="s">
        <v>88</v>
      </c>
      <c r="F26" t="s">
        <v>72</v>
      </c>
      <c r="G26">
        <v>27.258736402581899</v>
      </c>
      <c r="H26">
        <v>3E+20</v>
      </c>
      <c r="I26">
        <v>0</v>
      </c>
      <c r="J26">
        <v>63</v>
      </c>
      <c r="K26">
        <v>63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51.634328282384999</v>
      </c>
      <c r="U26">
        <f>IF((ContinuousStatsTable[[#This Row],[RepsRequested]]&gt;1),ContinuousStatsTable[[#This Row],[HalfWidth]],ContinuousStatsTable[[#This Row],[BatchMeansHalfWidth]])</f>
        <v>4.2398640284824616</v>
      </c>
    </row>
    <row r="27" spans="1:21" x14ac:dyDescent="0.4">
      <c r="A27" t="s">
        <v>67</v>
      </c>
      <c r="B27" t="s">
        <v>69</v>
      </c>
      <c r="C27">
        <v>3</v>
      </c>
      <c r="D27" t="s">
        <v>79</v>
      </c>
      <c r="E27" t="s">
        <v>88</v>
      </c>
      <c r="F27" t="s">
        <v>72</v>
      </c>
      <c r="G27">
        <v>0.67532180351353599</v>
      </c>
      <c r="H27">
        <v>2E+20</v>
      </c>
      <c r="I27">
        <v>0</v>
      </c>
      <c r="J27">
        <v>13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42.684614626171097</v>
      </c>
      <c r="U27">
        <f>IF((ContinuousStatsTable[[#This Row],[RepsRequested]]&gt;1),ContinuousStatsTable[[#This Row],[HalfWidth]],ContinuousStatsTable[[#This Row],[BatchMeansHalfWidth]])</f>
        <v>3.4837709905544232</v>
      </c>
    </row>
    <row r="28" spans="1:21" x14ac:dyDescent="0.4">
      <c r="A28" t="s">
        <v>67</v>
      </c>
      <c r="B28" t="s">
        <v>69</v>
      </c>
      <c r="C28">
        <v>3</v>
      </c>
      <c r="D28" t="s">
        <v>80</v>
      </c>
      <c r="E28" t="s">
        <v>89</v>
      </c>
      <c r="F28" t="s">
        <v>82</v>
      </c>
      <c r="G28">
        <v>84.8623030031805</v>
      </c>
      <c r="H28">
        <v>3E+20</v>
      </c>
      <c r="I28">
        <v>0</v>
      </c>
      <c r="J28">
        <v>126</v>
      </c>
      <c r="K28">
        <v>123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60.764515331306598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102.902066283605</v>
      </c>
      <c r="U28">
        <f>IF((ContinuousStatsTable[[#This Row],[RepsRequested]]&gt;1),ContinuousStatsTable[[#This Row],[HalfWidth]],ContinuousStatsTable[[#This Row],[BatchMeansHalfWidth]])</f>
        <v>2.7368751260137634</v>
      </c>
    </row>
    <row r="29" spans="1:21" x14ac:dyDescent="0.4">
      <c r="A29" t="s">
        <v>67</v>
      </c>
      <c r="B29" t="s">
        <v>69</v>
      </c>
      <c r="C29">
        <v>4</v>
      </c>
      <c r="D29" t="s">
        <v>70</v>
      </c>
      <c r="E29" t="s">
        <v>88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4">
      <c r="A30" t="s">
        <v>67</v>
      </c>
      <c r="B30" t="s">
        <v>69</v>
      </c>
      <c r="C30">
        <v>4</v>
      </c>
      <c r="D30" t="s">
        <v>73</v>
      </c>
      <c r="E30" t="s">
        <v>88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4">
      <c r="A31" t="s">
        <v>67</v>
      </c>
      <c r="B31" t="s">
        <v>69</v>
      </c>
      <c r="C31">
        <v>4</v>
      </c>
      <c r="D31" t="s">
        <v>74</v>
      </c>
      <c r="E31" t="s">
        <v>88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4">
      <c r="A32" t="s">
        <v>67</v>
      </c>
      <c r="B32" t="s">
        <v>69</v>
      </c>
      <c r="C32">
        <v>4</v>
      </c>
      <c r="D32" t="s">
        <v>75</v>
      </c>
      <c r="E32" t="s">
        <v>88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4">
      <c r="A33" t="s">
        <v>67</v>
      </c>
      <c r="B33" t="s">
        <v>69</v>
      </c>
      <c r="C33">
        <v>4</v>
      </c>
      <c r="D33" t="s">
        <v>76</v>
      </c>
      <c r="E33" t="s">
        <v>88</v>
      </c>
      <c r="F33" t="s">
        <v>72</v>
      </c>
      <c r="G33">
        <v>0.54118865703224595</v>
      </c>
      <c r="H33">
        <v>2E+20</v>
      </c>
      <c r="I33">
        <v>0</v>
      </c>
      <c r="J33">
        <v>13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38.078147260668999</v>
      </c>
      <c r="U33">
        <f>IF((ContinuousStatsTable[[#This Row],[RepsRequested]]&gt;1),ContinuousStatsTable[[#This Row],[HalfWidth]],ContinuousStatsTable[[#This Row],[BatchMeansHalfWidth]])</f>
        <v>2.1115241847680202</v>
      </c>
    </row>
    <row r="34" spans="1:21" x14ac:dyDescent="0.4">
      <c r="A34" t="s">
        <v>67</v>
      </c>
      <c r="B34" t="s">
        <v>69</v>
      </c>
      <c r="C34">
        <v>4</v>
      </c>
      <c r="D34" t="s">
        <v>77</v>
      </c>
      <c r="E34" t="s">
        <v>88</v>
      </c>
      <c r="F34" t="s">
        <v>72</v>
      </c>
      <c r="G34">
        <v>6.1993895631585298E-2</v>
      </c>
      <c r="H34">
        <v>2E+20</v>
      </c>
      <c r="I34">
        <v>0</v>
      </c>
      <c r="J34">
        <v>6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49.6745792704859</v>
      </c>
      <c r="U34">
        <f>IF((ContinuousStatsTable[[#This Row],[RepsRequested]]&gt;1),ContinuousStatsTable[[#This Row],[HalfWidth]],ContinuousStatsTable[[#This Row],[BatchMeansHalfWidth]])</f>
        <v>3.578413083149202</v>
      </c>
    </row>
    <row r="35" spans="1:21" x14ac:dyDescent="0.4">
      <c r="A35" t="s">
        <v>67</v>
      </c>
      <c r="B35" t="s">
        <v>69</v>
      </c>
      <c r="C35">
        <v>4</v>
      </c>
      <c r="D35" t="s">
        <v>78</v>
      </c>
      <c r="E35" t="s">
        <v>88</v>
      </c>
      <c r="F35" t="s">
        <v>72</v>
      </c>
      <c r="G35">
        <v>34.036846707370998</v>
      </c>
      <c r="H35">
        <v>3E+20</v>
      </c>
      <c r="I35">
        <v>0</v>
      </c>
      <c r="J35">
        <v>68</v>
      </c>
      <c r="K35">
        <v>67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51.634328282384999</v>
      </c>
      <c r="U35">
        <f>IF((ContinuousStatsTable[[#This Row],[RepsRequested]]&gt;1),ContinuousStatsTable[[#This Row],[HalfWidth]],ContinuousStatsTable[[#This Row],[BatchMeansHalfWidth]])</f>
        <v>4.2398640284824616</v>
      </c>
    </row>
    <row r="36" spans="1:21" x14ac:dyDescent="0.4">
      <c r="A36" t="s">
        <v>67</v>
      </c>
      <c r="B36" t="s">
        <v>69</v>
      </c>
      <c r="C36">
        <v>4</v>
      </c>
      <c r="D36" t="s">
        <v>79</v>
      </c>
      <c r="E36" t="s">
        <v>88</v>
      </c>
      <c r="F36" t="s">
        <v>72</v>
      </c>
      <c r="G36">
        <v>7.7044974755912404E-2</v>
      </c>
      <c r="H36">
        <v>2E+20</v>
      </c>
      <c r="I36">
        <v>0</v>
      </c>
      <c r="J36">
        <v>4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42.684614626171097</v>
      </c>
      <c r="U36">
        <f>IF((ContinuousStatsTable[[#This Row],[RepsRequested]]&gt;1),ContinuousStatsTable[[#This Row],[HalfWidth]],ContinuousStatsTable[[#This Row],[BatchMeansHalfWidth]])</f>
        <v>3.4837709905544232</v>
      </c>
    </row>
    <row r="37" spans="1:21" x14ac:dyDescent="0.4">
      <c r="A37" t="s">
        <v>67</v>
      </c>
      <c r="B37" t="s">
        <v>69</v>
      </c>
      <c r="C37">
        <v>4</v>
      </c>
      <c r="D37" t="s">
        <v>80</v>
      </c>
      <c r="E37" t="s">
        <v>89</v>
      </c>
      <c r="F37" t="s">
        <v>82</v>
      </c>
      <c r="G37">
        <v>79.225981755891397</v>
      </c>
      <c r="H37">
        <v>3E+20</v>
      </c>
      <c r="I37">
        <v>0</v>
      </c>
      <c r="J37">
        <v>123</v>
      </c>
      <c r="K37">
        <v>111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60.764515331306598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102.902066283605</v>
      </c>
      <c r="U37">
        <f>IF((ContinuousStatsTable[[#This Row],[RepsRequested]]&gt;1),ContinuousStatsTable[[#This Row],[HalfWidth]],ContinuousStatsTable[[#This Row],[BatchMeansHalfWidth]])</f>
        <v>2.7368751260137634</v>
      </c>
    </row>
    <row r="38" spans="1:21" x14ac:dyDescent="0.4">
      <c r="A38" t="s">
        <v>67</v>
      </c>
      <c r="B38" t="s">
        <v>69</v>
      </c>
      <c r="C38">
        <v>5</v>
      </c>
      <c r="D38" t="s">
        <v>70</v>
      </c>
      <c r="E38" t="s">
        <v>88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4">
      <c r="A39" t="s">
        <v>67</v>
      </c>
      <c r="B39" t="s">
        <v>69</v>
      </c>
      <c r="C39">
        <v>5</v>
      </c>
      <c r="D39" t="s">
        <v>73</v>
      </c>
      <c r="E39" t="s">
        <v>88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>
        <f>IF((ContinuousStatsTable[[#This Row],[RepsRequested]]&gt;1),ContinuousStatsTable[[#This Row],[HalfWidth]],ContinuousStatsTable[[#This Row],[BatchMeansHalfWidth]])</f>
        <v>0</v>
      </c>
    </row>
    <row r="40" spans="1:21" x14ac:dyDescent="0.4">
      <c r="A40" t="s">
        <v>67</v>
      </c>
      <c r="B40" t="s">
        <v>69</v>
      </c>
      <c r="C40">
        <v>5</v>
      </c>
      <c r="D40" t="s">
        <v>74</v>
      </c>
      <c r="E40" t="s">
        <v>88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4">
      <c r="A41" t="s">
        <v>67</v>
      </c>
      <c r="B41" t="s">
        <v>69</v>
      </c>
      <c r="C41">
        <v>5</v>
      </c>
      <c r="D41" t="s">
        <v>75</v>
      </c>
      <c r="E41" t="s">
        <v>88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4">
      <c r="A42" t="s">
        <v>67</v>
      </c>
      <c r="B42" t="s">
        <v>69</v>
      </c>
      <c r="C42">
        <v>5</v>
      </c>
      <c r="D42" t="s">
        <v>76</v>
      </c>
      <c r="E42" t="s">
        <v>88</v>
      </c>
      <c r="F42" t="s">
        <v>72</v>
      </c>
      <c r="G42">
        <v>2.38901360473068</v>
      </c>
      <c r="H42">
        <v>2E+20</v>
      </c>
      <c r="I42">
        <v>0</v>
      </c>
      <c r="J42">
        <v>27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38.078147260668999</v>
      </c>
      <c r="U42">
        <f>IF((ContinuousStatsTable[[#This Row],[RepsRequested]]&gt;1),ContinuousStatsTable[[#This Row],[HalfWidth]],ContinuousStatsTable[[#This Row],[BatchMeansHalfWidth]])</f>
        <v>2.1115241847680202</v>
      </c>
    </row>
    <row r="43" spans="1:21" x14ac:dyDescent="0.4">
      <c r="A43" t="s">
        <v>67</v>
      </c>
      <c r="B43" t="s">
        <v>69</v>
      </c>
      <c r="C43">
        <v>5</v>
      </c>
      <c r="D43" t="s">
        <v>77</v>
      </c>
      <c r="E43" t="s">
        <v>88</v>
      </c>
      <c r="F43" t="s">
        <v>72</v>
      </c>
      <c r="G43">
        <v>7.16554381560871E-4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49.6745792704859</v>
      </c>
      <c r="U43">
        <f>IF((ContinuousStatsTable[[#This Row],[RepsRequested]]&gt;1),ContinuousStatsTable[[#This Row],[HalfWidth]],ContinuousStatsTable[[#This Row],[BatchMeansHalfWidth]])</f>
        <v>3.578413083149202</v>
      </c>
    </row>
    <row r="44" spans="1:21" x14ac:dyDescent="0.4">
      <c r="A44" t="s">
        <v>67</v>
      </c>
      <c r="B44" t="s">
        <v>69</v>
      </c>
      <c r="C44">
        <v>5</v>
      </c>
      <c r="D44" t="s">
        <v>78</v>
      </c>
      <c r="E44" t="s">
        <v>88</v>
      </c>
      <c r="F44" t="s">
        <v>72</v>
      </c>
      <c r="G44">
        <v>22.0879780290004</v>
      </c>
      <c r="H44">
        <v>3E+20</v>
      </c>
      <c r="I44">
        <v>0</v>
      </c>
      <c r="J44">
        <v>56</v>
      </c>
      <c r="K44">
        <v>27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51.634328282384999</v>
      </c>
      <c r="U44">
        <f>IF((ContinuousStatsTable[[#This Row],[RepsRequested]]&gt;1),ContinuousStatsTable[[#This Row],[HalfWidth]],ContinuousStatsTable[[#This Row],[BatchMeansHalfWidth]])</f>
        <v>4.2398640284824616</v>
      </c>
    </row>
    <row r="45" spans="1:21" x14ac:dyDescent="0.4">
      <c r="A45" t="s">
        <v>67</v>
      </c>
      <c r="B45" t="s">
        <v>69</v>
      </c>
      <c r="C45">
        <v>5</v>
      </c>
      <c r="D45" t="s">
        <v>79</v>
      </c>
      <c r="E45" t="s">
        <v>88</v>
      </c>
      <c r="F45" t="s">
        <v>72</v>
      </c>
      <c r="G45">
        <v>0.84856154276066098</v>
      </c>
      <c r="H45">
        <v>2E+20</v>
      </c>
      <c r="I45">
        <v>0</v>
      </c>
      <c r="J45">
        <v>10</v>
      </c>
      <c r="K45">
        <v>9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42.684614626171097</v>
      </c>
      <c r="U45">
        <f>IF((ContinuousStatsTable[[#This Row],[RepsRequested]]&gt;1),ContinuousStatsTable[[#This Row],[HalfWidth]],ContinuousStatsTable[[#This Row],[BatchMeansHalfWidth]])</f>
        <v>3.4837709905544232</v>
      </c>
    </row>
    <row r="46" spans="1:21" x14ac:dyDescent="0.4">
      <c r="A46" t="s">
        <v>67</v>
      </c>
      <c r="B46" t="s">
        <v>69</v>
      </c>
      <c r="C46">
        <v>5</v>
      </c>
      <c r="D46" t="s">
        <v>80</v>
      </c>
      <c r="E46" t="s">
        <v>89</v>
      </c>
      <c r="F46" t="s">
        <v>82</v>
      </c>
      <c r="G46">
        <v>72.829308783335506</v>
      </c>
      <c r="H46">
        <v>3E+20</v>
      </c>
      <c r="I46">
        <v>0</v>
      </c>
      <c r="J46">
        <v>111</v>
      </c>
      <c r="K46">
        <v>93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60.764515331306598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102.902066283605</v>
      </c>
      <c r="U46">
        <f>IF((ContinuousStatsTable[[#This Row],[RepsRequested]]&gt;1),ContinuousStatsTable[[#This Row],[HalfWidth]],ContinuousStatsTable[[#This Row],[BatchMeansHalfWidth]])</f>
        <v>2.7368751260137634</v>
      </c>
    </row>
    <row r="47" spans="1:21" x14ac:dyDescent="0.4">
      <c r="A47" t="s">
        <v>67</v>
      </c>
      <c r="B47" t="s">
        <v>69</v>
      </c>
      <c r="C47">
        <v>6</v>
      </c>
      <c r="D47" t="s">
        <v>70</v>
      </c>
      <c r="E47" t="s">
        <v>88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4">
      <c r="A48" t="s">
        <v>67</v>
      </c>
      <c r="B48" t="s">
        <v>69</v>
      </c>
      <c r="C48">
        <v>6</v>
      </c>
      <c r="D48" t="s">
        <v>73</v>
      </c>
      <c r="E48" t="s">
        <v>88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</v>
      </c>
      <c r="U48">
        <f>IF((ContinuousStatsTable[[#This Row],[RepsRequested]]&gt;1),ContinuousStatsTable[[#This Row],[HalfWidth]],ContinuousStatsTable[[#This Row],[BatchMeansHalfWidth]])</f>
        <v>0</v>
      </c>
    </row>
    <row r="49" spans="1:21" x14ac:dyDescent="0.4">
      <c r="A49" t="s">
        <v>67</v>
      </c>
      <c r="B49" t="s">
        <v>69</v>
      </c>
      <c r="C49">
        <v>6</v>
      </c>
      <c r="D49" t="s">
        <v>74</v>
      </c>
      <c r="E49" t="s">
        <v>88</v>
      </c>
      <c r="F49" t="s">
        <v>72</v>
      </c>
      <c r="G49">
        <v>0</v>
      </c>
      <c r="H49">
        <v>2E+20</v>
      </c>
      <c r="I49">
        <v>0</v>
      </c>
      <c r="J49">
        <v>0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4">
      <c r="A50" t="s">
        <v>67</v>
      </c>
      <c r="B50" t="s">
        <v>69</v>
      </c>
      <c r="C50">
        <v>6</v>
      </c>
      <c r="D50" t="s">
        <v>75</v>
      </c>
      <c r="E50" t="s">
        <v>88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4">
      <c r="A51" t="s">
        <v>67</v>
      </c>
      <c r="B51" t="s">
        <v>69</v>
      </c>
      <c r="C51">
        <v>6</v>
      </c>
      <c r="D51" t="s">
        <v>76</v>
      </c>
      <c r="E51" t="s">
        <v>88</v>
      </c>
      <c r="F51" t="s">
        <v>72</v>
      </c>
      <c r="G51">
        <v>0.72398997456257996</v>
      </c>
      <c r="H51">
        <v>2E+20</v>
      </c>
      <c r="I51">
        <v>0</v>
      </c>
      <c r="J51">
        <v>15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38.078147260668999</v>
      </c>
      <c r="U51">
        <f>IF((ContinuousStatsTable[[#This Row],[RepsRequested]]&gt;1),ContinuousStatsTable[[#This Row],[HalfWidth]],ContinuousStatsTable[[#This Row],[BatchMeansHalfWidth]])</f>
        <v>2.1115241847680202</v>
      </c>
    </row>
    <row r="52" spans="1:21" x14ac:dyDescent="0.4">
      <c r="A52" t="s">
        <v>67</v>
      </c>
      <c r="B52" t="s">
        <v>69</v>
      </c>
      <c r="C52">
        <v>6</v>
      </c>
      <c r="D52" t="s">
        <v>77</v>
      </c>
      <c r="E52" t="s">
        <v>88</v>
      </c>
      <c r="F52" t="s">
        <v>72</v>
      </c>
      <c r="G52">
        <v>6.2428556077137598E-4</v>
      </c>
      <c r="H52">
        <v>2E+20</v>
      </c>
      <c r="I52">
        <v>0</v>
      </c>
      <c r="J52">
        <v>1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49.6745792704859</v>
      </c>
      <c r="U52">
        <f>IF((ContinuousStatsTable[[#This Row],[RepsRequested]]&gt;1),ContinuousStatsTable[[#This Row],[HalfWidth]],ContinuousStatsTable[[#This Row],[BatchMeansHalfWidth]])</f>
        <v>3.578413083149202</v>
      </c>
    </row>
    <row r="53" spans="1:21" x14ac:dyDescent="0.4">
      <c r="A53" t="s">
        <v>67</v>
      </c>
      <c r="B53" t="s">
        <v>69</v>
      </c>
      <c r="C53">
        <v>6</v>
      </c>
      <c r="D53" t="s">
        <v>78</v>
      </c>
      <c r="E53" t="s">
        <v>88</v>
      </c>
      <c r="F53" t="s">
        <v>72</v>
      </c>
      <c r="G53">
        <v>0.28259624337913702</v>
      </c>
      <c r="H53">
        <v>2E+20</v>
      </c>
      <c r="I53">
        <v>0</v>
      </c>
      <c r="J53">
        <v>7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51.634328282384999</v>
      </c>
      <c r="U53">
        <f>IF((ContinuousStatsTable[[#This Row],[RepsRequested]]&gt;1),ContinuousStatsTable[[#This Row],[HalfWidth]],ContinuousStatsTable[[#This Row],[BatchMeansHalfWidth]])</f>
        <v>4.2398640284824616</v>
      </c>
    </row>
    <row r="54" spans="1:21" x14ac:dyDescent="0.4">
      <c r="A54" t="s">
        <v>67</v>
      </c>
      <c r="B54" t="s">
        <v>69</v>
      </c>
      <c r="C54">
        <v>6</v>
      </c>
      <c r="D54" t="s">
        <v>79</v>
      </c>
      <c r="E54" t="s">
        <v>88</v>
      </c>
      <c r="F54" t="s">
        <v>72</v>
      </c>
      <c r="G54">
        <v>22.328191986373401</v>
      </c>
      <c r="H54">
        <v>3E+20</v>
      </c>
      <c r="I54">
        <v>0</v>
      </c>
      <c r="J54">
        <v>57</v>
      </c>
      <c r="K54">
        <v>31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42.684614626171097</v>
      </c>
      <c r="U54">
        <f>IF((ContinuousStatsTable[[#This Row],[RepsRequested]]&gt;1),ContinuousStatsTable[[#This Row],[HalfWidth]],ContinuousStatsTable[[#This Row],[BatchMeansHalfWidth]])</f>
        <v>3.4837709905544232</v>
      </c>
    </row>
    <row r="55" spans="1:21" x14ac:dyDescent="0.4">
      <c r="A55" t="s">
        <v>67</v>
      </c>
      <c r="B55" t="s">
        <v>69</v>
      </c>
      <c r="C55">
        <v>6</v>
      </c>
      <c r="D55" t="s">
        <v>80</v>
      </c>
      <c r="E55" t="s">
        <v>89</v>
      </c>
      <c r="F55" t="s">
        <v>82</v>
      </c>
      <c r="G55">
        <v>74.909530253311303</v>
      </c>
      <c r="H55">
        <v>3E+20</v>
      </c>
      <c r="I55">
        <v>0</v>
      </c>
      <c r="J55">
        <v>119</v>
      </c>
      <c r="K55">
        <v>77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60.764515331306598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102.902066283605</v>
      </c>
      <c r="U55">
        <f>IF((ContinuousStatsTable[[#This Row],[RepsRequested]]&gt;1),ContinuousStatsTable[[#This Row],[HalfWidth]],ContinuousStatsTable[[#This Row],[BatchMeansHalfWidth]])</f>
        <v>2.7368751260137634</v>
      </c>
    </row>
    <row r="56" spans="1:21" x14ac:dyDescent="0.4">
      <c r="A56" t="s">
        <v>67</v>
      </c>
      <c r="B56" t="s">
        <v>69</v>
      </c>
      <c r="C56">
        <v>7</v>
      </c>
      <c r="D56" t="s">
        <v>70</v>
      </c>
      <c r="E56" t="s">
        <v>88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</v>
      </c>
      <c r="U56">
        <f>IF((ContinuousStatsTable[[#This Row],[RepsRequested]]&gt;1),ContinuousStatsTable[[#This Row],[HalfWidth]],ContinuousStatsTable[[#This Row],[BatchMeansHalfWidth]])</f>
        <v>0</v>
      </c>
    </row>
    <row r="57" spans="1:21" x14ac:dyDescent="0.4">
      <c r="A57" t="s">
        <v>67</v>
      </c>
      <c r="B57" t="s">
        <v>69</v>
      </c>
      <c r="C57">
        <v>7</v>
      </c>
      <c r="D57" t="s">
        <v>73</v>
      </c>
      <c r="E57" t="s">
        <v>88</v>
      </c>
      <c r="F57" t="s">
        <v>72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4">
      <c r="A58" t="s">
        <v>67</v>
      </c>
      <c r="B58" t="s">
        <v>69</v>
      </c>
      <c r="C58">
        <v>7</v>
      </c>
      <c r="D58" t="s">
        <v>74</v>
      </c>
      <c r="E58" t="s">
        <v>88</v>
      </c>
      <c r="F58" t="s">
        <v>72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4">
      <c r="A59" t="s">
        <v>67</v>
      </c>
      <c r="B59" t="s">
        <v>69</v>
      </c>
      <c r="C59">
        <v>7</v>
      </c>
      <c r="D59" t="s">
        <v>75</v>
      </c>
      <c r="E59" t="s">
        <v>88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4">
      <c r="A60" t="s">
        <v>67</v>
      </c>
      <c r="B60" t="s">
        <v>69</v>
      </c>
      <c r="C60">
        <v>7</v>
      </c>
      <c r="D60" t="s">
        <v>76</v>
      </c>
      <c r="E60" t="s">
        <v>88</v>
      </c>
      <c r="F60" t="s">
        <v>72</v>
      </c>
      <c r="G60">
        <v>3.9806980404650796E-3</v>
      </c>
      <c r="H60">
        <v>2E+20</v>
      </c>
      <c r="I60">
        <v>0</v>
      </c>
      <c r="J60">
        <v>1</v>
      </c>
      <c r="K60">
        <v>0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38.078147260668999</v>
      </c>
      <c r="U60">
        <f>IF((ContinuousStatsTable[[#This Row],[RepsRequested]]&gt;1),ContinuousStatsTable[[#This Row],[HalfWidth]],ContinuousStatsTable[[#This Row],[BatchMeansHalfWidth]])</f>
        <v>2.1115241847680202</v>
      </c>
    </row>
    <row r="61" spans="1:21" x14ac:dyDescent="0.4">
      <c r="A61" t="s">
        <v>67</v>
      </c>
      <c r="B61" t="s">
        <v>69</v>
      </c>
      <c r="C61">
        <v>7</v>
      </c>
      <c r="D61" t="s">
        <v>77</v>
      </c>
      <c r="E61" t="s">
        <v>88</v>
      </c>
      <c r="F61" t="s">
        <v>72</v>
      </c>
      <c r="G61">
        <v>39.876847274153199</v>
      </c>
      <c r="H61">
        <v>3E+20</v>
      </c>
      <c r="I61">
        <v>0</v>
      </c>
      <c r="J61">
        <v>91</v>
      </c>
      <c r="K61">
        <v>81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49.6745792704859</v>
      </c>
      <c r="U61">
        <f>IF((ContinuousStatsTable[[#This Row],[RepsRequested]]&gt;1),ContinuousStatsTable[[#This Row],[HalfWidth]],ContinuousStatsTable[[#This Row],[BatchMeansHalfWidth]])</f>
        <v>3.578413083149202</v>
      </c>
    </row>
    <row r="62" spans="1:21" x14ac:dyDescent="0.4">
      <c r="A62" t="s">
        <v>67</v>
      </c>
      <c r="B62" t="s">
        <v>69</v>
      </c>
      <c r="C62">
        <v>7</v>
      </c>
      <c r="D62" t="s">
        <v>78</v>
      </c>
      <c r="E62" t="s">
        <v>88</v>
      </c>
      <c r="F62" t="s">
        <v>72</v>
      </c>
      <c r="G62">
        <v>2.61112776509919</v>
      </c>
      <c r="H62">
        <v>3E+20</v>
      </c>
      <c r="I62">
        <v>0</v>
      </c>
      <c r="J62">
        <v>16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51.634328282384999</v>
      </c>
      <c r="U62">
        <f>IF((ContinuousStatsTable[[#This Row],[RepsRequested]]&gt;1),ContinuousStatsTable[[#This Row],[HalfWidth]],ContinuousStatsTable[[#This Row],[BatchMeansHalfWidth]])</f>
        <v>4.2398640284824616</v>
      </c>
    </row>
    <row r="63" spans="1:21" x14ac:dyDescent="0.4">
      <c r="A63" t="s">
        <v>67</v>
      </c>
      <c r="B63" t="s">
        <v>69</v>
      </c>
      <c r="C63">
        <v>7</v>
      </c>
      <c r="D63" t="s">
        <v>79</v>
      </c>
      <c r="E63" t="s">
        <v>88</v>
      </c>
      <c r="F63" t="s">
        <v>72</v>
      </c>
      <c r="G63">
        <v>0</v>
      </c>
      <c r="H63">
        <v>2E+20</v>
      </c>
      <c r="I63">
        <v>0</v>
      </c>
      <c r="J63">
        <v>0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42.684614626171097</v>
      </c>
      <c r="U63">
        <f>IF((ContinuousStatsTable[[#This Row],[RepsRequested]]&gt;1),ContinuousStatsTable[[#This Row],[HalfWidth]],ContinuousStatsTable[[#This Row],[BatchMeansHalfWidth]])</f>
        <v>3.4837709905544232</v>
      </c>
    </row>
    <row r="64" spans="1:21" x14ac:dyDescent="0.4">
      <c r="A64" t="s">
        <v>67</v>
      </c>
      <c r="B64" t="s">
        <v>69</v>
      </c>
      <c r="C64">
        <v>7</v>
      </c>
      <c r="D64" t="s">
        <v>80</v>
      </c>
      <c r="E64" t="s">
        <v>89</v>
      </c>
      <c r="F64" t="s">
        <v>82</v>
      </c>
      <c r="G64">
        <v>88.985408774407603</v>
      </c>
      <c r="H64">
        <v>3E+20</v>
      </c>
      <c r="I64">
        <v>0</v>
      </c>
      <c r="J64">
        <v>147</v>
      </c>
      <c r="K64">
        <v>139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60.764515331306598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102.902066283605</v>
      </c>
      <c r="U64">
        <f>IF((ContinuousStatsTable[[#This Row],[RepsRequested]]&gt;1),ContinuousStatsTable[[#This Row],[HalfWidth]],ContinuousStatsTable[[#This Row],[BatchMeansHalfWidth]])</f>
        <v>2.7368751260137634</v>
      </c>
    </row>
    <row r="65" spans="1:21" x14ac:dyDescent="0.4">
      <c r="A65" t="s">
        <v>67</v>
      </c>
      <c r="B65" t="s">
        <v>69</v>
      </c>
      <c r="C65">
        <v>8</v>
      </c>
      <c r="D65" t="s">
        <v>70</v>
      </c>
      <c r="E65" t="s">
        <v>88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0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0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4">
      <c r="A66" t="s">
        <v>67</v>
      </c>
      <c r="B66" t="s">
        <v>69</v>
      </c>
      <c r="C66">
        <v>8</v>
      </c>
      <c r="D66" t="s">
        <v>73</v>
      </c>
      <c r="E66" t="s">
        <v>88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4">
      <c r="A67" t="s">
        <v>67</v>
      </c>
      <c r="B67" t="s">
        <v>69</v>
      </c>
      <c r="C67">
        <v>8</v>
      </c>
      <c r="D67" t="s">
        <v>74</v>
      </c>
      <c r="E67" t="s">
        <v>88</v>
      </c>
      <c r="F67" t="s">
        <v>72</v>
      </c>
      <c r="G67">
        <v>0</v>
      </c>
      <c r="H67">
        <v>2E+20</v>
      </c>
      <c r="I67">
        <v>0</v>
      </c>
      <c r="J67">
        <v>0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</v>
      </c>
      <c r="U67">
        <f>IF((ContinuousStatsTable[[#This Row],[RepsRequested]]&gt;1),ContinuousStatsTable[[#This Row],[HalfWidth]],ContinuousStatsTable[[#This Row],[BatchMeansHalfWidth]])</f>
        <v>0</v>
      </c>
    </row>
    <row r="68" spans="1:21" x14ac:dyDescent="0.4">
      <c r="A68" t="s">
        <v>67</v>
      </c>
      <c r="B68" t="s">
        <v>69</v>
      </c>
      <c r="C68">
        <v>8</v>
      </c>
      <c r="D68" t="s">
        <v>75</v>
      </c>
      <c r="E68" t="s">
        <v>88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4">
      <c r="A69" t="s">
        <v>67</v>
      </c>
      <c r="B69" t="s">
        <v>69</v>
      </c>
      <c r="C69">
        <v>8</v>
      </c>
      <c r="D69" t="s">
        <v>76</v>
      </c>
      <c r="E69" t="s">
        <v>88</v>
      </c>
      <c r="F69" t="s">
        <v>72</v>
      </c>
      <c r="G69">
        <v>7.2783585441334495E-2</v>
      </c>
      <c r="H69">
        <v>2E+20</v>
      </c>
      <c r="I69">
        <v>0</v>
      </c>
      <c r="J69">
        <v>5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38.078147260668999</v>
      </c>
      <c r="U69">
        <f>IF((ContinuousStatsTable[[#This Row],[RepsRequested]]&gt;1),ContinuousStatsTable[[#This Row],[HalfWidth]],ContinuousStatsTable[[#This Row],[BatchMeansHalfWidth]])</f>
        <v>2.1115241847680202</v>
      </c>
    </row>
    <row r="70" spans="1:21" x14ac:dyDescent="0.4">
      <c r="A70" t="s">
        <v>67</v>
      </c>
      <c r="B70" t="s">
        <v>69</v>
      </c>
      <c r="C70">
        <v>8</v>
      </c>
      <c r="D70" t="s">
        <v>77</v>
      </c>
      <c r="E70" t="s">
        <v>88</v>
      </c>
      <c r="F70" t="s">
        <v>72</v>
      </c>
      <c r="G70">
        <v>4.4396186406977201</v>
      </c>
      <c r="H70">
        <v>3E+20</v>
      </c>
      <c r="I70">
        <v>0</v>
      </c>
      <c r="J70">
        <v>24</v>
      </c>
      <c r="K70">
        <v>7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49.6745792704859</v>
      </c>
      <c r="U70">
        <f>IF((ContinuousStatsTable[[#This Row],[RepsRequested]]&gt;1),ContinuousStatsTable[[#This Row],[HalfWidth]],ContinuousStatsTable[[#This Row],[BatchMeansHalfWidth]])</f>
        <v>3.578413083149202</v>
      </c>
    </row>
    <row r="71" spans="1:21" x14ac:dyDescent="0.4">
      <c r="A71" t="s">
        <v>67</v>
      </c>
      <c r="B71" t="s">
        <v>69</v>
      </c>
      <c r="C71">
        <v>8</v>
      </c>
      <c r="D71" t="s">
        <v>78</v>
      </c>
      <c r="E71" t="s">
        <v>88</v>
      </c>
      <c r="F71" t="s">
        <v>72</v>
      </c>
      <c r="G71">
        <v>51.634328282384999</v>
      </c>
      <c r="H71">
        <v>3E+20</v>
      </c>
      <c r="I71">
        <v>0</v>
      </c>
      <c r="J71">
        <v>98</v>
      </c>
      <c r="K71">
        <v>60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51.634328282384999</v>
      </c>
      <c r="U71">
        <f>IF((ContinuousStatsTable[[#This Row],[RepsRequested]]&gt;1),ContinuousStatsTable[[#This Row],[HalfWidth]],ContinuousStatsTable[[#This Row],[BatchMeansHalfWidth]])</f>
        <v>4.2398640284824616</v>
      </c>
    </row>
    <row r="72" spans="1:21" x14ac:dyDescent="0.4">
      <c r="A72" t="s">
        <v>67</v>
      </c>
      <c r="B72" t="s">
        <v>69</v>
      </c>
      <c r="C72">
        <v>8</v>
      </c>
      <c r="D72" t="s">
        <v>79</v>
      </c>
      <c r="E72" t="s">
        <v>88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42.684614626171097</v>
      </c>
      <c r="U72">
        <f>IF((ContinuousStatsTable[[#This Row],[RepsRequested]]&gt;1),ContinuousStatsTable[[#This Row],[HalfWidth]],ContinuousStatsTable[[#This Row],[BatchMeansHalfWidth]])</f>
        <v>3.4837709905544232</v>
      </c>
    </row>
    <row r="73" spans="1:21" x14ac:dyDescent="0.4">
      <c r="A73" t="s">
        <v>67</v>
      </c>
      <c r="B73" t="s">
        <v>69</v>
      </c>
      <c r="C73">
        <v>8</v>
      </c>
      <c r="D73" t="s">
        <v>80</v>
      </c>
      <c r="E73" t="s">
        <v>89</v>
      </c>
      <c r="F73" t="s">
        <v>82</v>
      </c>
      <c r="G73">
        <v>99.170821526673194</v>
      </c>
      <c r="H73">
        <v>3E+20</v>
      </c>
      <c r="I73">
        <v>0</v>
      </c>
      <c r="J73">
        <v>146</v>
      </c>
      <c r="K73">
        <v>111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60.764515331306598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102.902066283605</v>
      </c>
      <c r="U73">
        <f>IF((ContinuousStatsTable[[#This Row],[RepsRequested]]&gt;1),ContinuousStatsTable[[#This Row],[HalfWidth]],ContinuousStatsTable[[#This Row],[BatchMeansHalfWidth]])</f>
        <v>2.7368751260137634</v>
      </c>
    </row>
    <row r="74" spans="1:21" x14ac:dyDescent="0.4">
      <c r="A74" t="s">
        <v>67</v>
      </c>
      <c r="B74" t="s">
        <v>69</v>
      </c>
      <c r="C74">
        <v>9</v>
      </c>
      <c r="D74" t="s">
        <v>70</v>
      </c>
      <c r="E74" t="s">
        <v>88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</v>
      </c>
      <c r="U74">
        <f>IF((ContinuousStatsTable[[#This Row],[RepsRequested]]&gt;1),ContinuousStatsTable[[#This Row],[HalfWidth]],ContinuousStatsTable[[#This Row],[BatchMeansHalfWidth]])</f>
        <v>0</v>
      </c>
    </row>
    <row r="75" spans="1:21" x14ac:dyDescent="0.4">
      <c r="A75" t="s">
        <v>67</v>
      </c>
      <c r="B75" t="s">
        <v>69</v>
      </c>
      <c r="C75">
        <v>9</v>
      </c>
      <c r="D75" t="s">
        <v>73</v>
      </c>
      <c r="E75" t="s">
        <v>88</v>
      </c>
      <c r="F75" t="s">
        <v>72</v>
      </c>
      <c r="G75">
        <v>0</v>
      </c>
      <c r="H75">
        <v>2E+20</v>
      </c>
      <c r="I75">
        <v>0</v>
      </c>
      <c r="J75">
        <v>0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0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0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4">
      <c r="A76" t="s">
        <v>67</v>
      </c>
      <c r="B76" t="s">
        <v>69</v>
      </c>
      <c r="C76">
        <v>9</v>
      </c>
      <c r="D76" t="s">
        <v>74</v>
      </c>
      <c r="E76" t="s">
        <v>88</v>
      </c>
      <c r="F76" t="s">
        <v>72</v>
      </c>
      <c r="G76">
        <v>0</v>
      </c>
      <c r="H76">
        <v>2E+20</v>
      </c>
      <c r="I76">
        <v>0</v>
      </c>
      <c r="J76">
        <v>0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</v>
      </c>
      <c r="U76">
        <f>IF((ContinuousStatsTable[[#This Row],[RepsRequested]]&gt;1),ContinuousStatsTable[[#This Row],[HalfWidth]],ContinuousStatsTable[[#This Row],[BatchMeansHalfWidth]])</f>
        <v>0</v>
      </c>
    </row>
    <row r="77" spans="1:21" x14ac:dyDescent="0.4">
      <c r="A77" t="s">
        <v>67</v>
      </c>
      <c r="B77" t="s">
        <v>69</v>
      </c>
      <c r="C77">
        <v>9</v>
      </c>
      <c r="D77" t="s">
        <v>75</v>
      </c>
      <c r="E77" t="s">
        <v>88</v>
      </c>
      <c r="F77" t="s">
        <v>72</v>
      </c>
      <c r="G77">
        <v>0</v>
      </c>
      <c r="H77">
        <v>2E+20</v>
      </c>
      <c r="I77">
        <v>0</v>
      </c>
      <c r="J77">
        <v>0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</v>
      </c>
      <c r="U77">
        <f>IF((ContinuousStatsTable[[#This Row],[RepsRequested]]&gt;1),ContinuousStatsTable[[#This Row],[HalfWidth]],ContinuousStatsTable[[#This Row],[BatchMeansHalfWidth]])</f>
        <v>0</v>
      </c>
    </row>
    <row r="78" spans="1:21" x14ac:dyDescent="0.4">
      <c r="A78" t="s">
        <v>67</v>
      </c>
      <c r="B78" t="s">
        <v>69</v>
      </c>
      <c r="C78">
        <v>9</v>
      </c>
      <c r="D78" t="s">
        <v>76</v>
      </c>
      <c r="E78" t="s">
        <v>88</v>
      </c>
      <c r="F78" t="s">
        <v>72</v>
      </c>
      <c r="G78">
        <v>3.4483265138453303E-2</v>
      </c>
      <c r="H78">
        <v>2E+20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38.078147260668999</v>
      </c>
      <c r="U78">
        <f>IF((ContinuousStatsTable[[#This Row],[RepsRequested]]&gt;1),ContinuousStatsTable[[#This Row],[HalfWidth]],ContinuousStatsTable[[#This Row],[BatchMeansHalfWidth]])</f>
        <v>2.1115241847680202</v>
      </c>
    </row>
    <row r="79" spans="1:21" x14ac:dyDescent="0.4">
      <c r="A79" t="s">
        <v>67</v>
      </c>
      <c r="B79" t="s">
        <v>69</v>
      </c>
      <c r="C79">
        <v>9</v>
      </c>
      <c r="D79" t="s">
        <v>77</v>
      </c>
      <c r="E79" t="s">
        <v>88</v>
      </c>
      <c r="F79" t="s">
        <v>72</v>
      </c>
      <c r="G79">
        <v>0</v>
      </c>
      <c r="H79">
        <v>2E+20</v>
      </c>
      <c r="I79">
        <v>0</v>
      </c>
      <c r="J79">
        <v>0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49.6745792704859</v>
      </c>
      <c r="U79">
        <f>IF((ContinuousStatsTable[[#This Row],[RepsRequested]]&gt;1),ContinuousStatsTable[[#This Row],[HalfWidth]],ContinuousStatsTable[[#This Row],[BatchMeansHalfWidth]])</f>
        <v>3.578413083149202</v>
      </c>
    </row>
    <row r="80" spans="1:21" x14ac:dyDescent="0.4">
      <c r="A80" t="s">
        <v>67</v>
      </c>
      <c r="B80" t="s">
        <v>69</v>
      </c>
      <c r="C80">
        <v>9</v>
      </c>
      <c r="D80" t="s">
        <v>78</v>
      </c>
      <c r="E80" t="s">
        <v>88</v>
      </c>
      <c r="F80" t="s">
        <v>72</v>
      </c>
      <c r="G80">
        <v>29.291793794283301</v>
      </c>
      <c r="H80">
        <v>3E+20</v>
      </c>
      <c r="I80">
        <v>0</v>
      </c>
      <c r="J80">
        <v>57</v>
      </c>
      <c r="K80">
        <v>31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51.634328282384999</v>
      </c>
      <c r="U80">
        <f>IF((ContinuousStatsTable[[#This Row],[RepsRequested]]&gt;1),ContinuousStatsTable[[#This Row],[HalfWidth]],ContinuousStatsTable[[#This Row],[BatchMeansHalfWidth]])</f>
        <v>4.2398640284824616</v>
      </c>
    </row>
    <row r="81" spans="1:21" x14ac:dyDescent="0.4">
      <c r="A81" t="s">
        <v>67</v>
      </c>
      <c r="B81" t="s">
        <v>69</v>
      </c>
      <c r="C81">
        <v>9</v>
      </c>
      <c r="D81" t="s">
        <v>79</v>
      </c>
      <c r="E81" t="s">
        <v>88</v>
      </c>
      <c r="F81" t="s">
        <v>72</v>
      </c>
      <c r="G81">
        <v>9.9417242088383802</v>
      </c>
      <c r="H81">
        <v>3E+20</v>
      </c>
      <c r="I81">
        <v>0</v>
      </c>
      <c r="J81">
        <v>62</v>
      </c>
      <c r="K81">
        <v>60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42.684614626171097</v>
      </c>
      <c r="U81">
        <f>IF((ContinuousStatsTable[[#This Row],[RepsRequested]]&gt;1),ContinuousStatsTable[[#This Row],[HalfWidth]],ContinuousStatsTable[[#This Row],[BatchMeansHalfWidth]])</f>
        <v>3.4837709905544232</v>
      </c>
    </row>
    <row r="82" spans="1:21" x14ac:dyDescent="0.4">
      <c r="A82" t="s">
        <v>67</v>
      </c>
      <c r="B82" t="s">
        <v>69</v>
      </c>
      <c r="C82">
        <v>9</v>
      </c>
      <c r="D82" t="s">
        <v>80</v>
      </c>
      <c r="E82" t="s">
        <v>89</v>
      </c>
      <c r="F82" t="s">
        <v>82</v>
      </c>
      <c r="G82">
        <v>88.123722175276797</v>
      </c>
      <c r="H82">
        <v>3E+20</v>
      </c>
      <c r="I82">
        <v>0</v>
      </c>
      <c r="J82">
        <v>150</v>
      </c>
      <c r="K82">
        <v>148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60.764515331306598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102.902066283605</v>
      </c>
      <c r="U82">
        <f>IF((ContinuousStatsTable[[#This Row],[RepsRequested]]&gt;1),ContinuousStatsTable[[#This Row],[HalfWidth]],ContinuousStatsTable[[#This Row],[BatchMeansHalfWidth]])</f>
        <v>2.7368751260137634</v>
      </c>
    </row>
    <row r="83" spans="1:21" x14ac:dyDescent="0.4">
      <c r="A83" t="s">
        <v>67</v>
      </c>
      <c r="B83" t="s">
        <v>69</v>
      </c>
      <c r="C83">
        <v>10</v>
      </c>
      <c r="D83" t="s">
        <v>70</v>
      </c>
      <c r="E83" t="s">
        <v>88</v>
      </c>
      <c r="F83" t="s">
        <v>72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>
        <f>IF((ContinuousStatsTable[[#This Row],[RepsRequested]]&gt;1),ContinuousStatsTable[[#This Row],[HalfWidth]],ContinuousStatsTable[[#This Row],[BatchMeansHalfWidth]])</f>
        <v>0</v>
      </c>
    </row>
    <row r="84" spans="1:21" x14ac:dyDescent="0.4">
      <c r="A84" t="s">
        <v>67</v>
      </c>
      <c r="B84" t="s">
        <v>69</v>
      </c>
      <c r="C84">
        <v>10</v>
      </c>
      <c r="D84" t="s">
        <v>73</v>
      </c>
      <c r="E84" t="s">
        <v>88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4">
      <c r="A85" t="s">
        <v>67</v>
      </c>
      <c r="B85" t="s">
        <v>69</v>
      </c>
      <c r="C85">
        <v>10</v>
      </c>
      <c r="D85" t="s">
        <v>74</v>
      </c>
      <c r="E85" t="s">
        <v>88</v>
      </c>
      <c r="F85" t="s">
        <v>72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4">
      <c r="A86" t="s">
        <v>67</v>
      </c>
      <c r="B86" t="s">
        <v>69</v>
      </c>
      <c r="C86">
        <v>10</v>
      </c>
      <c r="D86" t="s">
        <v>75</v>
      </c>
      <c r="E86" t="s">
        <v>88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</v>
      </c>
      <c r="U86">
        <f>IF((ContinuousStatsTable[[#This Row],[RepsRequested]]&gt;1),ContinuousStatsTable[[#This Row],[HalfWidth]],ContinuousStatsTable[[#This Row],[BatchMeansHalfWidth]])</f>
        <v>0</v>
      </c>
    </row>
    <row r="87" spans="1:21" x14ac:dyDescent="0.4">
      <c r="A87" t="s">
        <v>67</v>
      </c>
      <c r="B87" t="s">
        <v>69</v>
      </c>
      <c r="C87">
        <v>10</v>
      </c>
      <c r="D87" t="s">
        <v>76</v>
      </c>
      <c r="E87" t="s">
        <v>88</v>
      </c>
      <c r="F87" t="s">
        <v>72</v>
      </c>
      <c r="G87">
        <v>0.48457078579773</v>
      </c>
      <c r="H87">
        <v>2E+20</v>
      </c>
      <c r="I87">
        <v>0</v>
      </c>
      <c r="J87">
        <v>8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38.078147260668999</v>
      </c>
      <c r="U87">
        <f>IF((ContinuousStatsTable[[#This Row],[RepsRequested]]&gt;1),ContinuousStatsTable[[#This Row],[HalfWidth]],ContinuousStatsTable[[#This Row],[BatchMeansHalfWidth]])</f>
        <v>2.1115241847680202</v>
      </c>
    </row>
    <row r="88" spans="1:21" x14ac:dyDescent="0.4">
      <c r="A88" t="s">
        <v>67</v>
      </c>
      <c r="B88" t="s">
        <v>69</v>
      </c>
      <c r="C88">
        <v>10</v>
      </c>
      <c r="D88" t="s">
        <v>77</v>
      </c>
      <c r="E88" t="s">
        <v>88</v>
      </c>
      <c r="F88" t="s">
        <v>72</v>
      </c>
      <c r="G88">
        <v>5.4094688716326E-3</v>
      </c>
      <c r="H88">
        <v>2E+20</v>
      </c>
      <c r="I88">
        <v>0</v>
      </c>
      <c r="J88">
        <v>2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49.6745792704859</v>
      </c>
      <c r="U88">
        <f>IF((ContinuousStatsTable[[#This Row],[RepsRequested]]&gt;1),ContinuousStatsTable[[#This Row],[HalfWidth]],ContinuousStatsTable[[#This Row],[BatchMeansHalfWidth]])</f>
        <v>3.578413083149202</v>
      </c>
    </row>
    <row r="89" spans="1:21" x14ac:dyDescent="0.4">
      <c r="A89" t="s">
        <v>67</v>
      </c>
      <c r="B89" t="s">
        <v>69</v>
      </c>
      <c r="C89">
        <v>10</v>
      </c>
      <c r="D89" t="s">
        <v>78</v>
      </c>
      <c r="E89" t="s">
        <v>88</v>
      </c>
      <c r="F89" t="s">
        <v>72</v>
      </c>
      <c r="G89">
        <v>0.90401639692605795</v>
      </c>
      <c r="H89">
        <v>2E+20</v>
      </c>
      <c r="I89">
        <v>0</v>
      </c>
      <c r="J89">
        <v>14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51.634328282384999</v>
      </c>
      <c r="U89">
        <f>IF((ContinuousStatsTable[[#This Row],[RepsRequested]]&gt;1),ContinuousStatsTable[[#This Row],[HalfWidth]],ContinuousStatsTable[[#This Row],[BatchMeansHalfWidth]])</f>
        <v>4.2398640284824616</v>
      </c>
    </row>
    <row r="90" spans="1:21" x14ac:dyDescent="0.4">
      <c r="A90" t="s">
        <v>67</v>
      </c>
      <c r="B90" t="s">
        <v>69</v>
      </c>
      <c r="C90">
        <v>10</v>
      </c>
      <c r="D90" t="s">
        <v>79</v>
      </c>
      <c r="E90" t="s">
        <v>88</v>
      </c>
      <c r="F90" t="s">
        <v>72</v>
      </c>
      <c r="G90">
        <v>38.458352709192503</v>
      </c>
      <c r="H90">
        <v>3E+20</v>
      </c>
      <c r="I90">
        <v>0</v>
      </c>
      <c r="J90">
        <v>78</v>
      </c>
      <c r="K90">
        <v>71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42.684614626171097</v>
      </c>
      <c r="U90">
        <f>IF((ContinuousStatsTable[[#This Row],[RepsRequested]]&gt;1),ContinuousStatsTable[[#This Row],[HalfWidth]],ContinuousStatsTable[[#This Row],[BatchMeansHalfWidth]])</f>
        <v>3.4837709905544232</v>
      </c>
    </row>
    <row r="91" spans="1:21" x14ac:dyDescent="0.4">
      <c r="A91" t="s">
        <v>67</v>
      </c>
      <c r="B91" t="s">
        <v>69</v>
      </c>
      <c r="C91">
        <v>10</v>
      </c>
      <c r="D91" t="s">
        <v>80</v>
      </c>
      <c r="E91" t="s">
        <v>89</v>
      </c>
      <c r="F91" t="s">
        <v>82</v>
      </c>
      <c r="G91">
        <v>88.947059911910799</v>
      </c>
      <c r="H91">
        <v>3E+20</v>
      </c>
      <c r="I91">
        <v>0</v>
      </c>
      <c r="J91">
        <v>132</v>
      </c>
      <c r="K91">
        <v>130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60.764515331306598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102.902066283605</v>
      </c>
      <c r="U91">
        <f>IF((ContinuousStatsTable[[#This Row],[RepsRequested]]&gt;1),ContinuousStatsTable[[#This Row],[HalfWidth]],ContinuousStatsTable[[#This Row],[BatchMeansHalfWidth]])</f>
        <v>2.7368751260137634</v>
      </c>
    </row>
    <row r="92" spans="1:21" x14ac:dyDescent="0.4">
      <c r="A92" t="s">
        <v>67</v>
      </c>
      <c r="B92" t="s">
        <v>69</v>
      </c>
      <c r="C92">
        <v>11</v>
      </c>
      <c r="D92" t="s">
        <v>70</v>
      </c>
      <c r="E92" t="s">
        <v>88</v>
      </c>
      <c r="F92" t="s">
        <v>72</v>
      </c>
      <c r="G92">
        <v>0</v>
      </c>
      <c r="H92">
        <v>2E+20</v>
      </c>
      <c r="I92">
        <v>0</v>
      </c>
      <c r="J92">
        <v>0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4">
      <c r="A93" t="s">
        <v>67</v>
      </c>
      <c r="B93" t="s">
        <v>69</v>
      </c>
      <c r="C93">
        <v>11</v>
      </c>
      <c r="D93" t="s">
        <v>73</v>
      </c>
      <c r="E93" t="s">
        <v>88</v>
      </c>
      <c r="F93" t="s">
        <v>72</v>
      </c>
      <c r="G93">
        <v>0</v>
      </c>
      <c r="H93">
        <v>2E+20</v>
      </c>
      <c r="I93">
        <v>0</v>
      </c>
      <c r="J93">
        <v>0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</v>
      </c>
      <c r="U93">
        <f>IF((ContinuousStatsTable[[#This Row],[RepsRequested]]&gt;1),ContinuousStatsTable[[#This Row],[HalfWidth]],ContinuousStatsTable[[#This Row],[BatchMeansHalfWidth]])</f>
        <v>0</v>
      </c>
    </row>
    <row r="94" spans="1:21" x14ac:dyDescent="0.4">
      <c r="A94" t="s">
        <v>67</v>
      </c>
      <c r="B94" t="s">
        <v>69</v>
      </c>
      <c r="C94">
        <v>11</v>
      </c>
      <c r="D94" t="s">
        <v>74</v>
      </c>
      <c r="E94" t="s">
        <v>88</v>
      </c>
      <c r="F94" t="s">
        <v>72</v>
      </c>
      <c r="G94">
        <v>0</v>
      </c>
      <c r="H94">
        <v>2E+20</v>
      </c>
      <c r="I94">
        <v>0</v>
      </c>
      <c r="J94">
        <v>0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</v>
      </c>
      <c r="U94">
        <f>IF((ContinuousStatsTable[[#This Row],[RepsRequested]]&gt;1),ContinuousStatsTable[[#This Row],[HalfWidth]],ContinuousStatsTable[[#This Row],[BatchMeansHalfWidth]])</f>
        <v>0</v>
      </c>
    </row>
    <row r="95" spans="1:21" x14ac:dyDescent="0.4">
      <c r="A95" t="s">
        <v>67</v>
      </c>
      <c r="B95" t="s">
        <v>69</v>
      </c>
      <c r="C95">
        <v>11</v>
      </c>
      <c r="D95" t="s">
        <v>75</v>
      </c>
      <c r="E95" t="s">
        <v>88</v>
      </c>
      <c r="F95" t="s">
        <v>72</v>
      </c>
      <c r="G95">
        <v>0</v>
      </c>
      <c r="H95">
        <v>2E+20</v>
      </c>
      <c r="I95">
        <v>0</v>
      </c>
      <c r="J95">
        <v>0</v>
      </c>
      <c r="K95">
        <v>0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0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0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0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4">
      <c r="A96" t="s">
        <v>67</v>
      </c>
      <c r="B96" t="s">
        <v>69</v>
      </c>
      <c r="C96">
        <v>11</v>
      </c>
      <c r="D96" t="s">
        <v>76</v>
      </c>
      <c r="E96" t="s">
        <v>88</v>
      </c>
      <c r="F96" t="s">
        <v>72</v>
      </c>
      <c r="G96">
        <v>2.2226873604067401E-2</v>
      </c>
      <c r="H96">
        <v>2E+20</v>
      </c>
      <c r="I96">
        <v>0</v>
      </c>
      <c r="J96">
        <v>2</v>
      </c>
      <c r="K96">
        <v>1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38.078147260668999</v>
      </c>
      <c r="U96">
        <f>IF((ContinuousStatsTable[[#This Row],[RepsRequested]]&gt;1),ContinuousStatsTable[[#This Row],[HalfWidth]],ContinuousStatsTable[[#This Row],[BatchMeansHalfWidth]])</f>
        <v>2.1115241847680202</v>
      </c>
    </row>
    <row r="97" spans="1:21" x14ac:dyDescent="0.4">
      <c r="A97" t="s">
        <v>67</v>
      </c>
      <c r="B97" t="s">
        <v>69</v>
      </c>
      <c r="C97">
        <v>11</v>
      </c>
      <c r="D97" t="s">
        <v>77</v>
      </c>
      <c r="E97" t="s">
        <v>88</v>
      </c>
      <c r="F97" t="s">
        <v>72</v>
      </c>
      <c r="G97">
        <v>4.6477174807225197</v>
      </c>
      <c r="H97">
        <v>3E+20</v>
      </c>
      <c r="I97">
        <v>0</v>
      </c>
      <c r="J97">
        <v>30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49.6745792704859</v>
      </c>
      <c r="U97">
        <f>IF((ContinuousStatsTable[[#This Row],[RepsRequested]]&gt;1),ContinuousStatsTable[[#This Row],[HalfWidth]],ContinuousStatsTable[[#This Row],[BatchMeansHalfWidth]])</f>
        <v>3.578413083149202</v>
      </c>
    </row>
    <row r="98" spans="1:21" x14ac:dyDescent="0.4">
      <c r="A98" t="s">
        <v>67</v>
      </c>
      <c r="B98" t="s">
        <v>69</v>
      </c>
      <c r="C98">
        <v>11</v>
      </c>
      <c r="D98" t="s">
        <v>78</v>
      </c>
      <c r="E98" t="s">
        <v>88</v>
      </c>
      <c r="F98" t="s">
        <v>72</v>
      </c>
      <c r="G98">
        <v>48.169236331353702</v>
      </c>
      <c r="H98">
        <v>3E+20</v>
      </c>
      <c r="I98">
        <v>0</v>
      </c>
      <c r="J98">
        <v>108</v>
      </c>
      <c r="K98">
        <v>37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51.634328282384999</v>
      </c>
      <c r="U98">
        <f>IF((ContinuousStatsTable[[#This Row],[RepsRequested]]&gt;1),ContinuousStatsTable[[#This Row],[HalfWidth]],ContinuousStatsTable[[#This Row],[BatchMeansHalfWidth]])</f>
        <v>4.2398640284824616</v>
      </c>
    </row>
    <row r="99" spans="1:21" x14ac:dyDescent="0.4">
      <c r="A99" t="s">
        <v>67</v>
      </c>
      <c r="B99" t="s">
        <v>69</v>
      </c>
      <c r="C99">
        <v>11</v>
      </c>
      <c r="D99" t="s">
        <v>79</v>
      </c>
      <c r="E99" t="s">
        <v>88</v>
      </c>
      <c r="F99" t="s">
        <v>72</v>
      </c>
      <c r="G99">
        <v>3.8353650252068699E-3</v>
      </c>
      <c r="H99">
        <v>2E+20</v>
      </c>
      <c r="I99">
        <v>0</v>
      </c>
      <c r="J99">
        <v>1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42.684614626171097</v>
      </c>
      <c r="U99">
        <f>IF((ContinuousStatsTable[[#This Row],[RepsRequested]]&gt;1),ContinuousStatsTable[[#This Row],[HalfWidth]],ContinuousStatsTable[[#This Row],[BatchMeansHalfWidth]])</f>
        <v>3.4837709905544232</v>
      </c>
    </row>
    <row r="100" spans="1:21" x14ac:dyDescent="0.4">
      <c r="A100" t="s">
        <v>67</v>
      </c>
      <c r="B100" t="s">
        <v>69</v>
      </c>
      <c r="C100">
        <v>11</v>
      </c>
      <c r="D100" t="s">
        <v>80</v>
      </c>
      <c r="E100" t="s">
        <v>89</v>
      </c>
      <c r="F100" t="s">
        <v>82</v>
      </c>
      <c r="G100">
        <v>102.902066283605</v>
      </c>
      <c r="H100">
        <v>3E+20</v>
      </c>
      <c r="I100">
        <v>0</v>
      </c>
      <c r="J100">
        <v>160</v>
      </c>
      <c r="K100">
        <v>100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60.764515331306598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102.902066283605</v>
      </c>
      <c r="U100">
        <f>IF((ContinuousStatsTable[[#This Row],[RepsRequested]]&gt;1),ContinuousStatsTable[[#This Row],[HalfWidth]],ContinuousStatsTable[[#This Row],[BatchMeansHalfWidth]])</f>
        <v>2.7368751260137634</v>
      </c>
    </row>
    <row r="101" spans="1:21" x14ac:dyDescent="0.4">
      <c r="A101" t="s">
        <v>67</v>
      </c>
      <c r="B101" t="s">
        <v>69</v>
      </c>
      <c r="C101">
        <v>12</v>
      </c>
      <c r="D101" t="s">
        <v>70</v>
      </c>
      <c r="E101" t="s">
        <v>88</v>
      </c>
      <c r="F101" t="s">
        <v>72</v>
      </c>
      <c r="G101">
        <v>0</v>
      </c>
      <c r="H101">
        <v>2E+20</v>
      </c>
      <c r="I101">
        <v>0</v>
      </c>
      <c r="J101">
        <v>0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4">
      <c r="A102" t="s">
        <v>67</v>
      </c>
      <c r="B102" t="s">
        <v>69</v>
      </c>
      <c r="C102">
        <v>12</v>
      </c>
      <c r="D102" t="s">
        <v>73</v>
      </c>
      <c r="E102" t="s">
        <v>88</v>
      </c>
      <c r="F102" t="s">
        <v>72</v>
      </c>
      <c r="G102">
        <v>0</v>
      </c>
      <c r="H102">
        <v>2E+20</v>
      </c>
      <c r="I102">
        <v>0</v>
      </c>
      <c r="J102">
        <v>0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0</v>
      </c>
      <c r="U102">
        <f>IF((ContinuousStatsTable[[#This Row],[RepsRequested]]&gt;1),ContinuousStatsTable[[#This Row],[HalfWidth]],ContinuousStatsTable[[#This Row],[BatchMeansHalfWidth]])</f>
        <v>0</v>
      </c>
    </row>
    <row r="103" spans="1:21" x14ac:dyDescent="0.4">
      <c r="A103" t="s">
        <v>67</v>
      </c>
      <c r="B103" t="s">
        <v>69</v>
      </c>
      <c r="C103">
        <v>12</v>
      </c>
      <c r="D103" t="s">
        <v>74</v>
      </c>
      <c r="E103" t="s">
        <v>88</v>
      </c>
      <c r="F103" t="s">
        <v>72</v>
      </c>
      <c r="G103">
        <v>0</v>
      </c>
      <c r="H103">
        <v>2E+20</v>
      </c>
      <c r="I103">
        <v>0</v>
      </c>
      <c r="J103">
        <v>0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</v>
      </c>
      <c r="U103">
        <f>IF((ContinuousStatsTable[[#This Row],[RepsRequested]]&gt;1),ContinuousStatsTable[[#This Row],[HalfWidth]],ContinuousStatsTable[[#This Row],[BatchMeansHalfWidth]])</f>
        <v>0</v>
      </c>
    </row>
    <row r="104" spans="1:21" x14ac:dyDescent="0.4">
      <c r="A104" t="s">
        <v>67</v>
      </c>
      <c r="B104" t="s">
        <v>69</v>
      </c>
      <c r="C104">
        <v>12</v>
      </c>
      <c r="D104" t="s">
        <v>75</v>
      </c>
      <c r="E104" t="s">
        <v>88</v>
      </c>
      <c r="F104" t="s">
        <v>72</v>
      </c>
      <c r="G104">
        <v>0</v>
      </c>
      <c r="H104">
        <v>2E+20</v>
      </c>
      <c r="I104">
        <v>0</v>
      </c>
      <c r="J104">
        <v>0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</v>
      </c>
      <c r="U104">
        <f>IF((ContinuousStatsTable[[#This Row],[RepsRequested]]&gt;1),ContinuousStatsTable[[#This Row],[HalfWidth]],ContinuousStatsTable[[#This Row],[BatchMeansHalfWidth]])</f>
        <v>0</v>
      </c>
    </row>
    <row r="105" spans="1:21" x14ac:dyDescent="0.4">
      <c r="A105" t="s">
        <v>67</v>
      </c>
      <c r="B105" t="s">
        <v>69</v>
      </c>
      <c r="C105">
        <v>12</v>
      </c>
      <c r="D105" t="s">
        <v>76</v>
      </c>
      <c r="E105" t="s">
        <v>88</v>
      </c>
      <c r="F105" t="s">
        <v>72</v>
      </c>
      <c r="G105">
        <v>3.7671591737515102E-2</v>
      </c>
      <c r="H105">
        <v>2E+20</v>
      </c>
      <c r="I105">
        <v>0</v>
      </c>
      <c r="J105">
        <v>3</v>
      </c>
      <c r="K105">
        <v>0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38.078147260668999</v>
      </c>
      <c r="U105">
        <f>IF((ContinuousStatsTable[[#This Row],[RepsRequested]]&gt;1),ContinuousStatsTable[[#This Row],[HalfWidth]],ContinuousStatsTable[[#This Row],[BatchMeansHalfWidth]])</f>
        <v>2.1115241847680202</v>
      </c>
    </row>
    <row r="106" spans="1:21" x14ac:dyDescent="0.4">
      <c r="A106" t="s">
        <v>67</v>
      </c>
      <c r="B106" t="s">
        <v>69</v>
      </c>
      <c r="C106">
        <v>12</v>
      </c>
      <c r="D106" t="s">
        <v>77</v>
      </c>
      <c r="E106" t="s">
        <v>88</v>
      </c>
      <c r="F106" t="s">
        <v>72</v>
      </c>
      <c r="G106">
        <v>5.0120160108245502</v>
      </c>
      <c r="H106">
        <v>3E+20</v>
      </c>
      <c r="I106">
        <v>0</v>
      </c>
      <c r="J106">
        <v>26</v>
      </c>
      <c r="K106">
        <v>10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49.6745792704859</v>
      </c>
      <c r="U106">
        <f>IF((ContinuousStatsTable[[#This Row],[RepsRequested]]&gt;1),ContinuousStatsTable[[#This Row],[HalfWidth]],ContinuousStatsTable[[#This Row],[BatchMeansHalfWidth]])</f>
        <v>3.578413083149202</v>
      </c>
    </row>
    <row r="107" spans="1:21" x14ac:dyDescent="0.4">
      <c r="A107" t="s">
        <v>67</v>
      </c>
      <c r="B107" t="s">
        <v>69</v>
      </c>
      <c r="C107">
        <v>12</v>
      </c>
      <c r="D107" t="s">
        <v>78</v>
      </c>
      <c r="E107" t="s">
        <v>88</v>
      </c>
      <c r="F107" t="s">
        <v>72</v>
      </c>
      <c r="G107">
        <v>51.0481247657642</v>
      </c>
      <c r="H107">
        <v>3E+20</v>
      </c>
      <c r="I107">
        <v>0</v>
      </c>
      <c r="J107">
        <v>93</v>
      </c>
      <c r="K107">
        <v>84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51.634328282384999</v>
      </c>
      <c r="U107">
        <f>IF((ContinuousStatsTable[[#This Row],[RepsRequested]]&gt;1),ContinuousStatsTable[[#This Row],[HalfWidth]],ContinuousStatsTable[[#This Row],[BatchMeansHalfWidth]])</f>
        <v>4.2398640284824616</v>
      </c>
    </row>
    <row r="108" spans="1:21" x14ac:dyDescent="0.4">
      <c r="A108" t="s">
        <v>67</v>
      </c>
      <c r="B108" t="s">
        <v>69</v>
      </c>
      <c r="C108">
        <v>12</v>
      </c>
      <c r="D108" t="s">
        <v>79</v>
      </c>
      <c r="E108" t="s">
        <v>88</v>
      </c>
      <c r="F108" t="s">
        <v>72</v>
      </c>
      <c r="G108">
        <v>3.03039520139244E-3</v>
      </c>
      <c r="H108">
        <v>2E+20</v>
      </c>
      <c r="I108">
        <v>0</v>
      </c>
      <c r="J108">
        <v>1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42.684614626171097</v>
      </c>
      <c r="U108">
        <f>IF((ContinuousStatsTable[[#This Row],[RepsRequested]]&gt;1),ContinuousStatsTable[[#This Row],[HalfWidth]],ContinuousStatsTable[[#This Row],[BatchMeansHalfWidth]])</f>
        <v>3.4837709905544232</v>
      </c>
    </row>
    <row r="109" spans="1:21" x14ac:dyDescent="0.4">
      <c r="A109" t="s">
        <v>67</v>
      </c>
      <c r="B109" t="s">
        <v>69</v>
      </c>
      <c r="C109">
        <v>12</v>
      </c>
      <c r="D109" t="s">
        <v>80</v>
      </c>
      <c r="E109" t="s">
        <v>89</v>
      </c>
      <c r="F109" t="s">
        <v>82</v>
      </c>
      <c r="G109">
        <v>101.621404501173</v>
      </c>
      <c r="H109">
        <v>3E+20</v>
      </c>
      <c r="I109">
        <v>0</v>
      </c>
      <c r="J109">
        <v>152</v>
      </c>
      <c r="K109">
        <v>152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60.764515331306598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102.902066283605</v>
      </c>
      <c r="U109">
        <f>IF((ContinuousStatsTable[[#This Row],[RepsRequested]]&gt;1),ContinuousStatsTable[[#This Row],[HalfWidth]],ContinuousStatsTable[[#This Row],[BatchMeansHalfWidth]])</f>
        <v>2.7368751260137634</v>
      </c>
    </row>
    <row r="110" spans="1:21" x14ac:dyDescent="0.4">
      <c r="A110" t="s">
        <v>67</v>
      </c>
      <c r="B110" t="s">
        <v>69</v>
      </c>
      <c r="C110">
        <v>13</v>
      </c>
      <c r="D110" t="s">
        <v>70</v>
      </c>
      <c r="E110" t="s">
        <v>88</v>
      </c>
      <c r="F110" t="s">
        <v>72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4">
      <c r="A111" t="s">
        <v>67</v>
      </c>
      <c r="B111" t="s">
        <v>69</v>
      </c>
      <c r="C111">
        <v>13</v>
      </c>
      <c r="D111" t="s">
        <v>73</v>
      </c>
      <c r="E111" t="s">
        <v>88</v>
      </c>
      <c r="F111" t="s">
        <v>72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4">
      <c r="A112" t="s">
        <v>67</v>
      </c>
      <c r="B112" t="s">
        <v>69</v>
      </c>
      <c r="C112">
        <v>13</v>
      </c>
      <c r="D112" t="s">
        <v>74</v>
      </c>
      <c r="E112" t="s">
        <v>88</v>
      </c>
      <c r="F112" t="s">
        <v>72</v>
      </c>
      <c r="G112">
        <v>0</v>
      </c>
      <c r="H112">
        <v>2E+20</v>
      </c>
      <c r="I112">
        <v>0</v>
      </c>
      <c r="J112">
        <v>0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>
        <f>IF((ContinuousStatsTable[[#This Row],[RepsRequested]]&gt;1),ContinuousStatsTable[[#This Row],[HalfWidth]],ContinuousStatsTable[[#This Row],[BatchMeansHalfWidth]])</f>
        <v>0</v>
      </c>
    </row>
    <row r="113" spans="1:21" x14ac:dyDescent="0.4">
      <c r="A113" t="s">
        <v>67</v>
      </c>
      <c r="B113" t="s">
        <v>69</v>
      </c>
      <c r="C113">
        <v>13</v>
      </c>
      <c r="D113" t="s">
        <v>75</v>
      </c>
      <c r="E113" t="s">
        <v>88</v>
      </c>
      <c r="F113" t="s">
        <v>72</v>
      </c>
      <c r="G113">
        <v>0</v>
      </c>
      <c r="H113">
        <v>2E+20</v>
      </c>
      <c r="I113">
        <v>0</v>
      </c>
      <c r="J113">
        <v>0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>
        <f>IF((ContinuousStatsTable[[#This Row],[RepsRequested]]&gt;1),ContinuousStatsTable[[#This Row],[HalfWidth]],ContinuousStatsTable[[#This Row],[BatchMeansHalfWidth]])</f>
        <v>0</v>
      </c>
    </row>
    <row r="114" spans="1:21" x14ac:dyDescent="0.4">
      <c r="A114" t="s">
        <v>67</v>
      </c>
      <c r="B114" t="s">
        <v>69</v>
      </c>
      <c r="C114">
        <v>13</v>
      </c>
      <c r="D114" t="s">
        <v>76</v>
      </c>
      <c r="E114" t="s">
        <v>88</v>
      </c>
      <c r="F114" t="s">
        <v>72</v>
      </c>
      <c r="G114">
        <v>9.8556691624667701E-3</v>
      </c>
      <c r="H114">
        <v>2E+20</v>
      </c>
      <c r="I114">
        <v>0</v>
      </c>
      <c r="J114">
        <v>1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38.078147260668999</v>
      </c>
      <c r="U114">
        <f>IF((ContinuousStatsTable[[#This Row],[RepsRequested]]&gt;1),ContinuousStatsTable[[#This Row],[HalfWidth]],ContinuousStatsTable[[#This Row],[BatchMeansHalfWidth]])</f>
        <v>2.1115241847680202</v>
      </c>
    </row>
    <row r="115" spans="1:21" x14ac:dyDescent="0.4">
      <c r="A115" t="s">
        <v>67</v>
      </c>
      <c r="B115" t="s">
        <v>69</v>
      </c>
      <c r="C115">
        <v>13</v>
      </c>
      <c r="D115" t="s">
        <v>77</v>
      </c>
      <c r="E115" t="s">
        <v>88</v>
      </c>
      <c r="F115" t="s">
        <v>72</v>
      </c>
      <c r="G115">
        <v>22.4444787780869</v>
      </c>
      <c r="H115">
        <v>3E+20</v>
      </c>
      <c r="I115">
        <v>0</v>
      </c>
      <c r="J115">
        <v>65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49.6745792704859</v>
      </c>
      <c r="U115">
        <f>IF((ContinuousStatsTable[[#This Row],[RepsRequested]]&gt;1),ContinuousStatsTable[[#This Row],[HalfWidth]],ContinuousStatsTable[[#This Row],[BatchMeansHalfWidth]])</f>
        <v>3.578413083149202</v>
      </c>
    </row>
    <row r="116" spans="1:21" x14ac:dyDescent="0.4">
      <c r="A116" t="s">
        <v>67</v>
      </c>
      <c r="B116" t="s">
        <v>69</v>
      </c>
      <c r="C116">
        <v>13</v>
      </c>
      <c r="D116" t="s">
        <v>78</v>
      </c>
      <c r="E116" t="s">
        <v>88</v>
      </c>
      <c r="F116" t="s">
        <v>72</v>
      </c>
      <c r="G116">
        <v>19.930093591731598</v>
      </c>
      <c r="H116">
        <v>3E+20</v>
      </c>
      <c r="I116">
        <v>0</v>
      </c>
      <c r="J116">
        <v>85</v>
      </c>
      <c r="K116">
        <v>69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51.634328282384999</v>
      </c>
      <c r="U116">
        <f>IF((ContinuousStatsTable[[#This Row],[RepsRequested]]&gt;1),ContinuousStatsTable[[#This Row],[HalfWidth]],ContinuousStatsTable[[#This Row],[BatchMeansHalfWidth]])</f>
        <v>4.2398640284824616</v>
      </c>
    </row>
    <row r="117" spans="1:21" x14ac:dyDescent="0.4">
      <c r="A117" t="s">
        <v>67</v>
      </c>
      <c r="B117" t="s">
        <v>69</v>
      </c>
      <c r="C117">
        <v>13</v>
      </c>
      <c r="D117" t="s">
        <v>79</v>
      </c>
      <c r="E117" t="s">
        <v>88</v>
      </c>
      <c r="F117" t="s">
        <v>72</v>
      </c>
      <c r="G117">
        <v>8.6330665250379198E-4</v>
      </c>
      <c r="H117">
        <v>2E+20</v>
      </c>
      <c r="I117">
        <v>0</v>
      </c>
      <c r="J117">
        <v>1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42.684614626171097</v>
      </c>
      <c r="U117">
        <f>IF((ContinuousStatsTable[[#This Row],[RepsRequested]]&gt;1),ContinuousStatsTable[[#This Row],[HalfWidth]],ContinuousStatsTable[[#This Row],[BatchMeansHalfWidth]])</f>
        <v>3.4837709905544232</v>
      </c>
    </row>
    <row r="118" spans="1:21" x14ac:dyDescent="0.4">
      <c r="A118" t="s">
        <v>67</v>
      </c>
      <c r="B118" t="s">
        <v>69</v>
      </c>
      <c r="C118">
        <v>13</v>
      </c>
      <c r="D118" t="s">
        <v>80</v>
      </c>
      <c r="E118" t="s">
        <v>89</v>
      </c>
      <c r="F118" t="s">
        <v>82</v>
      </c>
      <c r="G118">
        <v>90.365995287979203</v>
      </c>
      <c r="H118">
        <v>3E+20</v>
      </c>
      <c r="I118">
        <v>0</v>
      </c>
      <c r="J118">
        <v>136</v>
      </c>
      <c r="K118">
        <v>106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60.764515331306598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102.902066283605</v>
      </c>
      <c r="U118">
        <f>IF((ContinuousStatsTable[[#This Row],[RepsRequested]]&gt;1),ContinuousStatsTable[[#This Row],[HalfWidth]],ContinuousStatsTable[[#This Row],[BatchMeansHalfWidth]])</f>
        <v>2.7368751260137634</v>
      </c>
    </row>
    <row r="119" spans="1:21" x14ac:dyDescent="0.4">
      <c r="A119" t="s">
        <v>67</v>
      </c>
      <c r="B119" t="s">
        <v>69</v>
      </c>
      <c r="C119">
        <v>14</v>
      </c>
      <c r="D119" t="s">
        <v>70</v>
      </c>
      <c r="E119" t="s">
        <v>88</v>
      </c>
      <c r="F119" t="s">
        <v>72</v>
      </c>
      <c r="G119">
        <v>0</v>
      </c>
      <c r="H119">
        <v>2E+20</v>
      </c>
      <c r="I119">
        <v>0</v>
      </c>
      <c r="J119">
        <v>0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</v>
      </c>
      <c r="U119">
        <f>IF((ContinuousStatsTable[[#This Row],[RepsRequested]]&gt;1),ContinuousStatsTable[[#This Row],[HalfWidth]],ContinuousStatsTable[[#This Row],[BatchMeansHalfWidth]])</f>
        <v>0</v>
      </c>
    </row>
    <row r="120" spans="1:21" x14ac:dyDescent="0.4">
      <c r="A120" t="s">
        <v>67</v>
      </c>
      <c r="B120" t="s">
        <v>69</v>
      </c>
      <c r="C120">
        <v>14</v>
      </c>
      <c r="D120" t="s">
        <v>73</v>
      </c>
      <c r="E120" t="s">
        <v>88</v>
      </c>
      <c r="F120" t="s">
        <v>72</v>
      </c>
      <c r="G120">
        <v>0</v>
      </c>
      <c r="H120">
        <v>2E+20</v>
      </c>
      <c r="I120">
        <v>0</v>
      </c>
      <c r="J120">
        <v>0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4">
      <c r="A121" t="s">
        <v>67</v>
      </c>
      <c r="B121" t="s">
        <v>69</v>
      </c>
      <c r="C121">
        <v>14</v>
      </c>
      <c r="D121" t="s">
        <v>74</v>
      </c>
      <c r="E121" t="s">
        <v>88</v>
      </c>
      <c r="F121" t="s">
        <v>72</v>
      </c>
      <c r="G121">
        <v>0</v>
      </c>
      <c r="H121">
        <v>2E+20</v>
      </c>
      <c r="I121">
        <v>0</v>
      </c>
      <c r="J121">
        <v>0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4">
      <c r="A122" t="s">
        <v>67</v>
      </c>
      <c r="B122" t="s">
        <v>69</v>
      </c>
      <c r="C122">
        <v>14</v>
      </c>
      <c r="D122" t="s">
        <v>75</v>
      </c>
      <c r="E122" t="s">
        <v>88</v>
      </c>
      <c r="F122" t="s">
        <v>72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>
        <f>IF((ContinuousStatsTable[[#This Row],[RepsRequested]]&gt;1),ContinuousStatsTable[[#This Row],[HalfWidth]],ContinuousStatsTable[[#This Row],[BatchMeansHalfWidth]])</f>
        <v>0</v>
      </c>
    </row>
    <row r="123" spans="1:21" x14ac:dyDescent="0.4">
      <c r="A123" t="s">
        <v>67</v>
      </c>
      <c r="B123" t="s">
        <v>69</v>
      </c>
      <c r="C123">
        <v>14</v>
      </c>
      <c r="D123" t="s">
        <v>76</v>
      </c>
      <c r="E123" t="s">
        <v>88</v>
      </c>
      <c r="F123" t="s">
        <v>72</v>
      </c>
      <c r="G123">
        <v>2.78444130777787</v>
      </c>
      <c r="H123">
        <v>3E+20</v>
      </c>
      <c r="I123">
        <v>0</v>
      </c>
      <c r="J123">
        <v>23</v>
      </c>
      <c r="K123">
        <v>12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38.078147260668999</v>
      </c>
      <c r="U123">
        <f>IF((ContinuousStatsTable[[#This Row],[RepsRequested]]&gt;1),ContinuousStatsTable[[#This Row],[HalfWidth]],ContinuousStatsTable[[#This Row],[BatchMeansHalfWidth]])</f>
        <v>2.1115241847680202</v>
      </c>
    </row>
    <row r="124" spans="1:21" x14ac:dyDescent="0.4">
      <c r="A124" t="s">
        <v>67</v>
      </c>
      <c r="B124" t="s">
        <v>69</v>
      </c>
      <c r="C124">
        <v>14</v>
      </c>
      <c r="D124" t="s">
        <v>77</v>
      </c>
      <c r="E124" t="s">
        <v>88</v>
      </c>
      <c r="F124" t="s">
        <v>72</v>
      </c>
      <c r="G124">
        <v>22.6631063741142</v>
      </c>
      <c r="H124">
        <v>3E+20</v>
      </c>
      <c r="I124">
        <v>0</v>
      </c>
      <c r="J124">
        <v>56</v>
      </c>
      <c r="K124">
        <v>32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49.6745792704859</v>
      </c>
      <c r="U124">
        <f>IF((ContinuousStatsTable[[#This Row],[RepsRequested]]&gt;1),ContinuousStatsTable[[#This Row],[HalfWidth]],ContinuousStatsTable[[#This Row],[BatchMeansHalfWidth]])</f>
        <v>3.578413083149202</v>
      </c>
    </row>
    <row r="125" spans="1:21" x14ac:dyDescent="0.4">
      <c r="A125" t="s">
        <v>67</v>
      </c>
      <c r="B125" t="s">
        <v>69</v>
      </c>
      <c r="C125">
        <v>14</v>
      </c>
      <c r="D125" t="s">
        <v>78</v>
      </c>
      <c r="E125" t="s">
        <v>88</v>
      </c>
      <c r="F125" t="s">
        <v>72</v>
      </c>
      <c r="G125">
        <v>1.0396675352640099</v>
      </c>
      <c r="H125">
        <v>2E+20</v>
      </c>
      <c r="I125">
        <v>0</v>
      </c>
      <c r="J125">
        <v>18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51.634328282384999</v>
      </c>
      <c r="U125">
        <f>IF((ContinuousStatsTable[[#This Row],[RepsRequested]]&gt;1),ContinuousStatsTable[[#This Row],[HalfWidth]],ContinuousStatsTable[[#This Row],[BatchMeansHalfWidth]])</f>
        <v>4.2398640284824616</v>
      </c>
    </row>
    <row r="126" spans="1:21" x14ac:dyDescent="0.4">
      <c r="A126" t="s">
        <v>67</v>
      </c>
      <c r="B126" t="s">
        <v>69</v>
      </c>
      <c r="C126">
        <v>14</v>
      </c>
      <c r="D126" t="s">
        <v>79</v>
      </c>
      <c r="E126" t="s">
        <v>88</v>
      </c>
      <c r="F126" t="s">
        <v>72</v>
      </c>
      <c r="G126">
        <v>1.0511629151356099E-2</v>
      </c>
      <c r="H126">
        <v>2E+20</v>
      </c>
      <c r="I126">
        <v>0</v>
      </c>
      <c r="J126">
        <v>3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42.684614626171097</v>
      </c>
      <c r="U126">
        <f>IF((ContinuousStatsTable[[#This Row],[RepsRequested]]&gt;1),ContinuousStatsTable[[#This Row],[HalfWidth]],ContinuousStatsTable[[#This Row],[BatchMeansHalfWidth]])</f>
        <v>3.4837709905544232</v>
      </c>
    </row>
    <row r="127" spans="1:21" x14ac:dyDescent="0.4">
      <c r="A127" t="s">
        <v>67</v>
      </c>
      <c r="B127" t="s">
        <v>69</v>
      </c>
      <c r="C127">
        <v>14</v>
      </c>
      <c r="D127" t="s">
        <v>80</v>
      </c>
      <c r="E127" t="s">
        <v>89</v>
      </c>
      <c r="F127" t="s">
        <v>82</v>
      </c>
      <c r="G127">
        <v>72.399502264156098</v>
      </c>
      <c r="H127">
        <v>3E+20</v>
      </c>
      <c r="I127">
        <v>0</v>
      </c>
      <c r="J127">
        <v>119</v>
      </c>
      <c r="K127">
        <v>88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60.764515331306598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102.902066283605</v>
      </c>
      <c r="U127">
        <f>IF((ContinuousStatsTable[[#This Row],[RepsRequested]]&gt;1),ContinuousStatsTable[[#This Row],[HalfWidth]],ContinuousStatsTable[[#This Row],[BatchMeansHalfWidth]])</f>
        <v>2.7368751260137634</v>
      </c>
    </row>
    <row r="128" spans="1:21" x14ac:dyDescent="0.4">
      <c r="A128" t="s">
        <v>67</v>
      </c>
      <c r="B128" t="s">
        <v>69</v>
      </c>
      <c r="C128">
        <v>15</v>
      </c>
      <c r="D128" t="s">
        <v>70</v>
      </c>
      <c r="E128" t="s">
        <v>88</v>
      </c>
      <c r="F128" t="s">
        <v>72</v>
      </c>
      <c r="G128">
        <v>0</v>
      </c>
      <c r="H128">
        <v>2E+20</v>
      </c>
      <c r="I128">
        <v>0</v>
      </c>
      <c r="J128">
        <v>0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</v>
      </c>
      <c r="U128">
        <f>IF((ContinuousStatsTable[[#This Row],[RepsRequested]]&gt;1),ContinuousStatsTable[[#This Row],[HalfWidth]],ContinuousStatsTable[[#This Row],[BatchMeansHalfWidth]])</f>
        <v>0</v>
      </c>
    </row>
    <row r="129" spans="1:21" x14ac:dyDescent="0.4">
      <c r="A129" t="s">
        <v>67</v>
      </c>
      <c r="B129" t="s">
        <v>69</v>
      </c>
      <c r="C129">
        <v>15</v>
      </c>
      <c r="D129" t="s">
        <v>73</v>
      </c>
      <c r="E129" t="s">
        <v>88</v>
      </c>
      <c r="F129" t="s">
        <v>72</v>
      </c>
      <c r="G129">
        <v>0</v>
      </c>
      <c r="H129">
        <v>2E+20</v>
      </c>
      <c r="I129">
        <v>0</v>
      </c>
      <c r="J129">
        <v>0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</v>
      </c>
      <c r="U129">
        <f>IF((ContinuousStatsTable[[#This Row],[RepsRequested]]&gt;1),ContinuousStatsTable[[#This Row],[HalfWidth]],ContinuousStatsTable[[#This Row],[BatchMeansHalfWidth]])</f>
        <v>0</v>
      </c>
    </row>
    <row r="130" spans="1:21" x14ac:dyDescent="0.4">
      <c r="A130" t="s">
        <v>67</v>
      </c>
      <c r="B130" t="s">
        <v>69</v>
      </c>
      <c r="C130">
        <v>15</v>
      </c>
      <c r="D130" t="s">
        <v>74</v>
      </c>
      <c r="E130" t="s">
        <v>88</v>
      </c>
      <c r="F130" t="s">
        <v>72</v>
      </c>
      <c r="G130">
        <v>0</v>
      </c>
      <c r="H130">
        <v>2E+20</v>
      </c>
      <c r="I130">
        <v>0</v>
      </c>
      <c r="J130">
        <v>0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4">
      <c r="A131" t="s">
        <v>67</v>
      </c>
      <c r="B131" t="s">
        <v>69</v>
      </c>
      <c r="C131">
        <v>15</v>
      </c>
      <c r="D131" t="s">
        <v>75</v>
      </c>
      <c r="E131" t="s">
        <v>88</v>
      </c>
      <c r="F131" t="s">
        <v>72</v>
      </c>
      <c r="G131">
        <v>0</v>
      </c>
      <c r="H131">
        <v>2E+20</v>
      </c>
      <c r="I131">
        <v>0</v>
      </c>
      <c r="J131">
        <v>0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</v>
      </c>
      <c r="U131">
        <f>IF((ContinuousStatsTable[[#This Row],[RepsRequested]]&gt;1),ContinuousStatsTable[[#This Row],[HalfWidth]],ContinuousStatsTable[[#This Row],[BatchMeansHalfWidth]])</f>
        <v>0</v>
      </c>
    </row>
    <row r="132" spans="1:21" x14ac:dyDescent="0.4">
      <c r="A132" t="s">
        <v>67</v>
      </c>
      <c r="B132" t="s">
        <v>69</v>
      </c>
      <c r="C132">
        <v>15</v>
      </c>
      <c r="D132" t="s">
        <v>76</v>
      </c>
      <c r="E132" t="s">
        <v>88</v>
      </c>
      <c r="F132" t="s">
        <v>72</v>
      </c>
      <c r="G132">
        <v>0.171802613095933</v>
      </c>
      <c r="H132">
        <v>2E+20</v>
      </c>
      <c r="I132">
        <v>0</v>
      </c>
      <c r="J132">
        <v>7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38.078147260668999</v>
      </c>
      <c r="U132">
        <f>IF((ContinuousStatsTable[[#This Row],[RepsRequested]]&gt;1),ContinuousStatsTable[[#This Row],[HalfWidth]],ContinuousStatsTable[[#This Row],[BatchMeansHalfWidth]])</f>
        <v>2.1115241847680202</v>
      </c>
    </row>
    <row r="133" spans="1:21" x14ac:dyDescent="0.4">
      <c r="A133" t="s">
        <v>67</v>
      </c>
      <c r="B133" t="s">
        <v>69</v>
      </c>
      <c r="C133">
        <v>15</v>
      </c>
      <c r="D133" t="s">
        <v>77</v>
      </c>
      <c r="E133" t="s">
        <v>88</v>
      </c>
      <c r="F133" t="s">
        <v>72</v>
      </c>
      <c r="G133">
        <v>0.72969697770231001</v>
      </c>
      <c r="H133">
        <v>2E+20</v>
      </c>
      <c r="I133">
        <v>0</v>
      </c>
      <c r="J133">
        <v>9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49.6745792704859</v>
      </c>
      <c r="U133">
        <f>IF((ContinuousStatsTable[[#This Row],[RepsRequested]]&gt;1),ContinuousStatsTable[[#This Row],[HalfWidth]],ContinuousStatsTable[[#This Row],[BatchMeansHalfWidth]])</f>
        <v>3.578413083149202</v>
      </c>
    </row>
    <row r="134" spans="1:21" x14ac:dyDescent="0.4">
      <c r="A134" t="s">
        <v>67</v>
      </c>
      <c r="B134" t="s">
        <v>69</v>
      </c>
      <c r="C134">
        <v>15</v>
      </c>
      <c r="D134" t="s">
        <v>78</v>
      </c>
      <c r="E134" t="s">
        <v>88</v>
      </c>
      <c r="F134" t="s">
        <v>72</v>
      </c>
      <c r="G134">
        <v>10.851131494364401</v>
      </c>
      <c r="H134">
        <v>3E+20</v>
      </c>
      <c r="I134">
        <v>0</v>
      </c>
      <c r="J134">
        <v>31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51.634328282384999</v>
      </c>
      <c r="U134">
        <f>IF((ContinuousStatsTable[[#This Row],[RepsRequested]]&gt;1),ContinuousStatsTable[[#This Row],[HalfWidth]],ContinuousStatsTable[[#This Row],[BatchMeansHalfWidth]])</f>
        <v>4.2398640284824616</v>
      </c>
    </row>
    <row r="135" spans="1:21" x14ac:dyDescent="0.4">
      <c r="A135" t="s">
        <v>67</v>
      </c>
      <c r="B135" t="s">
        <v>69</v>
      </c>
      <c r="C135">
        <v>15</v>
      </c>
      <c r="D135" t="s">
        <v>79</v>
      </c>
      <c r="E135" t="s">
        <v>88</v>
      </c>
      <c r="F135" t="s">
        <v>72</v>
      </c>
      <c r="G135">
        <v>0.79888954860030104</v>
      </c>
      <c r="H135">
        <v>2E+20</v>
      </c>
      <c r="I135">
        <v>0</v>
      </c>
      <c r="J135">
        <v>10</v>
      </c>
      <c r="K135">
        <v>8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42.684614626171097</v>
      </c>
      <c r="U135">
        <f>IF((ContinuousStatsTable[[#This Row],[RepsRequested]]&gt;1),ContinuousStatsTable[[#This Row],[HalfWidth]],ContinuousStatsTable[[#This Row],[BatchMeansHalfWidth]])</f>
        <v>3.4837709905544232</v>
      </c>
    </row>
    <row r="136" spans="1:21" x14ac:dyDescent="0.4">
      <c r="A136" t="s">
        <v>67</v>
      </c>
      <c r="B136" t="s">
        <v>69</v>
      </c>
      <c r="C136">
        <v>15</v>
      </c>
      <c r="D136" t="s">
        <v>80</v>
      </c>
      <c r="E136" t="s">
        <v>89</v>
      </c>
      <c r="F136" t="s">
        <v>82</v>
      </c>
      <c r="G136">
        <v>60.764515331306598</v>
      </c>
      <c r="H136">
        <v>3E+20</v>
      </c>
      <c r="I136">
        <v>0</v>
      </c>
      <c r="J136">
        <v>83</v>
      </c>
      <c r="K136">
        <v>55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60.764515331306598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102.902066283605</v>
      </c>
      <c r="U136">
        <f>IF((ContinuousStatsTable[[#This Row],[RepsRequested]]&gt;1),ContinuousStatsTable[[#This Row],[HalfWidth]],ContinuousStatsTable[[#This Row],[BatchMeansHalfWidth]])</f>
        <v>2.7368751260137634</v>
      </c>
    </row>
    <row r="137" spans="1:21" x14ac:dyDescent="0.4">
      <c r="A137" t="s">
        <v>67</v>
      </c>
      <c r="B137" t="s">
        <v>69</v>
      </c>
      <c r="C137">
        <v>16</v>
      </c>
      <c r="D137" t="s">
        <v>70</v>
      </c>
      <c r="E137" t="s">
        <v>88</v>
      </c>
      <c r="F137" t="s">
        <v>72</v>
      </c>
      <c r="G137">
        <v>0</v>
      </c>
      <c r="H137">
        <v>2E+20</v>
      </c>
      <c r="I137">
        <v>0</v>
      </c>
      <c r="J137">
        <v>0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</v>
      </c>
      <c r="U137">
        <f>IF((ContinuousStatsTable[[#This Row],[RepsRequested]]&gt;1),ContinuousStatsTable[[#This Row],[HalfWidth]],ContinuousStatsTable[[#This Row],[BatchMeansHalfWidth]])</f>
        <v>0</v>
      </c>
    </row>
    <row r="138" spans="1:21" x14ac:dyDescent="0.4">
      <c r="A138" t="s">
        <v>67</v>
      </c>
      <c r="B138" t="s">
        <v>69</v>
      </c>
      <c r="C138">
        <v>16</v>
      </c>
      <c r="D138" t="s">
        <v>73</v>
      </c>
      <c r="E138" t="s">
        <v>88</v>
      </c>
      <c r="F138" t="s">
        <v>72</v>
      </c>
      <c r="G138">
        <v>0</v>
      </c>
      <c r="H138">
        <v>2E+20</v>
      </c>
      <c r="I138">
        <v>0</v>
      </c>
      <c r="J138">
        <v>0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</v>
      </c>
      <c r="U138">
        <f>IF((ContinuousStatsTable[[#This Row],[RepsRequested]]&gt;1),ContinuousStatsTable[[#This Row],[HalfWidth]],ContinuousStatsTable[[#This Row],[BatchMeansHalfWidth]])</f>
        <v>0</v>
      </c>
    </row>
    <row r="139" spans="1:21" x14ac:dyDescent="0.4">
      <c r="A139" t="s">
        <v>67</v>
      </c>
      <c r="B139" t="s">
        <v>69</v>
      </c>
      <c r="C139">
        <v>16</v>
      </c>
      <c r="D139" t="s">
        <v>74</v>
      </c>
      <c r="E139" t="s">
        <v>88</v>
      </c>
      <c r="F139" t="s">
        <v>72</v>
      </c>
      <c r="G139">
        <v>0</v>
      </c>
      <c r="H139">
        <v>2E+20</v>
      </c>
      <c r="I139">
        <v>0</v>
      </c>
      <c r="J139">
        <v>0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4">
      <c r="A140" t="s">
        <v>67</v>
      </c>
      <c r="B140" t="s">
        <v>69</v>
      </c>
      <c r="C140">
        <v>16</v>
      </c>
      <c r="D140" t="s">
        <v>75</v>
      </c>
      <c r="E140" t="s">
        <v>88</v>
      </c>
      <c r="F140" t="s">
        <v>72</v>
      </c>
      <c r="G140">
        <v>0</v>
      </c>
      <c r="H140">
        <v>2E+20</v>
      </c>
      <c r="I140">
        <v>0</v>
      </c>
      <c r="J140">
        <v>0</v>
      </c>
      <c r="K140">
        <v>0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4">
      <c r="A141" t="s">
        <v>67</v>
      </c>
      <c r="B141" t="s">
        <v>69</v>
      </c>
      <c r="C141">
        <v>16</v>
      </c>
      <c r="D141" t="s">
        <v>76</v>
      </c>
      <c r="E141" t="s">
        <v>88</v>
      </c>
      <c r="F141" t="s">
        <v>72</v>
      </c>
      <c r="G141">
        <v>5.2085192279603004E-4</v>
      </c>
      <c r="H141">
        <v>2E+20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38.078147260668999</v>
      </c>
      <c r="U141">
        <f>IF((ContinuousStatsTable[[#This Row],[RepsRequested]]&gt;1),ContinuousStatsTable[[#This Row],[HalfWidth]],ContinuousStatsTable[[#This Row],[BatchMeansHalfWidth]])</f>
        <v>2.1115241847680202</v>
      </c>
    </row>
    <row r="142" spans="1:21" x14ac:dyDescent="0.4">
      <c r="A142" t="s">
        <v>67</v>
      </c>
      <c r="B142" t="s">
        <v>69</v>
      </c>
      <c r="C142">
        <v>16</v>
      </c>
      <c r="D142" t="s">
        <v>77</v>
      </c>
      <c r="E142" t="s">
        <v>88</v>
      </c>
      <c r="F142" t="s">
        <v>72</v>
      </c>
      <c r="G142">
        <v>19.868818348089199</v>
      </c>
      <c r="H142">
        <v>3E+20</v>
      </c>
      <c r="I142">
        <v>0</v>
      </c>
      <c r="J142">
        <v>55</v>
      </c>
      <c r="K142">
        <v>11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49.6745792704859</v>
      </c>
      <c r="U142">
        <f>IF((ContinuousStatsTable[[#This Row],[RepsRequested]]&gt;1),ContinuousStatsTable[[#This Row],[HalfWidth]],ContinuousStatsTable[[#This Row],[BatchMeansHalfWidth]])</f>
        <v>3.578413083149202</v>
      </c>
    </row>
    <row r="143" spans="1:21" x14ac:dyDescent="0.4">
      <c r="A143" t="s">
        <v>67</v>
      </c>
      <c r="B143" t="s">
        <v>69</v>
      </c>
      <c r="C143">
        <v>16</v>
      </c>
      <c r="D143" t="s">
        <v>78</v>
      </c>
      <c r="E143" t="s">
        <v>88</v>
      </c>
      <c r="F143" t="s">
        <v>72</v>
      </c>
      <c r="G143">
        <v>22.997417147375199</v>
      </c>
      <c r="H143">
        <v>3E+20</v>
      </c>
      <c r="I143">
        <v>0</v>
      </c>
      <c r="J143">
        <v>82</v>
      </c>
      <c r="K143">
        <v>82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51.634328282384999</v>
      </c>
      <c r="U143">
        <f>IF((ContinuousStatsTable[[#This Row],[RepsRequested]]&gt;1),ContinuousStatsTable[[#This Row],[HalfWidth]],ContinuousStatsTable[[#This Row],[BatchMeansHalfWidth]])</f>
        <v>4.2398640284824616</v>
      </c>
    </row>
    <row r="144" spans="1:21" x14ac:dyDescent="0.4">
      <c r="A144" t="s">
        <v>67</v>
      </c>
      <c r="B144" t="s">
        <v>69</v>
      </c>
      <c r="C144">
        <v>16</v>
      </c>
      <c r="D144" t="s">
        <v>79</v>
      </c>
      <c r="E144" t="s">
        <v>88</v>
      </c>
      <c r="F144" t="s">
        <v>72</v>
      </c>
      <c r="G144">
        <v>6.2996235735516002E-3</v>
      </c>
      <c r="H144">
        <v>2E+20</v>
      </c>
      <c r="I144">
        <v>0</v>
      </c>
      <c r="J144">
        <v>2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42.684614626171097</v>
      </c>
      <c r="U144">
        <f>IF((ContinuousStatsTable[[#This Row],[RepsRequested]]&gt;1),ContinuousStatsTable[[#This Row],[HalfWidth]],ContinuousStatsTable[[#This Row],[BatchMeansHalfWidth]])</f>
        <v>3.4837709905544232</v>
      </c>
    </row>
    <row r="145" spans="1:21" x14ac:dyDescent="0.4">
      <c r="A145" t="s">
        <v>67</v>
      </c>
      <c r="B145" t="s">
        <v>69</v>
      </c>
      <c r="C145">
        <v>16</v>
      </c>
      <c r="D145" t="s">
        <v>80</v>
      </c>
      <c r="E145" t="s">
        <v>89</v>
      </c>
      <c r="F145" t="s">
        <v>82</v>
      </c>
      <c r="G145">
        <v>86.506855364183593</v>
      </c>
      <c r="H145">
        <v>3E+20</v>
      </c>
      <c r="I145">
        <v>0</v>
      </c>
      <c r="J145">
        <v>134</v>
      </c>
      <c r="K145">
        <v>133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60.764515331306598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102.902066283605</v>
      </c>
      <c r="U145">
        <f>IF((ContinuousStatsTable[[#This Row],[RepsRequested]]&gt;1),ContinuousStatsTable[[#This Row],[HalfWidth]],ContinuousStatsTable[[#This Row],[BatchMeansHalfWidth]])</f>
        <v>2.7368751260137634</v>
      </c>
    </row>
    <row r="146" spans="1:21" x14ac:dyDescent="0.4">
      <c r="A146" t="s">
        <v>67</v>
      </c>
      <c r="B146" t="s">
        <v>69</v>
      </c>
      <c r="C146">
        <v>17</v>
      </c>
      <c r="D146" t="s">
        <v>70</v>
      </c>
      <c r="E146" t="s">
        <v>88</v>
      </c>
      <c r="F146" t="s">
        <v>72</v>
      </c>
      <c r="G146">
        <v>0</v>
      </c>
      <c r="H146">
        <v>2E+20</v>
      </c>
      <c r="I146">
        <v>0</v>
      </c>
      <c r="J146">
        <v>0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</v>
      </c>
      <c r="U146">
        <f>IF((ContinuousStatsTable[[#This Row],[RepsRequested]]&gt;1),ContinuousStatsTable[[#This Row],[HalfWidth]],ContinuousStatsTable[[#This Row],[BatchMeansHalfWidth]])</f>
        <v>0</v>
      </c>
    </row>
    <row r="147" spans="1:21" x14ac:dyDescent="0.4">
      <c r="A147" t="s">
        <v>67</v>
      </c>
      <c r="B147" t="s">
        <v>69</v>
      </c>
      <c r="C147">
        <v>17</v>
      </c>
      <c r="D147" t="s">
        <v>73</v>
      </c>
      <c r="E147" t="s">
        <v>88</v>
      </c>
      <c r="F147" t="s">
        <v>72</v>
      </c>
      <c r="G147">
        <v>0</v>
      </c>
      <c r="H147">
        <v>2E+20</v>
      </c>
      <c r="I147">
        <v>0</v>
      </c>
      <c r="J147">
        <v>0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4">
      <c r="A148" t="s">
        <v>67</v>
      </c>
      <c r="B148" t="s">
        <v>69</v>
      </c>
      <c r="C148">
        <v>17</v>
      </c>
      <c r="D148" t="s">
        <v>74</v>
      </c>
      <c r="E148" t="s">
        <v>88</v>
      </c>
      <c r="F148" t="s">
        <v>72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4">
      <c r="A149" t="s">
        <v>67</v>
      </c>
      <c r="B149" t="s">
        <v>69</v>
      </c>
      <c r="C149">
        <v>17</v>
      </c>
      <c r="D149" t="s">
        <v>75</v>
      </c>
      <c r="E149" t="s">
        <v>88</v>
      </c>
      <c r="F149" t="s">
        <v>72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>
        <f>IF((ContinuousStatsTable[[#This Row],[RepsRequested]]&gt;1),ContinuousStatsTable[[#This Row],[HalfWidth]],ContinuousStatsTable[[#This Row],[BatchMeansHalfWidth]])</f>
        <v>0</v>
      </c>
    </row>
    <row r="150" spans="1:21" x14ac:dyDescent="0.4">
      <c r="A150" t="s">
        <v>67</v>
      </c>
      <c r="B150" t="s">
        <v>69</v>
      </c>
      <c r="C150">
        <v>17</v>
      </c>
      <c r="D150" t="s">
        <v>76</v>
      </c>
      <c r="E150" t="s">
        <v>88</v>
      </c>
      <c r="F150" t="s">
        <v>72</v>
      </c>
      <c r="G150">
        <v>7.7653516416870899E-3</v>
      </c>
      <c r="H150">
        <v>2E+20</v>
      </c>
      <c r="I150">
        <v>0</v>
      </c>
      <c r="J150">
        <v>1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38.078147260668999</v>
      </c>
      <c r="U150">
        <f>IF((ContinuousStatsTable[[#This Row],[RepsRequested]]&gt;1),ContinuousStatsTable[[#This Row],[HalfWidth]],ContinuousStatsTable[[#This Row],[BatchMeansHalfWidth]])</f>
        <v>2.1115241847680202</v>
      </c>
    </row>
    <row r="151" spans="1:21" x14ac:dyDescent="0.4">
      <c r="A151" t="s">
        <v>67</v>
      </c>
      <c r="B151" t="s">
        <v>69</v>
      </c>
      <c r="C151">
        <v>17</v>
      </c>
      <c r="D151" t="s">
        <v>77</v>
      </c>
      <c r="E151" t="s">
        <v>88</v>
      </c>
      <c r="F151" t="s">
        <v>72</v>
      </c>
      <c r="G151">
        <v>0.12698333938541401</v>
      </c>
      <c r="H151">
        <v>2E+20</v>
      </c>
      <c r="I151">
        <v>0</v>
      </c>
      <c r="J151">
        <v>7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49.6745792704859</v>
      </c>
      <c r="U151">
        <f>IF((ContinuousStatsTable[[#This Row],[RepsRequested]]&gt;1),ContinuousStatsTable[[#This Row],[HalfWidth]],ContinuousStatsTable[[#This Row],[BatchMeansHalfWidth]])</f>
        <v>3.578413083149202</v>
      </c>
    </row>
    <row r="152" spans="1:21" x14ac:dyDescent="0.4">
      <c r="A152" t="s">
        <v>67</v>
      </c>
      <c r="B152" t="s">
        <v>69</v>
      </c>
      <c r="C152">
        <v>17</v>
      </c>
      <c r="D152" t="s">
        <v>78</v>
      </c>
      <c r="E152" t="s">
        <v>88</v>
      </c>
      <c r="F152" t="s">
        <v>72</v>
      </c>
      <c r="G152">
        <v>23.0878167914206</v>
      </c>
      <c r="H152">
        <v>3E+20</v>
      </c>
      <c r="I152">
        <v>0</v>
      </c>
      <c r="J152">
        <v>56</v>
      </c>
      <c r="K152">
        <v>42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51.634328282384999</v>
      </c>
      <c r="U152">
        <f>IF((ContinuousStatsTable[[#This Row],[RepsRequested]]&gt;1),ContinuousStatsTable[[#This Row],[HalfWidth]],ContinuousStatsTable[[#This Row],[BatchMeansHalfWidth]])</f>
        <v>4.2398640284824616</v>
      </c>
    </row>
    <row r="153" spans="1:21" x14ac:dyDescent="0.4">
      <c r="A153" t="s">
        <v>67</v>
      </c>
      <c r="B153" t="s">
        <v>69</v>
      </c>
      <c r="C153">
        <v>17</v>
      </c>
      <c r="D153" t="s">
        <v>79</v>
      </c>
      <c r="E153" t="s">
        <v>88</v>
      </c>
      <c r="F153" t="s">
        <v>72</v>
      </c>
      <c r="G153">
        <v>6.0747412273096204</v>
      </c>
      <c r="H153">
        <v>3E+20</v>
      </c>
      <c r="I153">
        <v>0</v>
      </c>
      <c r="J153">
        <v>32</v>
      </c>
      <c r="K153">
        <v>0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42.684614626171097</v>
      </c>
      <c r="U153">
        <f>IF((ContinuousStatsTable[[#This Row],[RepsRequested]]&gt;1),ContinuousStatsTable[[#This Row],[HalfWidth]],ContinuousStatsTable[[#This Row],[BatchMeansHalfWidth]])</f>
        <v>3.4837709905544232</v>
      </c>
    </row>
    <row r="154" spans="1:21" x14ac:dyDescent="0.4">
      <c r="A154" t="s">
        <v>67</v>
      </c>
      <c r="B154" t="s">
        <v>69</v>
      </c>
      <c r="C154">
        <v>17</v>
      </c>
      <c r="D154" t="s">
        <v>80</v>
      </c>
      <c r="E154" t="s">
        <v>89</v>
      </c>
      <c r="F154" t="s">
        <v>82</v>
      </c>
      <c r="G154">
        <v>78.157118884588698</v>
      </c>
      <c r="H154">
        <v>3E+20</v>
      </c>
      <c r="I154">
        <v>0</v>
      </c>
      <c r="J154">
        <v>109</v>
      </c>
      <c r="K154">
        <v>80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60.764515331306598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102.902066283605</v>
      </c>
      <c r="U154">
        <f>IF((ContinuousStatsTable[[#This Row],[RepsRequested]]&gt;1),ContinuousStatsTable[[#This Row],[HalfWidth]],ContinuousStatsTable[[#This Row],[BatchMeansHalfWidth]])</f>
        <v>2.7368751260137634</v>
      </c>
    </row>
    <row r="155" spans="1:21" x14ac:dyDescent="0.4">
      <c r="A155" t="s">
        <v>67</v>
      </c>
      <c r="B155" t="s">
        <v>69</v>
      </c>
      <c r="C155">
        <v>18</v>
      </c>
      <c r="D155" t="s">
        <v>70</v>
      </c>
      <c r="E155" t="s">
        <v>88</v>
      </c>
      <c r="F155" t="s">
        <v>72</v>
      </c>
      <c r="G155">
        <v>0</v>
      </c>
      <c r="H155">
        <v>2E+20</v>
      </c>
      <c r="I155">
        <v>0</v>
      </c>
      <c r="J155">
        <v>0</v>
      </c>
      <c r="K155">
        <v>0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</v>
      </c>
      <c r="U155">
        <f>IF((ContinuousStatsTable[[#This Row],[RepsRequested]]&gt;1),ContinuousStatsTable[[#This Row],[HalfWidth]],ContinuousStatsTable[[#This Row],[BatchMeansHalfWidth]])</f>
        <v>0</v>
      </c>
    </row>
    <row r="156" spans="1:21" x14ac:dyDescent="0.4">
      <c r="A156" t="s">
        <v>67</v>
      </c>
      <c r="B156" t="s">
        <v>69</v>
      </c>
      <c r="C156">
        <v>18</v>
      </c>
      <c r="D156" t="s">
        <v>73</v>
      </c>
      <c r="E156" t="s">
        <v>88</v>
      </c>
      <c r="F156" t="s">
        <v>72</v>
      </c>
      <c r="G156">
        <v>0</v>
      </c>
      <c r="H156">
        <v>2E+20</v>
      </c>
      <c r="I156">
        <v>0</v>
      </c>
      <c r="J156">
        <v>0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>
        <f>IF((ContinuousStatsTable[[#This Row],[RepsRequested]]&gt;1),ContinuousStatsTable[[#This Row],[HalfWidth]],ContinuousStatsTable[[#This Row],[BatchMeansHalfWidth]])</f>
        <v>0</v>
      </c>
    </row>
    <row r="157" spans="1:21" x14ac:dyDescent="0.4">
      <c r="A157" t="s">
        <v>67</v>
      </c>
      <c r="B157" t="s">
        <v>69</v>
      </c>
      <c r="C157">
        <v>18</v>
      </c>
      <c r="D157" t="s">
        <v>74</v>
      </c>
      <c r="E157" t="s">
        <v>88</v>
      </c>
      <c r="F157" t="s">
        <v>72</v>
      </c>
      <c r="G157">
        <v>0</v>
      </c>
      <c r="H157">
        <v>2E+20</v>
      </c>
      <c r="I157">
        <v>0</v>
      </c>
      <c r="J157">
        <v>0</v>
      </c>
      <c r="K157">
        <v>0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0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0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0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4">
      <c r="A158" t="s">
        <v>67</v>
      </c>
      <c r="B158" t="s">
        <v>69</v>
      </c>
      <c r="C158">
        <v>18</v>
      </c>
      <c r="D158" t="s">
        <v>75</v>
      </c>
      <c r="E158" t="s">
        <v>88</v>
      </c>
      <c r="F158" t="s">
        <v>72</v>
      </c>
      <c r="G158">
        <v>0</v>
      </c>
      <c r="H158">
        <v>2E+20</v>
      </c>
      <c r="I158">
        <v>0</v>
      </c>
      <c r="J158">
        <v>0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0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0</v>
      </c>
      <c r="U158">
        <f>IF((ContinuousStatsTable[[#This Row],[RepsRequested]]&gt;1),ContinuousStatsTable[[#This Row],[HalfWidth]],ContinuousStatsTable[[#This Row],[BatchMeansHalfWidth]])</f>
        <v>0</v>
      </c>
    </row>
    <row r="159" spans="1:21" x14ac:dyDescent="0.4">
      <c r="A159" t="s">
        <v>67</v>
      </c>
      <c r="B159" t="s">
        <v>69</v>
      </c>
      <c r="C159">
        <v>18</v>
      </c>
      <c r="D159" t="s">
        <v>76</v>
      </c>
      <c r="E159" t="s">
        <v>88</v>
      </c>
      <c r="F159" t="s">
        <v>72</v>
      </c>
      <c r="G159">
        <v>2.71300465177188E-2</v>
      </c>
      <c r="H159">
        <v>2E+20</v>
      </c>
      <c r="I159">
        <v>0</v>
      </c>
      <c r="J159">
        <v>3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38.078147260668999</v>
      </c>
      <c r="U159">
        <f>IF((ContinuousStatsTable[[#This Row],[RepsRequested]]&gt;1),ContinuousStatsTable[[#This Row],[HalfWidth]],ContinuousStatsTable[[#This Row],[BatchMeansHalfWidth]])</f>
        <v>2.1115241847680202</v>
      </c>
    </row>
    <row r="160" spans="1:21" x14ac:dyDescent="0.4">
      <c r="A160" t="s">
        <v>67</v>
      </c>
      <c r="B160" t="s">
        <v>69</v>
      </c>
      <c r="C160">
        <v>18</v>
      </c>
      <c r="D160" t="s">
        <v>77</v>
      </c>
      <c r="E160" t="s">
        <v>88</v>
      </c>
      <c r="F160" t="s">
        <v>72</v>
      </c>
      <c r="G160">
        <v>0.90551785077173497</v>
      </c>
      <c r="H160">
        <v>2E+20</v>
      </c>
      <c r="I160">
        <v>0</v>
      </c>
      <c r="J160">
        <v>18</v>
      </c>
      <c r="K160">
        <v>0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49.6745792704859</v>
      </c>
      <c r="U160">
        <f>IF((ContinuousStatsTable[[#This Row],[RepsRequested]]&gt;1),ContinuousStatsTable[[#This Row],[HalfWidth]],ContinuousStatsTable[[#This Row],[BatchMeansHalfWidth]])</f>
        <v>3.578413083149202</v>
      </c>
    </row>
    <row r="161" spans="1:21" x14ac:dyDescent="0.4">
      <c r="A161" t="s">
        <v>67</v>
      </c>
      <c r="B161" t="s">
        <v>69</v>
      </c>
      <c r="C161">
        <v>18</v>
      </c>
      <c r="D161" t="s">
        <v>78</v>
      </c>
      <c r="E161" t="s">
        <v>88</v>
      </c>
      <c r="F161" t="s">
        <v>72</v>
      </c>
      <c r="G161">
        <v>6.8157639077322002E-2</v>
      </c>
      <c r="H161">
        <v>2E+20</v>
      </c>
      <c r="I161">
        <v>0</v>
      </c>
      <c r="J161">
        <v>7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51.634328282384999</v>
      </c>
      <c r="U161">
        <f>IF((ContinuousStatsTable[[#This Row],[RepsRequested]]&gt;1),ContinuousStatsTable[[#This Row],[HalfWidth]],ContinuousStatsTable[[#This Row],[BatchMeansHalfWidth]])</f>
        <v>4.2398640284824616</v>
      </c>
    </row>
    <row r="162" spans="1:21" x14ac:dyDescent="0.4">
      <c r="A162" t="s">
        <v>67</v>
      </c>
      <c r="B162" t="s">
        <v>69</v>
      </c>
      <c r="C162">
        <v>18</v>
      </c>
      <c r="D162" t="s">
        <v>79</v>
      </c>
      <c r="E162" t="s">
        <v>88</v>
      </c>
      <c r="F162" t="s">
        <v>72</v>
      </c>
      <c r="G162">
        <v>42.684614626171097</v>
      </c>
      <c r="H162">
        <v>3E+20</v>
      </c>
      <c r="I162">
        <v>0</v>
      </c>
      <c r="J162">
        <v>78</v>
      </c>
      <c r="K162">
        <v>77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42.684614626171097</v>
      </c>
      <c r="U162">
        <f>IF((ContinuousStatsTable[[#This Row],[RepsRequested]]&gt;1),ContinuousStatsTable[[#This Row],[HalfWidth]],ContinuousStatsTable[[#This Row],[BatchMeansHalfWidth]])</f>
        <v>3.4837709905544232</v>
      </c>
    </row>
    <row r="163" spans="1:21" x14ac:dyDescent="0.4">
      <c r="A163" t="s">
        <v>67</v>
      </c>
      <c r="B163" t="s">
        <v>69</v>
      </c>
      <c r="C163">
        <v>18</v>
      </c>
      <c r="D163" t="s">
        <v>80</v>
      </c>
      <c r="E163" t="s">
        <v>89</v>
      </c>
      <c r="F163" t="s">
        <v>82</v>
      </c>
      <c r="G163">
        <v>92.466946094088399</v>
      </c>
      <c r="H163">
        <v>3E+20</v>
      </c>
      <c r="I163">
        <v>0</v>
      </c>
      <c r="J163">
        <v>136</v>
      </c>
      <c r="K163">
        <v>132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60.764515331306598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102.902066283605</v>
      </c>
      <c r="U163">
        <f>IF((ContinuousStatsTable[[#This Row],[RepsRequested]]&gt;1),ContinuousStatsTable[[#This Row],[HalfWidth]],ContinuousStatsTable[[#This Row],[BatchMeansHalfWidth]])</f>
        <v>2.7368751260137634</v>
      </c>
    </row>
    <row r="164" spans="1:21" x14ac:dyDescent="0.4">
      <c r="A164" t="s">
        <v>67</v>
      </c>
      <c r="B164" t="s">
        <v>69</v>
      </c>
      <c r="C164">
        <v>19</v>
      </c>
      <c r="D164" t="s">
        <v>70</v>
      </c>
      <c r="E164" t="s">
        <v>88</v>
      </c>
      <c r="F164" t="s">
        <v>72</v>
      </c>
      <c r="G164">
        <v>0</v>
      </c>
      <c r="H164">
        <v>2E+20</v>
      </c>
      <c r="I164">
        <v>0</v>
      </c>
      <c r="J164">
        <v>0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</v>
      </c>
      <c r="U164">
        <f>IF((ContinuousStatsTable[[#This Row],[RepsRequested]]&gt;1),ContinuousStatsTable[[#This Row],[HalfWidth]],ContinuousStatsTable[[#This Row],[BatchMeansHalfWidth]])</f>
        <v>0</v>
      </c>
    </row>
    <row r="165" spans="1:21" x14ac:dyDescent="0.4">
      <c r="A165" t="s">
        <v>67</v>
      </c>
      <c r="B165" t="s">
        <v>69</v>
      </c>
      <c r="C165">
        <v>19</v>
      </c>
      <c r="D165" t="s">
        <v>73</v>
      </c>
      <c r="E165" t="s">
        <v>88</v>
      </c>
      <c r="F165" t="s">
        <v>72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>
        <f>IF((ContinuousStatsTable[[#This Row],[RepsRequested]]&gt;1),ContinuousStatsTable[[#This Row],[HalfWidth]],ContinuousStatsTable[[#This Row],[BatchMeansHalfWidth]])</f>
        <v>0</v>
      </c>
    </row>
    <row r="166" spans="1:21" x14ac:dyDescent="0.4">
      <c r="A166" t="s">
        <v>67</v>
      </c>
      <c r="B166" t="s">
        <v>69</v>
      </c>
      <c r="C166">
        <v>19</v>
      </c>
      <c r="D166" t="s">
        <v>74</v>
      </c>
      <c r="E166" t="s">
        <v>88</v>
      </c>
      <c r="F166" t="s">
        <v>72</v>
      </c>
      <c r="G166">
        <v>0</v>
      </c>
      <c r="H166">
        <v>2E+20</v>
      </c>
      <c r="I166">
        <v>0</v>
      </c>
      <c r="J166">
        <v>0</v>
      </c>
      <c r="K166">
        <v>0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0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0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4">
      <c r="A167" t="s">
        <v>67</v>
      </c>
      <c r="B167" t="s">
        <v>69</v>
      </c>
      <c r="C167">
        <v>19</v>
      </c>
      <c r="D167" t="s">
        <v>75</v>
      </c>
      <c r="E167" t="s">
        <v>88</v>
      </c>
      <c r="F167" t="s">
        <v>72</v>
      </c>
      <c r="G167">
        <v>0</v>
      </c>
      <c r="H167">
        <v>2E+20</v>
      </c>
      <c r="I167">
        <v>0</v>
      </c>
      <c r="J167">
        <v>0</v>
      </c>
      <c r="K167">
        <v>0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>
        <f>IF((ContinuousStatsTable[[#This Row],[RepsRequested]]&gt;1),ContinuousStatsTable[[#This Row],[HalfWidth]],ContinuousStatsTable[[#This Row],[BatchMeansHalfWidth]])</f>
        <v>0</v>
      </c>
    </row>
    <row r="168" spans="1:21" x14ac:dyDescent="0.4">
      <c r="A168" t="s">
        <v>67</v>
      </c>
      <c r="B168" t="s">
        <v>69</v>
      </c>
      <c r="C168">
        <v>19</v>
      </c>
      <c r="D168" t="s">
        <v>76</v>
      </c>
      <c r="E168" t="s">
        <v>88</v>
      </c>
      <c r="F168" t="s">
        <v>72</v>
      </c>
      <c r="G168">
        <v>1.44547846002124</v>
      </c>
      <c r="H168">
        <v>2E+20</v>
      </c>
      <c r="I168">
        <v>0</v>
      </c>
      <c r="J168">
        <v>17</v>
      </c>
      <c r="K168">
        <v>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38.078147260668999</v>
      </c>
      <c r="U168">
        <f>IF((ContinuousStatsTable[[#This Row],[RepsRequested]]&gt;1),ContinuousStatsTable[[#This Row],[HalfWidth]],ContinuousStatsTable[[#This Row],[BatchMeansHalfWidth]])</f>
        <v>2.1115241847680202</v>
      </c>
    </row>
    <row r="169" spans="1:21" x14ac:dyDescent="0.4">
      <c r="A169" t="s">
        <v>67</v>
      </c>
      <c r="B169" t="s">
        <v>69</v>
      </c>
      <c r="C169">
        <v>19</v>
      </c>
      <c r="D169" t="s">
        <v>77</v>
      </c>
      <c r="E169" t="s">
        <v>88</v>
      </c>
      <c r="F169" t="s">
        <v>72</v>
      </c>
      <c r="G169">
        <v>16.503426793059798</v>
      </c>
      <c r="H169">
        <v>3E+20</v>
      </c>
      <c r="I169">
        <v>0</v>
      </c>
      <c r="J169">
        <v>43</v>
      </c>
      <c r="K169">
        <v>22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0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49.6745792704859</v>
      </c>
      <c r="U169">
        <f>IF((ContinuousStatsTable[[#This Row],[RepsRequested]]&gt;1),ContinuousStatsTable[[#This Row],[HalfWidth]],ContinuousStatsTable[[#This Row],[BatchMeansHalfWidth]])</f>
        <v>3.578413083149202</v>
      </c>
    </row>
    <row r="170" spans="1:21" x14ac:dyDescent="0.4">
      <c r="A170" t="s">
        <v>67</v>
      </c>
      <c r="B170" t="s">
        <v>69</v>
      </c>
      <c r="C170">
        <v>19</v>
      </c>
      <c r="D170" t="s">
        <v>78</v>
      </c>
      <c r="E170" t="s">
        <v>88</v>
      </c>
      <c r="F170" t="s">
        <v>72</v>
      </c>
      <c r="G170">
        <v>6.9636748909122099</v>
      </c>
      <c r="H170">
        <v>3E+20</v>
      </c>
      <c r="I170">
        <v>0</v>
      </c>
      <c r="J170">
        <v>39</v>
      </c>
      <c r="K170">
        <v>4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51.634328282384999</v>
      </c>
      <c r="U170">
        <f>IF((ContinuousStatsTable[[#This Row],[RepsRequested]]&gt;1),ContinuousStatsTable[[#This Row],[HalfWidth]],ContinuousStatsTable[[#This Row],[BatchMeansHalfWidth]])</f>
        <v>4.2398640284824616</v>
      </c>
    </row>
    <row r="171" spans="1:21" x14ac:dyDescent="0.4">
      <c r="A171" t="s">
        <v>67</v>
      </c>
      <c r="B171" t="s">
        <v>69</v>
      </c>
      <c r="C171">
        <v>19</v>
      </c>
      <c r="D171" t="s">
        <v>79</v>
      </c>
      <c r="E171" t="s">
        <v>88</v>
      </c>
      <c r="F171" t="s">
        <v>72</v>
      </c>
      <c r="G171">
        <v>1.1050459687600499E-2</v>
      </c>
      <c r="H171">
        <v>2E+20</v>
      </c>
      <c r="I171">
        <v>0</v>
      </c>
      <c r="J171">
        <v>2</v>
      </c>
      <c r="K171">
        <v>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42.684614626171097</v>
      </c>
      <c r="U171">
        <f>IF((ContinuousStatsTable[[#This Row],[RepsRequested]]&gt;1),ContinuousStatsTable[[#This Row],[HalfWidth]],ContinuousStatsTable[[#This Row],[BatchMeansHalfWidth]])</f>
        <v>3.4837709905544232</v>
      </c>
    </row>
    <row r="172" spans="1:21" x14ac:dyDescent="0.4">
      <c r="A172" t="s">
        <v>67</v>
      </c>
      <c r="B172" t="s">
        <v>69</v>
      </c>
      <c r="C172">
        <v>19</v>
      </c>
      <c r="D172" t="s">
        <v>80</v>
      </c>
      <c r="E172" t="s">
        <v>89</v>
      </c>
      <c r="F172" t="s">
        <v>82</v>
      </c>
      <c r="G172">
        <v>72.662161224371602</v>
      </c>
      <c r="H172">
        <v>3E+20</v>
      </c>
      <c r="I172">
        <v>0</v>
      </c>
      <c r="J172">
        <v>107</v>
      </c>
      <c r="K172">
        <v>77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60.764515331306598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102.902066283605</v>
      </c>
      <c r="U172">
        <f>IF((ContinuousStatsTable[[#This Row],[RepsRequested]]&gt;1),ContinuousStatsTable[[#This Row],[HalfWidth]],ContinuousStatsTable[[#This Row],[BatchMeansHalfWidth]])</f>
        <v>2.7368751260137634</v>
      </c>
    </row>
    <row r="173" spans="1:21" x14ac:dyDescent="0.4">
      <c r="A173" t="s">
        <v>67</v>
      </c>
      <c r="B173" t="s">
        <v>69</v>
      </c>
      <c r="C173">
        <v>20</v>
      </c>
      <c r="D173" t="s">
        <v>70</v>
      </c>
      <c r="E173" t="s">
        <v>88</v>
      </c>
      <c r="F173" t="s">
        <v>72</v>
      </c>
      <c r="G173">
        <v>0</v>
      </c>
      <c r="H173">
        <v>2E+20</v>
      </c>
      <c r="I173">
        <v>0</v>
      </c>
      <c r="J173">
        <v>0</v>
      </c>
      <c r="K173">
        <v>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0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0</v>
      </c>
      <c r="U173">
        <f>IF((ContinuousStatsTable[[#This Row],[RepsRequested]]&gt;1),ContinuousStatsTable[[#This Row],[HalfWidth]],ContinuousStatsTable[[#This Row],[BatchMeansHalfWidth]])</f>
        <v>0</v>
      </c>
    </row>
    <row r="174" spans="1:21" x14ac:dyDescent="0.4">
      <c r="A174" t="s">
        <v>67</v>
      </c>
      <c r="B174" t="s">
        <v>69</v>
      </c>
      <c r="C174">
        <v>20</v>
      </c>
      <c r="D174" t="s">
        <v>73</v>
      </c>
      <c r="E174" t="s">
        <v>88</v>
      </c>
      <c r="F174" t="s">
        <v>72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4">
      <c r="A175" t="s">
        <v>67</v>
      </c>
      <c r="B175" t="s">
        <v>69</v>
      </c>
      <c r="C175">
        <v>20</v>
      </c>
      <c r="D175" t="s">
        <v>74</v>
      </c>
      <c r="E175" t="s">
        <v>88</v>
      </c>
      <c r="F175" t="s">
        <v>72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>
        <f>IF((ContinuousStatsTable[[#This Row],[RepsRequested]]&gt;1),ContinuousStatsTable[[#This Row],[HalfWidth]],ContinuousStatsTable[[#This Row],[BatchMeansHalfWidth]])</f>
        <v>0</v>
      </c>
    </row>
    <row r="176" spans="1:21" x14ac:dyDescent="0.4">
      <c r="A176" t="s">
        <v>67</v>
      </c>
      <c r="B176" t="s">
        <v>69</v>
      </c>
      <c r="C176">
        <v>20</v>
      </c>
      <c r="D176" t="s">
        <v>75</v>
      </c>
      <c r="E176" t="s">
        <v>88</v>
      </c>
      <c r="F176" t="s">
        <v>72</v>
      </c>
      <c r="G176">
        <v>0</v>
      </c>
      <c r="H176">
        <v>2E+20</v>
      </c>
      <c r="I176">
        <v>0</v>
      </c>
      <c r="J176">
        <v>0</v>
      </c>
      <c r="K176">
        <v>0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0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0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0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4">
      <c r="A177" t="s">
        <v>67</v>
      </c>
      <c r="B177" t="s">
        <v>69</v>
      </c>
      <c r="C177">
        <v>20</v>
      </c>
      <c r="D177" t="s">
        <v>76</v>
      </c>
      <c r="E177" t="s">
        <v>88</v>
      </c>
      <c r="F177" t="s">
        <v>72</v>
      </c>
      <c r="G177">
        <v>5.6699633436653603</v>
      </c>
      <c r="H177">
        <v>3E+20</v>
      </c>
      <c r="I177">
        <v>0</v>
      </c>
      <c r="J177">
        <v>30</v>
      </c>
      <c r="K177">
        <v>0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38.078147260668999</v>
      </c>
      <c r="U177">
        <f>IF((ContinuousStatsTable[[#This Row],[RepsRequested]]&gt;1),ContinuousStatsTable[[#This Row],[HalfWidth]],ContinuousStatsTable[[#This Row],[BatchMeansHalfWidth]])</f>
        <v>2.1115241847680202</v>
      </c>
    </row>
    <row r="178" spans="1:21" x14ac:dyDescent="0.4">
      <c r="A178" t="s">
        <v>67</v>
      </c>
      <c r="B178" t="s">
        <v>69</v>
      </c>
      <c r="C178">
        <v>20</v>
      </c>
      <c r="D178" t="s">
        <v>77</v>
      </c>
      <c r="E178" t="s">
        <v>88</v>
      </c>
      <c r="F178" t="s">
        <v>72</v>
      </c>
      <c r="G178">
        <v>4.2868311118046103E-3</v>
      </c>
      <c r="H178">
        <v>2E+20</v>
      </c>
      <c r="I178">
        <v>0</v>
      </c>
      <c r="J178">
        <v>1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49.6745792704859</v>
      </c>
      <c r="U178">
        <f>IF((ContinuousStatsTable[[#This Row],[RepsRequested]]&gt;1),ContinuousStatsTable[[#This Row],[HalfWidth]],ContinuousStatsTable[[#This Row],[BatchMeansHalfWidth]])</f>
        <v>3.578413083149202</v>
      </c>
    </row>
    <row r="179" spans="1:21" x14ac:dyDescent="0.4">
      <c r="A179" t="s">
        <v>67</v>
      </c>
      <c r="B179" t="s">
        <v>69</v>
      </c>
      <c r="C179">
        <v>20</v>
      </c>
      <c r="D179" t="s">
        <v>78</v>
      </c>
      <c r="E179" t="s">
        <v>88</v>
      </c>
      <c r="F179" t="s">
        <v>72</v>
      </c>
      <c r="G179">
        <v>7.0449042906428599E-3</v>
      </c>
      <c r="H179">
        <v>2E+20</v>
      </c>
      <c r="I179">
        <v>0</v>
      </c>
      <c r="J179">
        <v>2</v>
      </c>
      <c r="K179">
        <v>0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51.634328282384999</v>
      </c>
      <c r="U179">
        <f>IF((ContinuousStatsTable[[#This Row],[RepsRequested]]&gt;1),ContinuousStatsTable[[#This Row],[HalfWidth]],ContinuousStatsTable[[#This Row],[BatchMeansHalfWidth]])</f>
        <v>4.2398640284824616</v>
      </c>
    </row>
    <row r="180" spans="1:21" x14ac:dyDescent="0.4">
      <c r="A180" t="s">
        <v>67</v>
      </c>
      <c r="B180" t="s">
        <v>69</v>
      </c>
      <c r="C180">
        <v>20</v>
      </c>
      <c r="D180" t="s">
        <v>79</v>
      </c>
      <c r="E180" t="s">
        <v>88</v>
      </c>
      <c r="F180" t="s">
        <v>72</v>
      </c>
      <c r="G180">
        <v>31.261941493130401</v>
      </c>
      <c r="H180">
        <v>3E+20</v>
      </c>
      <c r="I180">
        <v>0</v>
      </c>
      <c r="J180">
        <v>68</v>
      </c>
      <c r="K180">
        <v>48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42.684614626171097</v>
      </c>
      <c r="U180">
        <f>IF((ContinuousStatsTable[[#This Row],[RepsRequested]]&gt;1),ContinuousStatsTable[[#This Row],[HalfWidth]],ContinuousStatsTable[[#This Row],[BatchMeansHalfWidth]])</f>
        <v>3.4837709905544232</v>
      </c>
    </row>
    <row r="181" spans="1:21" x14ac:dyDescent="0.4">
      <c r="A181" t="s">
        <v>67</v>
      </c>
      <c r="B181" t="s">
        <v>69</v>
      </c>
      <c r="C181">
        <v>20</v>
      </c>
      <c r="D181" t="s">
        <v>80</v>
      </c>
      <c r="E181" t="s">
        <v>89</v>
      </c>
      <c r="F181" t="s">
        <v>82</v>
      </c>
      <c r="G181">
        <v>87.764765650574304</v>
      </c>
      <c r="H181">
        <v>3E+20</v>
      </c>
      <c r="I181">
        <v>0</v>
      </c>
      <c r="J181">
        <v>119</v>
      </c>
      <c r="K181">
        <v>75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60.764515331306598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102.902066283605</v>
      </c>
      <c r="U181">
        <f>IF((ContinuousStatsTable[[#This Row],[RepsRequested]]&gt;1),ContinuousStatsTable[[#This Row],[HalfWidth]],ContinuousStatsTable[[#This Row],[BatchMeansHalfWidth]])</f>
        <v>2.7368751260137634</v>
      </c>
    </row>
    <row r="182" spans="1:21" x14ac:dyDescent="0.4">
      <c r="A182" t="s">
        <v>67</v>
      </c>
      <c r="B182" t="s">
        <v>69</v>
      </c>
      <c r="C182">
        <v>21</v>
      </c>
      <c r="D182" t="s">
        <v>70</v>
      </c>
      <c r="E182" t="s">
        <v>88</v>
      </c>
      <c r="F182" t="s">
        <v>72</v>
      </c>
      <c r="G182">
        <v>0</v>
      </c>
      <c r="H182">
        <v>2E+20</v>
      </c>
      <c r="I182">
        <v>0</v>
      </c>
      <c r="J182">
        <v>0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0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0</v>
      </c>
      <c r="U182" s="5">
        <f>IF((ContinuousStatsTable[[#This Row],[RepsRequested]]&gt;1),ContinuousStatsTable[[#This Row],[HalfWidth]],ContinuousStatsTable[[#This Row],[BatchMeansHalfWidth]])</f>
        <v>0</v>
      </c>
    </row>
    <row r="183" spans="1:21" x14ac:dyDescent="0.4">
      <c r="A183" t="s">
        <v>67</v>
      </c>
      <c r="B183" t="s">
        <v>69</v>
      </c>
      <c r="C183">
        <v>21</v>
      </c>
      <c r="D183" t="s">
        <v>73</v>
      </c>
      <c r="E183" t="s">
        <v>88</v>
      </c>
      <c r="F183" t="s">
        <v>72</v>
      </c>
      <c r="G183">
        <v>0</v>
      </c>
      <c r="H183">
        <v>2E+20</v>
      </c>
      <c r="I183">
        <v>0</v>
      </c>
      <c r="J183">
        <v>0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4">
      <c r="A184" t="s">
        <v>67</v>
      </c>
      <c r="B184" t="s">
        <v>69</v>
      </c>
      <c r="C184">
        <v>21</v>
      </c>
      <c r="D184" t="s">
        <v>74</v>
      </c>
      <c r="E184" t="s">
        <v>88</v>
      </c>
      <c r="F184" t="s">
        <v>72</v>
      </c>
      <c r="G184">
        <v>0</v>
      </c>
      <c r="H184">
        <v>2E+20</v>
      </c>
      <c r="I184">
        <v>0</v>
      </c>
      <c r="J184">
        <v>0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</v>
      </c>
      <c r="U184" s="5">
        <f>IF((ContinuousStatsTable[[#This Row],[RepsRequested]]&gt;1),ContinuousStatsTable[[#This Row],[HalfWidth]],ContinuousStatsTable[[#This Row],[BatchMeansHalfWidth]])</f>
        <v>0</v>
      </c>
    </row>
    <row r="185" spans="1:21" x14ac:dyDescent="0.4">
      <c r="A185" t="s">
        <v>67</v>
      </c>
      <c r="B185" t="s">
        <v>69</v>
      </c>
      <c r="C185">
        <v>21</v>
      </c>
      <c r="D185" t="s">
        <v>75</v>
      </c>
      <c r="E185" t="s">
        <v>88</v>
      </c>
      <c r="F185" t="s">
        <v>72</v>
      </c>
      <c r="G185">
        <v>0</v>
      </c>
      <c r="H185">
        <v>2E+20</v>
      </c>
      <c r="I185">
        <v>0</v>
      </c>
      <c r="J185">
        <v>0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4">
      <c r="A186" t="s">
        <v>67</v>
      </c>
      <c r="B186" t="s">
        <v>69</v>
      </c>
      <c r="C186">
        <v>21</v>
      </c>
      <c r="D186" t="s">
        <v>76</v>
      </c>
      <c r="E186" t="s">
        <v>88</v>
      </c>
      <c r="F186" t="s">
        <v>72</v>
      </c>
      <c r="G186">
        <v>0.16130149665885099</v>
      </c>
      <c r="H186">
        <v>2E+20</v>
      </c>
      <c r="I186">
        <v>0</v>
      </c>
      <c r="J186">
        <v>9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38.078147260668999</v>
      </c>
      <c r="U186" s="5">
        <f>IF((ContinuousStatsTable[[#This Row],[RepsRequested]]&gt;1),ContinuousStatsTable[[#This Row],[HalfWidth]],ContinuousStatsTable[[#This Row],[BatchMeansHalfWidth]])</f>
        <v>2.1115241847680202</v>
      </c>
    </row>
    <row r="187" spans="1:21" x14ac:dyDescent="0.4">
      <c r="A187" t="s">
        <v>67</v>
      </c>
      <c r="B187" t="s">
        <v>69</v>
      </c>
      <c r="C187">
        <v>21</v>
      </c>
      <c r="D187" t="s">
        <v>77</v>
      </c>
      <c r="E187" t="s">
        <v>88</v>
      </c>
      <c r="F187" t="s">
        <v>72</v>
      </c>
      <c r="G187">
        <v>5.4920208415729803</v>
      </c>
      <c r="H187">
        <v>3E+20</v>
      </c>
      <c r="I187">
        <v>0</v>
      </c>
      <c r="J187">
        <v>38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49.6745792704859</v>
      </c>
      <c r="U187" s="5">
        <f>IF((ContinuousStatsTable[[#This Row],[RepsRequested]]&gt;1),ContinuousStatsTable[[#This Row],[HalfWidth]],ContinuousStatsTable[[#This Row],[BatchMeansHalfWidth]])</f>
        <v>3.578413083149202</v>
      </c>
    </row>
    <row r="188" spans="1:21" x14ac:dyDescent="0.4">
      <c r="A188" t="s">
        <v>67</v>
      </c>
      <c r="B188" t="s">
        <v>69</v>
      </c>
      <c r="C188">
        <v>21</v>
      </c>
      <c r="D188" t="s">
        <v>78</v>
      </c>
      <c r="E188" t="s">
        <v>88</v>
      </c>
      <c r="F188" t="s">
        <v>72</v>
      </c>
      <c r="G188">
        <v>20.7248661641413</v>
      </c>
      <c r="H188">
        <v>3E+20</v>
      </c>
      <c r="I188">
        <v>0</v>
      </c>
      <c r="J188">
        <v>70</v>
      </c>
      <c r="K188">
        <v>70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51.634328282384999</v>
      </c>
      <c r="U188" s="5">
        <f>IF((ContinuousStatsTable[[#This Row],[RepsRequested]]&gt;1),ContinuousStatsTable[[#This Row],[HalfWidth]],ContinuousStatsTable[[#This Row],[BatchMeansHalfWidth]])</f>
        <v>4.2398640284824616</v>
      </c>
    </row>
    <row r="189" spans="1:21" x14ac:dyDescent="0.4">
      <c r="A189" t="s">
        <v>67</v>
      </c>
      <c r="B189" t="s">
        <v>69</v>
      </c>
      <c r="C189">
        <v>21</v>
      </c>
      <c r="D189" t="s">
        <v>79</v>
      </c>
      <c r="E189" t="s">
        <v>88</v>
      </c>
      <c r="F189" t="s">
        <v>72</v>
      </c>
      <c r="G189">
        <v>0.36260640674167199</v>
      </c>
      <c r="H189">
        <v>2E+20</v>
      </c>
      <c r="I189">
        <v>0</v>
      </c>
      <c r="J189">
        <v>14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42.684614626171097</v>
      </c>
      <c r="U189" s="5">
        <f>IF((ContinuousStatsTable[[#This Row],[RepsRequested]]&gt;1),ContinuousStatsTable[[#This Row],[HalfWidth]],ContinuousStatsTable[[#This Row],[BatchMeansHalfWidth]])</f>
        <v>3.4837709905544232</v>
      </c>
    </row>
    <row r="190" spans="1:21" x14ac:dyDescent="0.4">
      <c r="A190" t="s">
        <v>67</v>
      </c>
      <c r="B190" t="s">
        <v>69</v>
      </c>
      <c r="C190">
        <v>21</v>
      </c>
      <c r="D190" t="s">
        <v>80</v>
      </c>
      <c r="E190" t="s">
        <v>89</v>
      </c>
      <c r="F190" t="s">
        <v>82</v>
      </c>
      <c r="G190">
        <v>73.860870546855196</v>
      </c>
      <c r="H190">
        <v>3E+20</v>
      </c>
      <c r="I190">
        <v>0</v>
      </c>
      <c r="J190">
        <v>129</v>
      </c>
      <c r="K190">
        <v>125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60.764515331306598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102.902066283605</v>
      </c>
      <c r="U190" s="5">
        <f>IF((ContinuousStatsTable[[#This Row],[RepsRequested]]&gt;1),ContinuousStatsTable[[#This Row],[HalfWidth]],ContinuousStatsTable[[#This Row],[BatchMeansHalfWidth]])</f>
        <v>2.7368751260137634</v>
      </c>
    </row>
    <row r="191" spans="1:21" x14ac:dyDescent="0.4">
      <c r="A191" t="s">
        <v>67</v>
      </c>
      <c r="B191" t="s">
        <v>69</v>
      </c>
      <c r="C191">
        <v>22</v>
      </c>
      <c r="D191" t="s">
        <v>70</v>
      </c>
      <c r="E191" t="s">
        <v>88</v>
      </c>
      <c r="F191" t="s">
        <v>72</v>
      </c>
      <c r="G191">
        <v>0</v>
      </c>
      <c r="H191">
        <v>2E+20</v>
      </c>
      <c r="I191">
        <v>0</v>
      </c>
      <c r="J191">
        <v>0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0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</v>
      </c>
      <c r="U191" s="5">
        <f>IF((ContinuousStatsTable[[#This Row],[RepsRequested]]&gt;1),ContinuousStatsTable[[#This Row],[HalfWidth]],ContinuousStatsTable[[#This Row],[BatchMeansHalfWidth]])</f>
        <v>0</v>
      </c>
    </row>
    <row r="192" spans="1:21" x14ac:dyDescent="0.4">
      <c r="A192" t="s">
        <v>67</v>
      </c>
      <c r="B192" t="s">
        <v>69</v>
      </c>
      <c r="C192">
        <v>22</v>
      </c>
      <c r="D192" t="s">
        <v>73</v>
      </c>
      <c r="E192" t="s">
        <v>88</v>
      </c>
      <c r="F192" t="s">
        <v>72</v>
      </c>
      <c r="G192">
        <v>0</v>
      </c>
      <c r="H192">
        <v>2E+20</v>
      </c>
      <c r="I192">
        <v>0</v>
      </c>
      <c r="J192">
        <v>0</v>
      </c>
      <c r="K192">
        <v>0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4">
      <c r="A193" t="s">
        <v>67</v>
      </c>
      <c r="B193" t="s">
        <v>69</v>
      </c>
      <c r="C193">
        <v>22</v>
      </c>
      <c r="D193" t="s">
        <v>74</v>
      </c>
      <c r="E193" t="s">
        <v>88</v>
      </c>
      <c r="F193" t="s">
        <v>72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4">
      <c r="A194" t="s">
        <v>67</v>
      </c>
      <c r="B194" t="s">
        <v>69</v>
      </c>
      <c r="C194">
        <v>22</v>
      </c>
      <c r="D194" t="s">
        <v>75</v>
      </c>
      <c r="E194" t="s">
        <v>88</v>
      </c>
      <c r="F194" t="s">
        <v>72</v>
      </c>
      <c r="G194">
        <v>0</v>
      </c>
      <c r="H194">
        <v>2E+20</v>
      </c>
      <c r="I194">
        <v>0</v>
      </c>
      <c r="J194">
        <v>0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4">
      <c r="A195" t="s">
        <v>67</v>
      </c>
      <c r="B195" t="s">
        <v>69</v>
      </c>
      <c r="C195">
        <v>22</v>
      </c>
      <c r="D195" t="s">
        <v>76</v>
      </c>
      <c r="E195" t="s">
        <v>88</v>
      </c>
      <c r="F195" t="s">
        <v>72</v>
      </c>
      <c r="G195">
        <v>0</v>
      </c>
      <c r="H195">
        <v>2E+20</v>
      </c>
      <c r="I195">
        <v>0</v>
      </c>
      <c r="J195">
        <v>0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38.078147260668999</v>
      </c>
      <c r="U195" s="5">
        <f>IF((ContinuousStatsTable[[#This Row],[RepsRequested]]&gt;1),ContinuousStatsTable[[#This Row],[HalfWidth]],ContinuousStatsTable[[#This Row],[BatchMeansHalfWidth]])</f>
        <v>2.1115241847680202</v>
      </c>
    </row>
    <row r="196" spans="1:21" x14ac:dyDescent="0.4">
      <c r="A196" t="s">
        <v>67</v>
      </c>
      <c r="B196" t="s">
        <v>69</v>
      </c>
      <c r="C196">
        <v>22</v>
      </c>
      <c r="D196" t="s">
        <v>77</v>
      </c>
      <c r="E196" t="s">
        <v>88</v>
      </c>
      <c r="F196" t="s">
        <v>72</v>
      </c>
      <c r="G196">
        <v>25.705314964126</v>
      </c>
      <c r="H196">
        <v>3E+20</v>
      </c>
      <c r="I196">
        <v>0</v>
      </c>
      <c r="J196">
        <v>46</v>
      </c>
      <c r="K196">
        <v>44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49.6745792704859</v>
      </c>
      <c r="U196" s="5">
        <f>IF((ContinuousStatsTable[[#This Row],[RepsRequested]]&gt;1),ContinuousStatsTable[[#This Row],[HalfWidth]],ContinuousStatsTable[[#This Row],[BatchMeansHalfWidth]])</f>
        <v>3.578413083149202</v>
      </c>
    </row>
    <row r="197" spans="1:21" x14ac:dyDescent="0.4">
      <c r="A197" t="s">
        <v>67</v>
      </c>
      <c r="B197" t="s">
        <v>69</v>
      </c>
      <c r="C197">
        <v>22</v>
      </c>
      <c r="D197" t="s">
        <v>78</v>
      </c>
      <c r="E197" t="s">
        <v>88</v>
      </c>
      <c r="F197" t="s">
        <v>72</v>
      </c>
      <c r="G197">
        <v>0.49765726600776899</v>
      </c>
      <c r="H197">
        <v>2E+20</v>
      </c>
      <c r="I197">
        <v>0</v>
      </c>
      <c r="J197">
        <v>9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51.634328282384999</v>
      </c>
      <c r="U197" s="5">
        <f>IF((ContinuousStatsTable[[#This Row],[RepsRequested]]&gt;1),ContinuousStatsTable[[#This Row],[HalfWidth]],ContinuousStatsTable[[#This Row],[BatchMeansHalfWidth]])</f>
        <v>4.2398640284824616</v>
      </c>
    </row>
    <row r="198" spans="1:21" x14ac:dyDescent="0.4">
      <c r="A198" t="s">
        <v>67</v>
      </c>
      <c r="B198" t="s">
        <v>69</v>
      </c>
      <c r="C198">
        <v>22</v>
      </c>
      <c r="D198" t="s">
        <v>79</v>
      </c>
      <c r="E198" t="s">
        <v>88</v>
      </c>
      <c r="F198" t="s">
        <v>72</v>
      </c>
      <c r="G198">
        <v>0.41930310442079299</v>
      </c>
      <c r="H198">
        <v>2E+20</v>
      </c>
      <c r="I198">
        <v>0</v>
      </c>
      <c r="J198">
        <v>8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42.684614626171097</v>
      </c>
      <c r="U198" s="5">
        <f>IF((ContinuousStatsTable[[#This Row],[RepsRequested]]&gt;1),ContinuousStatsTable[[#This Row],[HalfWidth]],ContinuousStatsTable[[#This Row],[BatchMeansHalfWidth]])</f>
        <v>3.4837709905544232</v>
      </c>
    </row>
    <row r="199" spans="1:21" x14ac:dyDescent="0.4">
      <c r="A199" t="s">
        <v>67</v>
      </c>
      <c r="B199" t="s">
        <v>69</v>
      </c>
      <c r="C199">
        <v>22</v>
      </c>
      <c r="D199" t="s">
        <v>80</v>
      </c>
      <c r="E199" t="s">
        <v>89</v>
      </c>
      <c r="F199" t="s">
        <v>82</v>
      </c>
      <c r="G199">
        <v>72.6461457975484</v>
      </c>
      <c r="H199">
        <v>3E+20</v>
      </c>
      <c r="I199">
        <v>0</v>
      </c>
      <c r="J199">
        <v>103</v>
      </c>
      <c r="K199">
        <v>94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60.764515331306598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102.902066283605</v>
      </c>
      <c r="U199" s="5">
        <f>IF((ContinuousStatsTable[[#This Row],[RepsRequested]]&gt;1),ContinuousStatsTable[[#This Row],[HalfWidth]],ContinuousStatsTable[[#This Row],[BatchMeansHalfWidth]])</f>
        <v>2.7368751260137634</v>
      </c>
    </row>
    <row r="200" spans="1:21" x14ac:dyDescent="0.4">
      <c r="A200" t="s">
        <v>67</v>
      </c>
      <c r="B200" t="s">
        <v>69</v>
      </c>
      <c r="C200">
        <v>23</v>
      </c>
      <c r="D200" t="s">
        <v>70</v>
      </c>
      <c r="E200" t="s">
        <v>88</v>
      </c>
      <c r="F200" t="s">
        <v>72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4">
      <c r="A201" t="s">
        <v>67</v>
      </c>
      <c r="B201" t="s">
        <v>69</v>
      </c>
      <c r="C201">
        <v>23</v>
      </c>
      <c r="D201" t="s">
        <v>73</v>
      </c>
      <c r="E201" t="s">
        <v>88</v>
      </c>
      <c r="F201" t="s">
        <v>72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4">
      <c r="A202" t="s">
        <v>67</v>
      </c>
      <c r="B202" t="s">
        <v>69</v>
      </c>
      <c r="C202">
        <v>23</v>
      </c>
      <c r="D202" t="s">
        <v>74</v>
      </c>
      <c r="E202" t="s">
        <v>88</v>
      </c>
      <c r="F202" t="s">
        <v>72</v>
      </c>
      <c r="G202">
        <v>0</v>
      </c>
      <c r="H202">
        <v>2E+20</v>
      </c>
      <c r="I202">
        <v>0</v>
      </c>
      <c r="J202">
        <v>0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4">
      <c r="A203" t="s">
        <v>67</v>
      </c>
      <c r="B203" t="s">
        <v>69</v>
      </c>
      <c r="C203">
        <v>23</v>
      </c>
      <c r="D203" t="s">
        <v>75</v>
      </c>
      <c r="E203" t="s">
        <v>88</v>
      </c>
      <c r="F203" t="s">
        <v>72</v>
      </c>
      <c r="G203">
        <v>0</v>
      </c>
      <c r="H203">
        <v>2E+20</v>
      </c>
      <c r="I203">
        <v>0</v>
      </c>
      <c r="J203">
        <v>0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</v>
      </c>
      <c r="U203" s="5">
        <f>IF((ContinuousStatsTable[[#This Row],[RepsRequested]]&gt;1),ContinuousStatsTable[[#This Row],[HalfWidth]],ContinuousStatsTable[[#This Row],[BatchMeansHalfWidth]])</f>
        <v>0</v>
      </c>
    </row>
    <row r="204" spans="1:21" x14ac:dyDescent="0.4">
      <c r="A204" t="s">
        <v>67</v>
      </c>
      <c r="B204" t="s">
        <v>69</v>
      </c>
      <c r="C204">
        <v>23</v>
      </c>
      <c r="D204" t="s">
        <v>76</v>
      </c>
      <c r="E204" t="s">
        <v>88</v>
      </c>
      <c r="F204" t="s">
        <v>72</v>
      </c>
      <c r="G204">
        <v>38.078147260668999</v>
      </c>
      <c r="H204">
        <v>3E+20</v>
      </c>
      <c r="I204">
        <v>0</v>
      </c>
      <c r="J204">
        <v>76</v>
      </c>
      <c r="K204">
        <v>5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38.078147260668999</v>
      </c>
      <c r="U204" s="5">
        <f>IF((ContinuousStatsTable[[#This Row],[RepsRequested]]&gt;1),ContinuousStatsTable[[#This Row],[HalfWidth]],ContinuousStatsTable[[#This Row],[BatchMeansHalfWidth]])</f>
        <v>2.1115241847680202</v>
      </c>
    </row>
    <row r="205" spans="1:21" x14ac:dyDescent="0.4">
      <c r="A205" t="s">
        <v>67</v>
      </c>
      <c r="B205" t="s">
        <v>69</v>
      </c>
      <c r="C205">
        <v>23</v>
      </c>
      <c r="D205" t="s">
        <v>77</v>
      </c>
      <c r="E205" t="s">
        <v>88</v>
      </c>
      <c r="F205" t="s">
        <v>72</v>
      </c>
      <c r="G205">
        <v>0</v>
      </c>
      <c r="H205">
        <v>2E+20</v>
      </c>
      <c r="I205">
        <v>0</v>
      </c>
      <c r="J205">
        <v>0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49.6745792704859</v>
      </c>
      <c r="U205" s="5">
        <f>IF((ContinuousStatsTable[[#This Row],[RepsRequested]]&gt;1),ContinuousStatsTable[[#This Row],[HalfWidth]],ContinuousStatsTable[[#This Row],[BatchMeansHalfWidth]])</f>
        <v>3.578413083149202</v>
      </c>
    </row>
    <row r="206" spans="1:21" x14ac:dyDescent="0.4">
      <c r="A206" t="s">
        <v>67</v>
      </c>
      <c r="B206" t="s">
        <v>69</v>
      </c>
      <c r="C206">
        <v>23</v>
      </c>
      <c r="D206" t="s">
        <v>78</v>
      </c>
      <c r="E206" t="s">
        <v>88</v>
      </c>
      <c r="F206" t="s">
        <v>72</v>
      </c>
      <c r="G206">
        <v>0.94797306437523199</v>
      </c>
      <c r="H206">
        <v>2E+20</v>
      </c>
      <c r="I206">
        <v>0</v>
      </c>
      <c r="J206">
        <v>20</v>
      </c>
      <c r="K206">
        <v>15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51.634328282384999</v>
      </c>
      <c r="U206" s="5">
        <f>IF((ContinuousStatsTable[[#This Row],[RepsRequested]]&gt;1),ContinuousStatsTable[[#This Row],[HalfWidth]],ContinuousStatsTable[[#This Row],[BatchMeansHalfWidth]])</f>
        <v>4.2398640284824616</v>
      </c>
    </row>
    <row r="207" spans="1:21" x14ac:dyDescent="0.4">
      <c r="A207" t="s">
        <v>67</v>
      </c>
      <c r="B207" t="s">
        <v>69</v>
      </c>
      <c r="C207">
        <v>23</v>
      </c>
      <c r="D207" t="s">
        <v>79</v>
      </c>
      <c r="E207" t="s">
        <v>88</v>
      </c>
      <c r="F207" t="s">
        <v>72</v>
      </c>
      <c r="G207">
        <v>2.0807854326836002</v>
      </c>
      <c r="H207">
        <v>3E+20</v>
      </c>
      <c r="I207">
        <v>0</v>
      </c>
      <c r="J207">
        <v>16</v>
      </c>
      <c r="K207">
        <v>3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42.684614626171097</v>
      </c>
      <c r="U207" s="5">
        <f>IF((ContinuousStatsTable[[#This Row],[RepsRequested]]&gt;1),ContinuousStatsTable[[#This Row],[HalfWidth]],ContinuousStatsTable[[#This Row],[BatchMeansHalfWidth]])</f>
        <v>3.4837709905544232</v>
      </c>
    </row>
    <row r="208" spans="1:21" x14ac:dyDescent="0.4">
      <c r="A208" t="s">
        <v>67</v>
      </c>
      <c r="B208" t="s">
        <v>69</v>
      </c>
      <c r="C208">
        <v>23</v>
      </c>
      <c r="D208" t="s">
        <v>80</v>
      </c>
      <c r="E208" t="s">
        <v>89</v>
      </c>
      <c r="F208" t="s">
        <v>82</v>
      </c>
      <c r="G208">
        <v>89.932933319156902</v>
      </c>
      <c r="H208">
        <v>3E+20</v>
      </c>
      <c r="I208">
        <v>0</v>
      </c>
      <c r="J208">
        <v>129</v>
      </c>
      <c r="K208">
        <v>80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60.764515331306598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102.902066283605</v>
      </c>
      <c r="U208" s="5">
        <f>IF((ContinuousStatsTable[[#This Row],[RepsRequested]]&gt;1),ContinuousStatsTable[[#This Row],[HalfWidth]],ContinuousStatsTable[[#This Row],[BatchMeansHalfWidth]])</f>
        <v>2.7368751260137634</v>
      </c>
    </row>
    <row r="209" spans="1:21" x14ac:dyDescent="0.4">
      <c r="A209" t="s">
        <v>67</v>
      </c>
      <c r="B209" t="s">
        <v>69</v>
      </c>
      <c r="C209">
        <v>24</v>
      </c>
      <c r="D209" t="s">
        <v>70</v>
      </c>
      <c r="E209" t="s">
        <v>88</v>
      </c>
      <c r="F209" t="s">
        <v>72</v>
      </c>
      <c r="G209">
        <v>0</v>
      </c>
      <c r="H209">
        <v>2E+20</v>
      </c>
      <c r="I209">
        <v>0</v>
      </c>
      <c r="J209">
        <v>0</v>
      </c>
      <c r="K209">
        <v>0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0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0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4">
      <c r="A210" t="s">
        <v>67</v>
      </c>
      <c r="B210" t="s">
        <v>69</v>
      </c>
      <c r="C210">
        <v>24</v>
      </c>
      <c r="D210" t="s">
        <v>73</v>
      </c>
      <c r="E210" t="s">
        <v>88</v>
      </c>
      <c r="F210" t="s">
        <v>72</v>
      </c>
      <c r="G210">
        <v>0</v>
      </c>
      <c r="H210">
        <v>2E+20</v>
      </c>
      <c r="I210">
        <v>0</v>
      </c>
      <c r="J210">
        <v>0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</v>
      </c>
      <c r="U210" s="5">
        <f>IF((ContinuousStatsTable[[#This Row],[RepsRequested]]&gt;1),ContinuousStatsTable[[#This Row],[HalfWidth]],ContinuousStatsTable[[#This Row],[BatchMeansHalfWidth]])</f>
        <v>0</v>
      </c>
    </row>
    <row r="211" spans="1:21" x14ac:dyDescent="0.4">
      <c r="A211" t="s">
        <v>67</v>
      </c>
      <c r="B211" t="s">
        <v>69</v>
      </c>
      <c r="C211">
        <v>24</v>
      </c>
      <c r="D211" t="s">
        <v>74</v>
      </c>
      <c r="E211" t="s">
        <v>88</v>
      </c>
      <c r="F211" t="s">
        <v>72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4">
      <c r="A212" t="s">
        <v>67</v>
      </c>
      <c r="B212" t="s">
        <v>69</v>
      </c>
      <c r="C212">
        <v>24</v>
      </c>
      <c r="D212" t="s">
        <v>75</v>
      </c>
      <c r="E212" t="s">
        <v>88</v>
      </c>
      <c r="F212" t="s">
        <v>72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4">
      <c r="A213" t="s">
        <v>67</v>
      </c>
      <c r="B213" t="s">
        <v>69</v>
      </c>
      <c r="C213">
        <v>24</v>
      </c>
      <c r="D213" t="s">
        <v>76</v>
      </c>
      <c r="E213" t="s">
        <v>88</v>
      </c>
      <c r="F213" t="s">
        <v>72</v>
      </c>
      <c r="G213">
        <v>1.8643428294934501</v>
      </c>
      <c r="H213">
        <v>3E+20</v>
      </c>
      <c r="I213">
        <v>0</v>
      </c>
      <c r="J213">
        <v>15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38.078147260668999</v>
      </c>
      <c r="U213" s="5">
        <f>IF((ContinuousStatsTable[[#This Row],[RepsRequested]]&gt;1),ContinuousStatsTable[[#This Row],[HalfWidth]],ContinuousStatsTable[[#This Row],[BatchMeansHalfWidth]])</f>
        <v>2.1115241847680202</v>
      </c>
    </row>
    <row r="214" spans="1:21" x14ac:dyDescent="0.4">
      <c r="A214" t="s">
        <v>67</v>
      </c>
      <c r="B214" t="s">
        <v>69</v>
      </c>
      <c r="C214">
        <v>24</v>
      </c>
      <c r="D214" t="s">
        <v>77</v>
      </c>
      <c r="E214" t="s">
        <v>88</v>
      </c>
      <c r="F214" t="s">
        <v>72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49.6745792704859</v>
      </c>
      <c r="U214" s="5">
        <f>IF((ContinuousStatsTable[[#This Row],[RepsRequested]]&gt;1),ContinuousStatsTable[[#This Row],[HalfWidth]],ContinuousStatsTable[[#This Row],[BatchMeansHalfWidth]])</f>
        <v>3.578413083149202</v>
      </c>
    </row>
    <row r="215" spans="1:21" x14ac:dyDescent="0.4">
      <c r="A215" t="s">
        <v>67</v>
      </c>
      <c r="B215" t="s">
        <v>69</v>
      </c>
      <c r="C215">
        <v>24</v>
      </c>
      <c r="D215" t="s">
        <v>78</v>
      </c>
      <c r="E215" t="s">
        <v>88</v>
      </c>
      <c r="F215" t="s">
        <v>72</v>
      </c>
      <c r="G215">
        <v>32.143287516906597</v>
      </c>
      <c r="H215">
        <v>3E+20</v>
      </c>
      <c r="I215">
        <v>0</v>
      </c>
      <c r="J215">
        <v>55</v>
      </c>
      <c r="K215">
        <v>53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51.634328282384999</v>
      </c>
      <c r="U215" s="5">
        <f>IF((ContinuousStatsTable[[#This Row],[RepsRequested]]&gt;1),ContinuousStatsTable[[#This Row],[HalfWidth]],ContinuousStatsTable[[#This Row],[BatchMeansHalfWidth]])</f>
        <v>4.2398640284824616</v>
      </c>
    </row>
    <row r="216" spans="1:21" x14ac:dyDescent="0.4">
      <c r="A216" t="s">
        <v>67</v>
      </c>
      <c r="B216" t="s">
        <v>69</v>
      </c>
      <c r="C216">
        <v>24</v>
      </c>
      <c r="D216" t="s">
        <v>79</v>
      </c>
      <c r="E216" t="s">
        <v>88</v>
      </c>
      <c r="F216" t="s">
        <v>72</v>
      </c>
      <c r="G216">
        <v>2.47981429368343E-4</v>
      </c>
      <c r="H216">
        <v>2E+20</v>
      </c>
      <c r="I216">
        <v>0</v>
      </c>
      <c r="J216">
        <v>1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42.684614626171097</v>
      </c>
      <c r="U216" s="5">
        <f>IF((ContinuousStatsTable[[#This Row],[RepsRequested]]&gt;1),ContinuousStatsTable[[#This Row],[HalfWidth]],ContinuousStatsTable[[#This Row],[BatchMeansHalfWidth]])</f>
        <v>3.4837709905544232</v>
      </c>
    </row>
    <row r="217" spans="1:21" x14ac:dyDescent="0.4">
      <c r="A217" t="s">
        <v>67</v>
      </c>
      <c r="B217" t="s">
        <v>69</v>
      </c>
      <c r="C217">
        <v>24</v>
      </c>
      <c r="D217" t="s">
        <v>80</v>
      </c>
      <c r="E217" t="s">
        <v>89</v>
      </c>
      <c r="F217" t="s">
        <v>82</v>
      </c>
      <c r="G217">
        <v>83.0588838658188</v>
      </c>
      <c r="H217">
        <v>3E+20</v>
      </c>
      <c r="I217">
        <v>0</v>
      </c>
      <c r="J217">
        <v>112</v>
      </c>
      <c r="K217">
        <v>105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60.764515331306598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102.902066283605</v>
      </c>
      <c r="U217" s="5">
        <f>IF((ContinuousStatsTable[[#This Row],[RepsRequested]]&gt;1),ContinuousStatsTable[[#This Row],[HalfWidth]],ContinuousStatsTable[[#This Row],[BatchMeansHalfWidth]])</f>
        <v>2.7368751260137634</v>
      </c>
    </row>
    <row r="218" spans="1:21" x14ac:dyDescent="0.4">
      <c r="A218" t="s">
        <v>67</v>
      </c>
      <c r="B218" t="s">
        <v>69</v>
      </c>
      <c r="C218">
        <v>25</v>
      </c>
      <c r="D218" t="s">
        <v>70</v>
      </c>
      <c r="E218" t="s">
        <v>88</v>
      </c>
      <c r="F218" t="s">
        <v>72</v>
      </c>
      <c r="G218">
        <v>0</v>
      </c>
      <c r="H218">
        <v>2E+20</v>
      </c>
      <c r="I218">
        <v>0</v>
      </c>
      <c r="J218">
        <v>0</v>
      </c>
      <c r="K218">
        <v>0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4">
      <c r="A219" t="s">
        <v>67</v>
      </c>
      <c r="B219" t="s">
        <v>69</v>
      </c>
      <c r="C219">
        <v>25</v>
      </c>
      <c r="D219" t="s">
        <v>73</v>
      </c>
      <c r="E219" t="s">
        <v>88</v>
      </c>
      <c r="F219" t="s">
        <v>72</v>
      </c>
      <c r="G219">
        <v>0</v>
      </c>
      <c r="H219">
        <v>2E+20</v>
      </c>
      <c r="I219">
        <v>0</v>
      </c>
      <c r="J219">
        <v>0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4">
      <c r="A220" t="s">
        <v>67</v>
      </c>
      <c r="B220" t="s">
        <v>69</v>
      </c>
      <c r="C220">
        <v>25</v>
      </c>
      <c r="D220" t="s">
        <v>74</v>
      </c>
      <c r="E220" t="s">
        <v>88</v>
      </c>
      <c r="F220" t="s">
        <v>72</v>
      </c>
      <c r="G220">
        <v>0</v>
      </c>
      <c r="H220">
        <v>2E+20</v>
      </c>
      <c r="I220">
        <v>0</v>
      </c>
      <c r="J220">
        <v>0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4">
      <c r="A221" t="s">
        <v>67</v>
      </c>
      <c r="B221" t="s">
        <v>69</v>
      </c>
      <c r="C221">
        <v>25</v>
      </c>
      <c r="D221" t="s">
        <v>75</v>
      </c>
      <c r="E221" t="s">
        <v>88</v>
      </c>
      <c r="F221" t="s">
        <v>72</v>
      </c>
      <c r="G221">
        <v>0</v>
      </c>
      <c r="H221">
        <v>2E+20</v>
      </c>
      <c r="I221">
        <v>0</v>
      </c>
      <c r="J221">
        <v>0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</v>
      </c>
      <c r="U221" s="5">
        <f>IF((ContinuousStatsTable[[#This Row],[RepsRequested]]&gt;1),ContinuousStatsTable[[#This Row],[HalfWidth]],ContinuousStatsTable[[#This Row],[BatchMeansHalfWidth]])</f>
        <v>0</v>
      </c>
    </row>
    <row r="222" spans="1:21" x14ac:dyDescent="0.4">
      <c r="A222" t="s">
        <v>67</v>
      </c>
      <c r="B222" t="s">
        <v>69</v>
      </c>
      <c r="C222">
        <v>25</v>
      </c>
      <c r="D222" t="s">
        <v>76</v>
      </c>
      <c r="E222" t="s">
        <v>88</v>
      </c>
      <c r="F222" t="s">
        <v>72</v>
      </c>
      <c r="G222">
        <v>0</v>
      </c>
      <c r="H222">
        <v>2E+20</v>
      </c>
      <c r="I222">
        <v>0</v>
      </c>
      <c r="J222">
        <v>0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38.078147260668999</v>
      </c>
      <c r="U222" s="5">
        <f>IF((ContinuousStatsTable[[#This Row],[RepsRequested]]&gt;1),ContinuousStatsTable[[#This Row],[HalfWidth]],ContinuousStatsTable[[#This Row],[BatchMeansHalfWidth]])</f>
        <v>2.1115241847680202</v>
      </c>
    </row>
    <row r="223" spans="1:21" x14ac:dyDescent="0.4">
      <c r="A223" t="s">
        <v>67</v>
      </c>
      <c r="B223" t="s">
        <v>69</v>
      </c>
      <c r="C223">
        <v>25</v>
      </c>
      <c r="D223" t="s">
        <v>77</v>
      </c>
      <c r="E223" t="s">
        <v>88</v>
      </c>
      <c r="F223" t="s">
        <v>72</v>
      </c>
      <c r="G223">
        <v>0.272182065890754</v>
      </c>
      <c r="H223">
        <v>2E+20</v>
      </c>
      <c r="I223">
        <v>0</v>
      </c>
      <c r="J223">
        <v>9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49.6745792704859</v>
      </c>
      <c r="U223" s="5">
        <f>IF((ContinuousStatsTable[[#This Row],[RepsRequested]]&gt;1),ContinuousStatsTable[[#This Row],[HalfWidth]],ContinuousStatsTable[[#This Row],[BatchMeansHalfWidth]])</f>
        <v>3.578413083149202</v>
      </c>
    </row>
    <row r="224" spans="1:21" x14ac:dyDescent="0.4">
      <c r="A224" t="s">
        <v>67</v>
      </c>
      <c r="B224" t="s">
        <v>69</v>
      </c>
      <c r="C224">
        <v>25</v>
      </c>
      <c r="D224" t="s">
        <v>78</v>
      </c>
      <c r="E224" t="s">
        <v>88</v>
      </c>
      <c r="F224" t="s">
        <v>72</v>
      </c>
      <c r="G224">
        <v>22.6014295867848</v>
      </c>
      <c r="H224">
        <v>3E+20</v>
      </c>
      <c r="I224">
        <v>0</v>
      </c>
      <c r="J224">
        <v>43</v>
      </c>
      <c r="K224">
        <v>20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51.634328282384999</v>
      </c>
      <c r="U224" s="5">
        <f>IF((ContinuousStatsTable[[#This Row],[RepsRequested]]&gt;1),ContinuousStatsTable[[#This Row],[HalfWidth]],ContinuousStatsTable[[#This Row],[BatchMeansHalfWidth]])</f>
        <v>4.2398640284824616</v>
      </c>
    </row>
    <row r="225" spans="1:21" x14ac:dyDescent="0.4">
      <c r="A225" t="s">
        <v>67</v>
      </c>
      <c r="B225" t="s">
        <v>69</v>
      </c>
      <c r="C225">
        <v>25</v>
      </c>
      <c r="D225" t="s">
        <v>79</v>
      </c>
      <c r="E225" t="s">
        <v>88</v>
      </c>
      <c r="F225" t="s">
        <v>72</v>
      </c>
      <c r="G225">
        <v>6.94300274369742</v>
      </c>
      <c r="H225">
        <v>3E+20</v>
      </c>
      <c r="I225">
        <v>0</v>
      </c>
      <c r="J225">
        <v>37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42.684614626171097</v>
      </c>
      <c r="U225" s="5">
        <f>IF((ContinuousStatsTable[[#This Row],[RepsRequested]]&gt;1),ContinuousStatsTable[[#This Row],[HalfWidth]],ContinuousStatsTable[[#This Row],[BatchMeansHalfWidth]])</f>
        <v>3.4837709905544232</v>
      </c>
    </row>
    <row r="226" spans="1:21" x14ac:dyDescent="0.4">
      <c r="A226" t="s">
        <v>67</v>
      </c>
      <c r="B226" t="s">
        <v>69</v>
      </c>
      <c r="C226">
        <v>25</v>
      </c>
      <c r="D226" t="s">
        <v>80</v>
      </c>
      <c r="E226" t="s">
        <v>89</v>
      </c>
      <c r="F226" t="s">
        <v>82</v>
      </c>
      <c r="G226">
        <v>81.033225108724395</v>
      </c>
      <c r="H226">
        <v>3E+20</v>
      </c>
      <c r="I226">
        <v>0</v>
      </c>
      <c r="J226">
        <v>118</v>
      </c>
      <c r="K226">
        <v>78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60.764515331306598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102.902066283605</v>
      </c>
      <c r="U226" s="5">
        <f>IF((ContinuousStatsTable[[#This Row],[RepsRequested]]&gt;1),ContinuousStatsTable[[#This Row],[HalfWidth]],ContinuousStatsTable[[#This Row],[BatchMeansHalfWidth]])</f>
        <v>2.7368751260137634</v>
      </c>
    </row>
    <row r="227" spans="1:21" x14ac:dyDescent="0.4">
      <c r="A227" t="s">
        <v>67</v>
      </c>
      <c r="B227" t="s">
        <v>69</v>
      </c>
      <c r="C227">
        <v>26</v>
      </c>
      <c r="D227" t="s">
        <v>70</v>
      </c>
      <c r="E227" t="s">
        <v>88</v>
      </c>
      <c r="F227" t="s">
        <v>72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4">
      <c r="A228" t="s">
        <v>67</v>
      </c>
      <c r="B228" t="s">
        <v>69</v>
      </c>
      <c r="C228">
        <v>26</v>
      </c>
      <c r="D228" t="s">
        <v>73</v>
      </c>
      <c r="E228" t="s">
        <v>88</v>
      </c>
      <c r="F228" t="s">
        <v>72</v>
      </c>
      <c r="G228">
        <v>0</v>
      </c>
      <c r="H228">
        <v>2E+20</v>
      </c>
      <c r="I228">
        <v>0</v>
      </c>
      <c r="J228">
        <v>0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4">
      <c r="A229" t="s">
        <v>67</v>
      </c>
      <c r="B229" t="s">
        <v>69</v>
      </c>
      <c r="C229">
        <v>26</v>
      </c>
      <c r="D229" t="s">
        <v>74</v>
      </c>
      <c r="E229" t="s">
        <v>88</v>
      </c>
      <c r="F229" t="s">
        <v>72</v>
      </c>
      <c r="G229">
        <v>0</v>
      </c>
      <c r="H229">
        <v>2E+20</v>
      </c>
      <c r="I229">
        <v>0</v>
      </c>
      <c r="J229">
        <v>0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</v>
      </c>
      <c r="U229" s="5">
        <f>IF((ContinuousStatsTable[[#This Row],[RepsRequested]]&gt;1),ContinuousStatsTable[[#This Row],[HalfWidth]],ContinuousStatsTable[[#This Row],[BatchMeansHalfWidth]])</f>
        <v>0</v>
      </c>
    </row>
    <row r="230" spans="1:21" x14ac:dyDescent="0.4">
      <c r="A230" t="s">
        <v>67</v>
      </c>
      <c r="B230" t="s">
        <v>69</v>
      </c>
      <c r="C230">
        <v>26</v>
      </c>
      <c r="D230" t="s">
        <v>75</v>
      </c>
      <c r="E230" t="s">
        <v>88</v>
      </c>
      <c r="F230" t="s">
        <v>72</v>
      </c>
      <c r="G230">
        <v>0</v>
      </c>
      <c r="H230">
        <v>2E+20</v>
      </c>
      <c r="I230">
        <v>0</v>
      </c>
      <c r="J230">
        <v>0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4">
      <c r="A231" t="s">
        <v>67</v>
      </c>
      <c r="B231" t="s">
        <v>69</v>
      </c>
      <c r="C231">
        <v>26</v>
      </c>
      <c r="D231" t="s">
        <v>76</v>
      </c>
      <c r="E231" t="s">
        <v>88</v>
      </c>
      <c r="F231" t="s">
        <v>72</v>
      </c>
      <c r="G231">
        <v>3.6175063927925501E-2</v>
      </c>
      <c r="H231">
        <v>2E+20</v>
      </c>
      <c r="I231">
        <v>0</v>
      </c>
      <c r="J231">
        <v>3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38.078147260668999</v>
      </c>
      <c r="U231" s="5">
        <f>IF((ContinuousStatsTable[[#This Row],[RepsRequested]]&gt;1),ContinuousStatsTable[[#This Row],[HalfWidth]],ContinuousStatsTable[[#This Row],[BatchMeansHalfWidth]])</f>
        <v>2.1115241847680202</v>
      </c>
    </row>
    <row r="232" spans="1:21" x14ac:dyDescent="0.4">
      <c r="A232" t="s">
        <v>67</v>
      </c>
      <c r="B232" t="s">
        <v>69</v>
      </c>
      <c r="C232">
        <v>26</v>
      </c>
      <c r="D232" t="s">
        <v>77</v>
      </c>
      <c r="E232" t="s">
        <v>88</v>
      </c>
      <c r="F232" t="s">
        <v>72</v>
      </c>
      <c r="G232">
        <v>49.6745792704859</v>
      </c>
      <c r="H232">
        <v>3E+20</v>
      </c>
      <c r="I232">
        <v>0</v>
      </c>
      <c r="J232">
        <v>90</v>
      </c>
      <c r="K232">
        <v>89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49.6745792704859</v>
      </c>
      <c r="U232" s="5">
        <f>IF((ContinuousStatsTable[[#This Row],[RepsRequested]]&gt;1),ContinuousStatsTable[[#This Row],[HalfWidth]],ContinuousStatsTable[[#This Row],[BatchMeansHalfWidth]])</f>
        <v>3.578413083149202</v>
      </c>
    </row>
    <row r="233" spans="1:21" x14ac:dyDescent="0.4">
      <c r="A233" t="s">
        <v>67</v>
      </c>
      <c r="B233" t="s">
        <v>69</v>
      </c>
      <c r="C233">
        <v>26</v>
      </c>
      <c r="D233" t="s">
        <v>78</v>
      </c>
      <c r="E233" t="s">
        <v>88</v>
      </c>
      <c r="F233" t="s">
        <v>72</v>
      </c>
      <c r="G233">
        <v>8.5461889715262501E-2</v>
      </c>
      <c r="H233">
        <v>2E+20</v>
      </c>
      <c r="I233">
        <v>0</v>
      </c>
      <c r="J233">
        <v>8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51.634328282384999</v>
      </c>
      <c r="U233" s="5">
        <f>IF((ContinuousStatsTable[[#This Row],[RepsRequested]]&gt;1),ContinuousStatsTable[[#This Row],[HalfWidth]],ContinuousStatsTable[[#This Row],[BatchMeansHalfWidth]])</f>
        <v>4.2398640284824616</v>
      </c>
    </row>
    <row r="234" spans="1:21" x14ac:dyDescent="0.4">
      <c r="A234" t="s">
        <v>67</v>
      </c>
      <c r="B234" t="s">
        <v>69</v>
      </c>
      <c r="C234">
        <v>26</v>
      </c>
      <c r="D234" t="s">
        <v>79</v>
      </c>
      <c r="E234" t="s">
        <v>88</v>
      </c>
      <c r="F234" t="s">
        <v>72</v>
      </c>
      <c r="G234">
        <v>0</v>
      </c>
      <c r="H234">
        <v>2E+20</v>
      </c>
      <c r="I234">
        <v>0</v>
      </c>
      <c r="J234">
        <v>0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42.684614626171097</v>
      </c>
      <c r="U234" s="5">
        <f>IF((ContinuousStatsTable[[#This Row],[RepsRequested]]&gt;1),ContinuousStatsTable[[#This Row],[HalfWidth]],ContinuousStatsTable[[#This Row],[BatchMeansHalfWidth]])</f>
        <v>3.4837709905544232</v>
      </c>
    </row>
    <row r="235" spans="1:21" x14ac:dyDescent="0.4">
      <c r="A235" t="s">
        <v>67</v>
      </c>
      <c r="B235" t="s">
        <v>69</v>
      </c>
      <c r="C235">
        <v>26</v>
      </c>
      <c r="D235" t="s">
        <v>80</v>
      </c>
      <c r="E235" t="s">
        <v>89</v>
      </c>
      <c r="F235" t="s">
        <v>82</v>
      </c>
      <c r="G235">
        <v>95.776287349056702</v>
      </c>
      <c r="H235">
        <v>3E+20</v>
      </c>
      <c r="I235">
        <v>0</v>
      </c>
      <c r="J235">
        <v>145</v>
      </c>
      <c r="K235">
        <v>144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60.764515331306598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102.902066283605</v>
      </c>
      <c r="U235" s="5">
        <f>IF((ContinuousStatsTable[[#This Row],[RepsRequested]]&gt;1),ContinuousStatsTable[[#This Row],[HalfWidth]],ContinuousStatsTable[[#This Row],[BatchMeansHalfWidth]])</f>
        <v>2.7368751260137634</v>
      </c>
    </row>
    <row r="236" spans="1:21" x14ac:dyDescent="0.4">
      <c r="A236" t="s">
        <v>67</v>
      </c>
      <c r="B236" t="s">
        <v>69</v>
      </c>
      <c r="C236">
        <v>27</v>
      </c>
      <c r="D236" t="s">
        <v>70</v>
      </c>
      <c r="E236" t="s">
        <v>88</v>
      </c>
      <c r="F236" t="s">
        <v>72</v>
      </c>
      <c r="G236">
        <v>0</v>
      </c>
      <c r="H236">
        <v>2E+20</v>
      </c>
      <c r="I236">
        <v>0</v>
      </c>
      <c r="J236">
        <v>0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</v>
      </c>
      <c r="U236" s="5">
        <f>IF((ContinuousStatsTable[[#This Row],[RepsRequested]]&gt;1),ContinuousStatsTable[[#This Row],[HalfWidth]],ContinuousStatsTable[[#This Row],[BatchMeansHalfWidth]])</f>
        <v>0</v>
      </c>
    </row>
    <row r="237" spans="1:21" x14ac:dyDescent="0.4">
      <c r="A237" t="s">
        <v>67</v>
      </c>
      <c r="B237" t="s">
        <v>69</v>
      </c>
      <c r="C237">
        <v>27</v>
      </c>
      <c r="D237" t="s">
        <v>73</v>
      </c>
      <c r="E237" t="s">
        <v>88</v>
      </c>
      <c r="F237" t="s">
        <v>72</v>
      </c>
      <c r="G237">
        <v>0</v>
      </c>
      <c r="H237">
        <v>2E+20</v>
      </c>
      <c r="I237">
        <v>0</v>
      </c>
      <c r="J237">
        <v>0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</v>
      </c>
      <c r="U237" s="5">
        <f>IF((ContinuousStatsTable[[#This Row],[RepsRequested]]&gt;1),ContinuousStatsTable[[#This Row],[HalfWidth]],ContinuousStatsTable[[#This Row],[BatchMeansHalfWidth]])</f>
        <v>0</v>
      </c>
    </row>
    <row r="238" spans="1:21" x14ac:dyDescent="0.4">
      <c r="A238" t="s">
        <v>67</v>
      </c>
      <c r="B238" t="s">
        <v>69</v>
      </c>
      <c r="C238">
        <v>27</v>
      </c>
      <c r="D238" t="s">
        <v>74</v>
      </c>
      <c r="E238" t="s">
        <v>88</v>
      </c>
      <c r="F238" t="s">
        <v>72</v>
      </c>
      <c r="G238">
        <v>0</v>
      </c>
      <c r="H238">
        <v>2E+20</v>
      </c>
      <c r="I238">
        <v>0</v>
      </c>
      <c r="J238">
        <v>0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4">
      <c r="A239" t="s">
        <v>67</v>
      </c>
      <c r="B239" t="s">
        <v>69</v>
      </c>
      <c r="C239">
        <v>27</v>
      </c>
      <c r="D239" t="s">
        <v>75</v>
      </c>
      <c r="E239" t="s">
        <v>88</v>
      </c>
      <c r="F239" t="s">
        <v>72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4">
      <c r="A240" t="s">
        <v>67</v>
      </c>
      <c r="B240" t="s">
        <v>69</v>
      </c>
      <c r="C240">
        <v>27</v>
      </c>
      <c r="D240" t="s">
        <v>76</v>
      </c>
      <c r="E240" t="s">
        <v>88</v>
      </c>
      <c r="F240" t="s">
        <v>72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38.078147260668999</v>
      </c>
      <c r="U240" s="5">
        <f>IF((ContinuousStatsTable[[#This Row],[RepsRequested]]&gt;1),ContinuousStatsTable[[#This Row],[HalfWidth]],ContinuousStatsTable[[#This Row],[BatchMeansHalfWidth]])</f>
        <v>2.1115241847680202</v>
      </c>
    </row>
    <row r="241" spans="1:21" x14ac:dyDescent="0.4">
      <c r="A241" t="s">
        <v>67</v>
      </c>
      <c r="B241" t="s">
        <v>69</v>
      </c>
      <c r="C241">
        <v>27</v>
      </c>
      <c r="D241" t="s">
        <v>77</v>
      </c>
      <c r="E241" t="s">
        <v>88</v>
      </c>
      <c r="F241" t="s">
        <v>72</v>
      </c>
      <c r="G241">
        <v>6.0800661082241403</v>
      </c>
      <c r="H241">
        <v>3E+20</v>
      </c>
      <c r="I241">
        <v>0</v>
      </c>
      <c r="J241">
        <v>22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49.6745792704859</v>
      </c>
      <c r="U241" s="5">
        <f>IF((ContinuousStatsTable[[#This Row],[RepsRequested]]&gt;1),ContinuousStatsTable[[#This Row],[HalfWidth]],ContinuousStatsTable[[#This Row],[BatchMeansHalfWidth]])</f>
        <v>3.578413083149202</v>
      </c>
    </row>
    <row r="242" spans="1:21" x14ac:dyDescent="0.4">
      <c r="A242" t="s">
        <v>67</v>
      </c>
      <c r="B242" t="s">
        <v>69</v>
      </c>
      <c r="C242">
        <v>27</v>
      </c>
      <c r="D242" t="s">
        <v>78</v>
      </c>
      <c r="E242" t="s">
        <v>88</v>
      </c>
      <c r="F242" t="s">
        <v>72</v>
      </c>
      <c r="G242">
        <v>14.2470837531377</v>
      </c>
      <c r="H242">
        <v>3E+20</v>
      </c>
      <c r="I242">
        <v>0</v>
      </c>
      <c r="J242">
        <v>36</v>
      </c>
      <c r="K242">
        <v>18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51.634328282384999</v>
      </c>
      <c r="U242" s="5">
        <f>IF((ContinuousStatsTable[[#This Row],[RepsRequested]]&gt;1),ContinuousStatsTable[[#This Row],[HalfWidth]],ContinuousStatsTable[[#This Row],[BatchMeansHalfWidth]])</f>
        <v>4.2398640284824616</v>
      </c>
    </row>
    <row r="243" spans="1:21" x14ac:dyDescent="0.4">
      <c r="A243" t="s">
        <v>67</v>
      </c>
      <c r="B243" t="s">
        <v>69</v>
      </c>
      <c r="C243">
        <v>27</v>
      </c>
      <c r="D243" t="s">
        <v>79</v>
      </c>
      <c r="E243" t="s">
        <v>88</v>
      </c>
      <c r="F243" t="s">
        <v>72</v>
      </c>
      <c r="G243">
        <v>0.74896166348244397</v>
      </c>
      <c r="H243">
        <v>2E+20</v>
      </c>
      <c r="I243">
        <v>0</v>
      </c>
      <c r="J243">
        <v>10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42.684614626171097</v>
      </c>
      <c r="U243" s="5">
        <f>IF((ContinuousStatsTable[[#This Row],[RepsRequested]]&gt;1),ContinuousStatsTable[[#This Row],[HalfWidth]],ContinuousStatsTable[[#This Row],[BatchMeansHalfWidth]])</f>
        <v>3.4837709905544232</v>
      </c>
    </row>
    <row r="244" spans="1:21" x14ac:dyDescent="0.4">
      <c r="A244" t="s">
        <v>67</v>
      </c>
      <c r="B244" t="s">
        <v>69</v>
      </c>
      <c r="C244">
        <v>27</v>
      </c>
      <c r="D244" t="s">
        <v>80</v>
      </c>
      <c r="E244" t="s">
        <v>89</v>
      </c>
      <c r="F244" t="s">
        <v>82</v>
      </c>
      <c r="G244">
        <v>66.375821436154496</v>
      </c>
      <c r="H244">
        <v>3E+20</v>
      </c>
      <c r="I244">
        <v>0</v>
      </c>
      <c r="J244">
        <v>98</v>
      </c>
      <c r="K244">
        <v>54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60.764515331306598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102.902066283605</v>
      </c>
      <c r="U244" s="5">
        <f>IF((ContinuousStatsTable[[#This Row],[RepsRequested]]&gt;1),ContinuousStatsTable[[#This Row],[HalfWidth]],ContinuousStatsTable[[#This Row],[BatchMeansHalfWidth]])</f>
        <v>2.7368751260137634</v>
      </c>
    </row>
    <row r="245" spans="1:21" x14ac:dyDescent="0.4">
      <c r="A245" t="s">
        <v>67</v>
      </c>
      <c r="B245" t="s">
        <v>69</v>
      </c>
      <c r="C245">
        <v>28</v>
      </c>
      <c r="D245" t="s">
        <v>70</v>
      </c>
      <c r="E245" t="s">
        <v>88</v>
      </c>
      <c r="F245" t="s">
        <v>72</v>
      </c>
      <c r="G245">
        <v>0</v>
      </c>
      <c r="H245">
        <v>2E+20</v>
      </c>
      <c r="I245">
        <v>0</v>
      </c>
      <c r="J245">
        <v>0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4">
      <c r="A246" t="s">
        <v>67</v>
      </c>
      <c r="B246" t="s">
        <v>69</v>
      </c>
      <c r="C246">
        <v>28</v>
      </c>
      <c r="D246" t="s">
        <v>73</v>
      </c>
      <c r="E246" t="s">
        <v>88</v>
      </c>
      <c r="F246" t="s">
        <v>72</v>
      </c>
      <c r="G246">
        <v>0</v>
      </c>
      <c r="H246">
        <v>2E+20</v>
      </c>
      <c r="I246">
        <v>0</v>
      </c>
      <c r="J246">
        <v>0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4">
      <c r="A247" t="s">
        <v>67</v>
      </c>
      <c r="B247" t="s">
        <v>69</v>
      </c>
      <c r="C247">
        <v>28</v>
      </c>
      <c r="D247" t="s">
        <v>74</v>
      </c>
      <c r="E247" t="s">
        <v>88</v>
      </c>
      <c r="F247" t="s">
        <v>72</v>
      </c>
      <c r="G247">
        <v>0</v>
      </c>
      <c r="H247">
        <v>2E+20</v>
      </c>
      <c r="I247">
        <v>0</v>
      </c>
      <c r="J247">
        <v>0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</v>
      </c>
      <c r="U247" s="5">
        <f>IF((ContinuousStatsTable[[#This Row],[RepsRequested]]&gt;1),ContinuousStatsTable[[#This Row],[HalfWidth]],ContinuousStatsTable[[#This Row],[BatchMeansHalfWidth]])</f>
        <v>0</v>
      </c>
    </row>
    <row r="248" spans="1:21" x14ac:dyDescent="0.4">
      <c r="A248" t="s">
        <v>67</v>
      </c>
      <c r="B248" t="s">
        <v>69</v>
      </c>
      <c r="C248">
        <v>28</v>
      </c>
      <c r="D248" t="s">
        <v>75</v>
      </c>
      <c r="E248" t="s">
        <v>88</v>
      </c>
      <c r="F248" t="s">
        <v>72</v>
      </c>
      <c r="G248">
        <v>0</v>
      </c>
      <c r="H248">
        <v>2E+20</v>
      </c>
      <c r="I248">
        <v>0</v>
      </c>
      <c r="J248">
        <v>0</v>
      </c>
      <c r="K248">
        <v>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4">
      <c r="A249" t="s">
        <v>67</v>
      </c>
      <c r="B249" t="s">
        <v>69</v>
      </c>
      <c r="C249">
        <v>28</v>
      </c>
      <c r="D249" t="s">
        <v>76</v>
      </c>
      <c r="E249" t="s">
        <v>88</v>
      </c>
      <c r="F249" t="s">
        <v>72</v>
      </c>
      <c r="G249">
        <v>0</v>
      </c>
      <c r="H249">
        <v>2E+20</v>
      </c>
      <c r="I249">
        <v>0</v>
      </c>
      <c r="J249">
        <v>0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38.078147260668999</v>
      </c>
      <c r="U249" s="5">
        <f>IF((ContinuousStatsTable[[#This Row],[RepsRequested]]&gt;1),ContinuousStatsTable[[#This Row],[HalfWidth]],ContinuousStatsTable[[#This Row],[BatchMeansHalfWidth]])</f>
        <v>2.1115241847680202</v>
      </c>
    </row>
    <row r="250" spans="1:21" x14ac:dyDescent="0.4">
      <c r="A250" t="s">
        <v>67</v>
      </c>
      <c r="B250" t="s">
        <v>69</v>
      </c>
      <c r="C250">
        <v>28</v>
      </c>
      <c r="D250" t="s">
        <v>77</v>
      </c>
      <c r="E250" t="s">
        <v>88</v>
      </c>
      <c r="F250" t="s">
        <v>72</v>
      </c>
      <c r="G250">
        <v>2.0794883576931502</v>
      </c>
      <c r="H250">
        <v>3E+20</v>
      </c>
      <c r="I250">
        <v>0</v>
      </c>
      <c r="J250">
        <v>20</v>
      </c>
      <c r="K250">
        <v>15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49.6745792704859</v>
      </c>
      <c r="U250" s="5">
        <f>IF((ContinuousStatsTable[[#This Row],[RepsRequested]]&gt;1),ContinuousStatsTable[[#This Row],[HalfWidth]],ContinuousStatsTable[[#This Row],[BatchMeansHalfWidth]])</f>
        <v>3.578413083149202</v>
      </c>
    </row>
    <row r="251" spans="1:21" x14ac:dyDescent="0.4">
      <c r="A251" t="s">
        <v>67</v>
      </c>
      <c r="B251" t="s">
        <v>69</v>
      </c>
      <c r="C251">
        <v>28</v>
      </c>
      <c r="D251" t="s">
        <v>78</v>
      </c>
      <c r="E251" t="s">
        <v>88</v>
      </c>
      <c r="F251" t="s">
        <v>72</v>
      </c>
      <c r="G251">
        <v>31.979452960092001</v>
      </c>
      <c r="H251">
        <v>3E+20</v>
      </c>
      <c r="I251">
        <v>0</v>
      </c>
      <c r="J251">
        <v>60</v>
      </c>
      <c r="K251">
        <v>59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51.634328282384999</v>
      </c>
      <c r="U251" s="5">
        <f>IF((ContinuousStatsTable[[#This Row],[RepsRequested]]&gt;1),ContinuousStatsTable[[#This Row],[HalfWidth]],ContinuousStatsTable[[#This Row],[BatchMeansHalfWidth]])</f>
        <v>4.2398640284824616</v>
      </c>
    </row>
    <row r="252" spans="1:21" x14ac:dyDescent="0.4">
      <c r="A252" t="s">
        <v>67</v>
      </c>
      <c r="B252" t="s">
        <v>69</v>
      </c>
      <c r="C252">
        <v>28</v>
      </c>
      <c r="D252" t="s">
        <v>79</v>
      </c>
      <c r="E252" t="s">
        <v>88</v>
      </c>
      <c r="F252" t="s">
        <v>72</v>
      </c>
      <c r="G252">
        <v>5.6945170381159503E-2</v>
      </c>
      <c r="H252">
        <v>2E+20</v>
      </c>
      <c r="I252">
        <v>0</v>
      </c>
      <c r="J252">
        <v>6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42.684614626171097</v>
      </c>
      <c r="U252" s="5">
        <f>IF((ContinuousStatsTable[[#This Row],[RepsRequested]]&gt;1),ContinuousStatsTable[[#This Row],[HalfWidth]],ContinuousStatsTable[[#This Row],[BatchMeansHalfWidth]])</f>
        <v>3.4837709905544232</v>
      </c>
    </row>
    <row r="253" spans="1:21" x14ac:dyDescent="0.4">
      <c r="A253" t="s">
        <v>67</v>
      </c>
      <c r="B253" t="s">
        <v>69</v>
      </c>
      <c r="C253">
        <v>28</v>
      </c>
      <c r="D253" t="s">
        <v>80</v>
      </c>
      <c r="E253" t="s">
        <v>89</v>
      </c>
      <c r="F253" t="s">
        <v>82</v>
      </c>
      <c r="G253">
        <v>78.148134545210297</v>
      </c>
      <c r="H253">
        <v>3E+20</v>
      </c>
      <c r="I253">
        <v>0</v>
      </c>
      <c r="J253">
        <v>121</v>
      </c>
      <c r="K253">
        <v>119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60.764515331306598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102.902066283605</v>
      </c>
      <c r="U253" s="5">
        <f>IF((ContinuousStatsTable[[#This Row],[RepsRequested]]&gt;1),ContinuousStatsTable[[#This Row],[HalfWidth]],ContinuousStatsTable[[#This Row],[BatchMeansHalfWidth]])</f>
        <v>2.7368751260137634</v>
      </c>
    </row>
    <row r="254" spans="1:21" x14ac:dyDescent="0.4">
      <c r="A254" t="s">
        <v>67</v>
      </c>
      <c r="B254" t="s">
        <v>69</v>
      </c>
      <c r="C254">
        <v>29</v>
      </c>
      <c r="D254" t="s">
        <v>70</v>
      </c>
      <c r="E254" t="s">
        <v>88</v>
      </c>
      <c r="F254" t="s">
        <v>72</v>
      </c>
      <c r="G254">
        <v>0</v>
      </c>
      <c r="H254">
        <v>2E+20</v>
      </c>
      <c r="I254">
        <v>0</v>
      </c>
      <c r="J254">
        <v>0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4">
      <c r="A255" t="s">
        <v>67</v>
      </c>
      <c r="B255" t="s">
        <v>69</v>
      </c>
      <c r="C255">
        <v>29</v>
      </c>
      <c r="D255" t="s">
        <v>73</v>
      </c>
      <c r="E255" t="s">
        <v>88</v>
      </c>
      <c r="F255" t="s">
        <v>72</v>
      </c>
      <c r="G255">
        <v>0</v>
      </c>
      <c r="H255">
        <v>2E+20</v>
      </c>
      <c r="I255">
        <v>0</v>
      </c>
      <c r="J255">
        <v>0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4">
      <c r="A256" t="s">
        <v>67</v>
      </c>
      <c r="B256" t="s">
        <v>69</v>
      </c>
      <c r="C256">
        <v>29</v>
      </c>
      <c r="D256" t="s">
        <v>74</v>
      </c>
      <c r="E256" t="s">
        <v>88</v>
      </c>
      <c r="F256" t="s">
        <v>72</v>
      </c>
      <c r="G256">
        <v>0</v>
      </c>
      <c r="H256">
        <v>2E+20</v>
      </c>
      <c r="I256">
        <v>0</v>
      </c>
      <c r="J256">
        <v>0</v>
      </c>
      <c r="K256">
        <v>0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</v>
      </c>
      <c r="U256" s="5">
        <f>IF((ContinuousStatsTable[[#This Row],[RepsRequested]]&gt;1),ContinuousStatsTable[[#This Row],[HalfWidth]],ContinuousStatsTable[[#This Row],[BatchMeansHalfWidth]])</f>
        <v>0</v>
      </c>
    </row>
    <row r="257" spans="1:21" x14ac:dyDescent="0.4">
      <c r="A257" t="s">
        <v>67</v>
      </c>
      <c r="B257" t="s">
        <v>69</v>
      </c>
      <c r="C257">
        <v>29</v>
      </c>
      <c r="D257" t="s">
        <v>75</v>
      </c>
      <c r="E257" t="s">
        <v>88</v>
      </c>
      <c r="F257" t="s">
        <v>72</v>
      </c>
      <c r="G257">
        <v>0</v>
      </c>
      <c r="H257">
        <v>2E+20</v>
      </c>
      <c r="I257">
        <v>0</v>
      </c>
      <c r="J257">
        <v>0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4">
      <c r="A258" t="s">
        <v>67</v>
      </c>
      <c r="B258" t="s">
        <v>69</v>
      </c>
      <c r="C258">
        <v>29</v>
      </c>
      <c r="D258" t="s">
        <v>76</v>
      </c>
      <c r="E258" t="s">
        <v>88</v>
      </c>
      <c r="F258" t="s">
        <v>72</v>
      </c>
      <c r="G258">
        <v>6.9151595461946005E-2</v>
      </c>
      <c r="H258">
        <v>2E+20</v>
      </c>
      <c r="I258">
        <v>0</v>
      </c>
      <c r="J258">
        <v>5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38.078147260668999</v>
      </c>
      <c r="U258" s="5">
        <f>IF((ContinuousStatsTable[[#This Row],[RepsRequested]]&gt;1),ContinuousStatsTable[[#This Row],[HalfWidth]],ContinuousStatsTable[[#This Row],[BatchMeansHalfWidth]])</f>
        <v>2.1115241847680202</v>
      </c>
    </row>
    <row r="259" spans="1:21" x14ac:dyDescent="0.4">
      <c r="A259" t="s">
        <v>67</v>
      </c>
      <c r="B259" t="s">
        <v>69</v>
      </c>
      <c r="C259">
        <v>29</v>
      </c>
      <c r="D259" t="s">
        <v>77</v>
      </c>
      <c r="E259" t="s">
        <v>88</v>
      </c>
      <c r="F259" t="s">
        <v>72</v>
      </c>
      <c r="G259">
        <v>5.8499746907433803</v>
      </c>
      <c r="H259">
        <v>3E+20</v>
      </c>
      <c r="I259">
        <v>0</v>
      </c>
      <c r="J259">
        <v>46</v>
      </c>
      <c r="K259">
        <v>39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49.6745792704859</v>
      </c>
      <c r="U259" s="5">
        <f>IF((ContinuousStatsTable[[#This Row],[RepsRequested]]&gt;1),ContinuousStatsTable[[#This Row],[HalfWidth]],ContinuousStatsTable[[#This Row],[BatchMeansHalfWidth]])</f>
        <v>3.578413083149202</v>
      </c>
    </row>
    <row r="260" spans="1:21" x14ac:dyDescent="0.4">
      <c r="A260" t="s">
        <v>67</v>
      </c>
      <c r="B260" t="s">
        <v>69</v>
      </c>
      <c r="C260">
        <v>29</v>
      </c>
      <c r="D260" t="s">
        <v>78</v>
      </c>
      <c r="E260" t="s">
        <v>88</v>
      </c>
      <c r="F260" t="s">
        <v>72</v>
      </c>
      <c r="G260">
        <v>7.8005957384898403</v>
      </c>
      <c r="H260">
        <v>3E+20</v>
      </c>
      <c r="I260">
        <v>0</v>
      </c>
      <c r="J260">
        <v>29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51.634328282384999</v>
      </c>
      <c r="U260" s="5">
        <f>IF((ContinuousStatsTable[[#This Row],[RepsRequested]]&gt;1),ContinuousStatsTable[[#This Row],[HalfWidth]],ContinuousStatsTable[[#This Row],[BatchMeansHalfWidth]])</f>
        <v>4.2398640284824616</v>
      </c>
    </row>
    <row r="261" spans="1:21" x14ac:dyDescent="0.4">
      <c r="A261" t="s">
        <v>67</v>
      </c>
      <c r="B261" t="s">
        <v>69</v>
      </c>
      <c r="C261">
        <v>29</v>
      </c>
      <c r="D261" t="s">
        <v>79</v>
      </c>
      <c r="E261" t="s">
        <v>88</v>
      </c>
      <c r="F261" t="s">
        <v>72</v>
      </c>
      <c r="G261">
        <v>1.2919117253374099</v>
      </c>
      <c r="H261">
        <v>3E+20</v>
      </c>
      <c r="I261">
        <v>0</v>
      </c>
      <c r="J261">
        <v>12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42.684614626171097</v>
      </c>
      <c r="U261" s="5">
        <f>IF((ContinuousStatsTable[[#This Row],[RepsRequested]]&gt;1),ContinuousStatsTable[[#This Row],[HalfWidth]],ContinuousStatsTable[[#This Row],[BatchMeansHalfWidth]])</f>
        <v>3.4837709905544232</v>
      </c>
    </row>
    <row r="262" spans="1:21" x14ac:dyDescent="0.4">
      <c r="A262" t="s">
        <v>67</v>
      </c>
      <c r="B262" t="s">
        <v>69</v>
      </c>
      <c r="C262">
        <v>29</v>
      </c>
      <c r="D262" t="s">
        <v>80</v>
      </c>
      <c r="E262" t="s">
        <v>89</v>
      </c>
      <c r="F262" t="s">
        <v>82</v>
      </c>
      <c r="G262">
        <v>65.387876956561698</v>
      </c>
      <c r="H262">
        <v>3E+20</v>
      </c>
      <c r="I262">
        <v>0</v>
      </c>
      <c r="J262">
        <v>98</v>
      </c>
      <c r="K262">
        <v>88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60.764515331306598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102.902066283605</v>
      </c>
      <c r="U262" s="5">
        <f>IF((ContinuousStatsTable[[#This Row],[RepsRequested]]&gt;1),ContinuousStatsTable[[#This Row],[HalfWidth]],ContinuousStatsTable[[#This Row],[BatchMeansHalfWidth]])</f>
        <v>2.7368751260137634</v>
      </c>
    </row>
    <row r="263" spans="1:21" x14ac:dyDescent="0.4">
      <c r="A263" t="s">
        <v>67</v>
      </c>
      <c r="B263" t="s">
        <v>69</v>
      </c>
      <c r="C263">
        <v>30</v>
      </c>
      <c r="D263" t="s">
        <v>70</v>
      </c>
      <c r="E263" t="s">
        <v>88</v>
      </c>
      <c r="F263" t="s">
        <v>72</v>
      </c>
      <c r="G263">
        <v>0</v>
      </c>
      <c r="H263">
        <v>2E+20</v>
      </c>
      <c r="I263">
        <v>0</v>
      </c>
      <c r="J263">
        <v>0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</v>
      </c>
      <c r="U263" s="5">
        <f>IF((ContinuousStatsTable[[#This Row],[RepsRequested]]&gt;1),ContinuousStatsTable[[#This Row],[HalfWidth]],ContinuousStatsTable[[#This Row],[BatchMeansHalfWidth]])</f>
        <v>0</v>
      </c>
    </row>
    <row r="264" spans="1:21" x14ac:dyDescent="0.4">
      <c r="A264" t="s">
        <v>67</v>
      </c>
      <c r="B264" t="s">
        <v>69</v>
      </c>
      <c r="C264">
        <v>30</v>
      </c>
      <c r="D264" t="s">
        <v>73</v>
      </c>
      <c r="E264" t="s">
        <v>88</v>
      </c>
      <c r="F264" t="s">
        <v>72</v>
      </c>
      <c r="G264">
        <v>0</v>
      </c>
      <c r="H264">
        <v>2E+20</v>
      </c>
      <c r="I264">
        <v>0</v>
      </c>
      <c r="J264">
        <v>0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0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0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0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4">
      <c r="A265" t="s">
        <v>67</v>
      </c>
      <c r="B265" t="s">
        <v>69</v>
      </c>
      <c r="C265">
        <v>30</v>
      </c>
      <c r="D265" t="s">
        <v>74</v>
      </c>
      <c r="E265" t="s">
        <v>88</v>
      </c>
      <c r="F265" t="s">
        <v>72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4">
      <c r="A266" t="s">
        <v>67</v>
      </c>
      <c r="B266" t="s">
        <v>69</v>
      </c>
      <c r="C266">
        <v>30</v>
      </c>
      <c r="D266" t="s">
        <v>75</v>
      </c>
      <c r="E266" t="s">
        <v>88</v>
      </c>
      <c r="F266" t="s">
        <v>72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4">
      <c r="A267" t="s">
        <v>67</v>
      </c>
      <c r="B267" t="s">
        <v>69</v>
      </c>
      <c r="C267">
        <v>30</v>
      </c>
      <c r="D267" t="s">
        <v>76</v>
      </c>
      <c r="E267" t="s">
        <v>88</v>
      </c>
      <c r="F267" t="s">
        <v>72</v>
      </c>
      <c r="G267">
        <v>17.340373887504899</v>
      </c>
      <c r="H267">
        <v>3E+20</v>
      </c>
      <c r="I267">
        <v>0</v>
      </c>
      <c r="J267">
        <v>49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38.078147260668999</v>
      </c>
      <c r="U267" s="5">
        <f>IF((ContinuousStatsTable[[#This Row],[RepsRequested]]&gt;1),ContinuousStatsTable[[#This Row],[HalfWidth]],ContinuousStatsTable[[#This Row],[BatchMeansHalfWidth]])</f>
        <v>2.1115241847680202</v>
      </c>
    </row>
    <row r="268" spans="1:21" x14ac:dyDescent="0.4">
      <c r="A268" t="s">
        <v>67</v>
      </c>
      <c r="B268" t="s">
        <v>69</v>
      </c>
      <c r="C268">
        <v>30</v>
      </c>
      <c r="D268" t="s">
        <v>77</v>
      </c>
      <c r="E268" t="s">
        <v>88</v>
      </c>
      <c r="F268" t="s">
        <v>72</v>
      </c>
      <c r="G268">
        <v>15.6957300914094</v>
      </c>
      <c r="H268">
        <v>3E+20</v>
      </c>
      <c r="I268">
        <v>0</v>
      </c>
      <c r="J268">
        <v>72</v>
      </c>
      <c r="K268">
        <v>70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49.6745792704859</v>
      </c>
      <c r="U268" s="5">
        <f>IF((ContinuousStatsTable[[#This Row],[RepsRequested]]&gt;1),ContinuousStatsTable[[#This Row],[HalfWidth]],ContinuousStatsTable[[#This Row],[BatchMeansHalfWidth]])</f>
        <v>3.578413083149202</v>
      </c>
    </row>
    <row r="269" spans="1:21" x14ac:dyDescent="0.4">
      <c r="A269" t="s">
        <v>67</v>
      </c>
      <c r="B269" t="s">
        <v>69</v>
      </c>
      <c r="C269">
        <v>30</v>
      </c>
      <c r="D269" t="s">
        <v>78</v>
      </c>
      <c r="E269" t="s">
        <v>88</v>
      </c>
      <c r="F269" t="s">
        <v>72</v>
      </c>
      <c r="G269">
        <v>2.71755767369143E-2</v>
      </c>
      <c r="H269">
        <v>2E+20</v>
      </c>
      <c r="I269">
        <v>0</v>
      </c>
      <c r="J269">
        <v>3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51.634328282384999</v>
      </c>
      <c r="U269" s="5">
        <f>IF((ContinuousStatsTable[[#This Row],[RepsRequested]]&gt;1),ContinuousStatsTable[[#This Row],[HalfWidth]],ContinuousStatsTable[[#This Row],[BatchMeansHalfWidth]])</f>
        <v>4.2398640284824616</v>
      </c>
    </row>
    <row r="270" spans="1:21" x14ac:dyDescent="0.4">
      <c r="A270" t="s">
        <v>67</v>
      </c>
      <c r="B270" t="s">
        <v>69</v>
      </c>
      <c r="C270">
        <v>30</v>
      </c>
      <c r="D270" t="s">
        <v>79</v>
      </c>
      <c r="E270" t="s">
        <v>88</v>
      </c>
      <c r="F270" t="s">
        <v>72</v>
      </c>
      <c r="G270">
        <v>8.9309912153272303E-2</v>
      </c>
      <c r="H270">
        <v>2E+20</v>
      </c>
      <c r="I270">
        <v>0</v>
      </c>
      <c r="J270">
        <v>7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0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42.684614626171097</v>
      </c>
      <c r="U270" s="5">
        <f>IF((ContinuousStatsTable[[#This Row],[RepsRequested]]&gt;1),ContinuousStatsTable[[#This Row],[HalfWidth]],ContinuousStatsTable[[#This Row],[BatchMeansHalfWidth]])</f>
        <v>3.4837709905544232</v>
      </c>
    </row>
    <row r="271" spans="1:21" x14ac:dyDescent="0.4">
      <c r="A271" t="s">
        <v>67</v>
      </c>
      <c r="B271" t="s">
        <v>69</v>
      </c>
      <c r="C271">
        <v>30</v>
      </c>
      <c r="D271" t="s">
        <v>80</v>
      </c>
      <c r="E271" t="s">
        <v>89</v>
      </c>
      <c r="F271" t="s">
        <v>82</v>
      </c>
      <c r="G271">
        <v>79.609908009154907</v>
      </c>
      <c r="H271">
        <v>3E+20</v>
      </c>
      <c r="I271">
        <v>0</v>
      </c>
      <c r="J271">
        <v>115</v>
      </c>
      <c r="K271">
        <v>114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60.764515331306598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102.902066283605</v>
      </c>
      <c r="U271" s="5">
        <f>IF((ContinuousStatsTable[[#This Row],[RepsRequested]]&gt;1),ContinuousStatsTable[[#This Row],[HalfWidth]],ContinuousStatsTable[[#This Row],[BatchMeansHalfWidth]])</f>
        <v>2.7368751260137634</v>
      </c>
    </row>
    <row r="272" spans="1:21" x14ac:dyDescent="0.4">
      <c r="A272" t="s">
        <v>67</v>
      </c>
      <c r="B272" t="s">
        <v>69</v>
      </c>
      <c r="C272">
        <v>31</v>
      </c>
      <c r="D272" t="s">
        <v>70</v>
      </c>
      <c r="E272" t="s">
        <v>88</v>
      </c>
      <c r="F272" t="s">
        <v>72</v>
      </c>
      <c r="G272">
        <v>0</v>
      </c>
      <c r="H272">
        <v>2E+20</v>
      </c>
      <c r="I272">
        <v>0</v>
      </c>
      <c r="J272">
        <v>0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</v>
      </c>
      <c r="U272" s="5">
        <f>IF((ContinuousStatsTable[[#This Row],[RepsRequested]]&gt;1),ContinuousStatsTable[[#This Row],[HalfWidth]],ContinuousStatsTable[[#This Row],[BatchMeansHalfWidth]])</f>
        <v>0</v>
      </c>
    </row>
    <row r="273" spans="1:21" x14ac:dyDescent="0.4">
      <c r="A273" t="s">
        <v>67</v>
      </c>
      <c r="B273" t="s">
        <v>69</v>
      </c>
      <c r="C273">
        <v>31</v>
      </c>
      <c r="D273" t="s">
        <v>73</v>
      </c>
      <c r="E273" t="s">
        <v>88</v>
      </c>
      <c r="F273" t="s">
        <v>72</v>
      </c>
      <c r="G273">
        <v>0</v>
      </c>
      <c r="H273">
        <v>2E+20</v>
      </c>
      <c r="I273">
        <v>0</v>
      </c>
      <c r="J273">
        <v>0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</v>
      </c>
      <c r="U273" s="5">
        <f>IF((ContinuousStatsTable[[#This Row],[RepsRequested]]&gt;1),ContinuousStatsTable[[#This Row],[HalfWidth]],ContinuousStatsTable[[#This Row],[BatchMeansHalfWidth]])</f>
        <v>0</v>
      </c>
    </row>
    <row r="274" spans="1:21" x14ac:dyDescent="0.4">
      <c r="A274" t="s">
        <v>67</v>
      </c>
      <c r="B274" t="s">
        <v>69</v>
      </c>
      <c r="C274">
        <v>31</v>
      </c>
      <c r="D274" t="s">
        <v>74</v>
      </c>
      <c r="E274" t="s">
        <v>88</v>
      </c>
      <c r="F274" t="s">
        <v>72</v>
      </c>
      <c r="G274">
        <v>0</v>
      </c>
      <c r="H274">
        <v>2E+20</v>
      </c>
      <c r="I274">
        <v>0</v>
      </c>
      <c r="J274">
        <v>0</v>
      </c>
      <c r="K274">
        <v>0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0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0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0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4">
      <c r="A275" t="s">
        <v>67</v>
      </c>
      <c r="B275" t="s">
        <v>69</v>
      </c>
      <c r="C275">
        <v>31</v>
      </c>
      <c r="D275" t="s">
        <v>75</v>
      </c>
      <c r="E275" t="s">
        <v>88</v>
      </c>
      <c r="F275" t="s">
        <v>72</v>
      </c>
      <c r="G275">
        <v>0</v>
      </c>
      <c r="H275">
        <v>2E+20</v>
      </c>
      <c r="I275">
        <v>0</v>
      </c>
      <c r="J275">
        <v>0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4">
      <c r="A276" t="s">
        <v>67</v>
      </c>
      <c r="B276" t="s">
        <v>69</v>
      </c>
      <c r="C276">
        <v>31</v>
      </c>
      <c r="D276" t="s">
        <v>76</v>
      </c>
      <c r="E276" t="s">
        <v>88</v>
      </c>
      <c r="F276" t="s">
        <v>72</v>
      </c>
      <c r="G276">
        <v>0.20362715283547</v>
      </c>
      <c r="H276">
        <v>2E+20</v>
      </c>
      <c r="I276">
        <v>0</v>
      </c>
      <c r="J276">
        <v>6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38.078147260668999</v>
      </c>
      <c r="U276" s="5">
        <f>IF((ContinuousStatsTable[[#This Row],[RepsRequested]]&gt;1),ContinuousStatsTable[[#This Row],[HalfWidth]],ContinuousStatsTable[[#This Row],[BatchMeansHalfWidth]])</f>
        <v>2.1115241847680202</v>
      </c>
    </row>
    <row r="277" spans="1:21" x14ac:dyDescent="0.4">
      <c r="A277" t="s">
        <v>67</v>
      </c>
      <c r="B277" t="s">
        <v>69</v>
      </c>
      <c r="C277">
        <v>31</v>
      </c>
      <c r="D277" t="s">
        <v>77</v>
      </c>
      <c r="E277" t="s">
        <v>88</v>
      </c>
      <c r="F277" t="s">
        <v>72</v>
      </c>
      <c r="G277">
        <v>12.8604968343006</v>
      </c>
      <c r="H277">
        <v>3E+20</v>
      </c>
      <c r="I277">
        <v>0</v>
      </c>
      <c r="J277">
        <v>30</v>
      </c>
      <c r="K277">
        <v>20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49.6745792704859</v>
      </c>
      <c r="U277" s="5">
        <f>IF((ContinuousStatsTable[[#This Row],[RepsRequested]]&gt;1),ContinuousStatsTable[[#This Row],[HalfWidth]],ContinuousStatsTable[[#This Row],[BatchMeansHalfWidth]])</f>
        <v>3.578413083149202</v>
      </c>
    </row>
    <row r="278" spans="1:21" x14ac:dyDescent="0.4">
      <c r="A278" t="s">
        <v>67</v>
      </c>
      <c r="B278" t="s">
        <v>69</v>
      </c>
      <c r="C278">
        <v>31</v>
      </c>
      <c r="D278" t="s">
        <v>78</v>
      </c>
      <c r="E278" t="s">
        <v>88</v>
      </c>
      <c r="F278" t="s">
        <v>72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51.634328282384999</v>
      </c>
      <c r="U278" s="5">
        <f>IF((ContinuousStatsTable[[#This Row],[RepsRequested]]&gt;1),ContinuousStatsTable[[#This Row],[HalfWidth]],ContinuousStatsTable[[#This Row],[BatchMeansHalfWidth]])</f>
        <v>4.2398640284824616</v>
      </c>
    </row>
    <row r="279" spans="1:21" x14ac:dyDescent="0.4">
      <c r="A279" t="s">
        <v>67</v>
      </c>
      <c r="B279" t="s">
        <v>69</v>
      </c>
      <c r="C279">
        <v>31</v>
      </c>
      <c r="D279" t="s">
        <v>79</v>
      </c>
      <c r="E279" t="s">
        <v>88</v>
      </c>
      <c r="F279" t="s">
        <v>72</v>
      </c>
      <c r="G279">
        <v>17.7485575750419</v>
      </c>
      <c r="H279">
        <v>3E+20</v>
      </c>
      <c r="I279">
        <v>0</v>
      </c>
      <c r="J279">
        <v>55</v>
      </c>
      <c r="K279">
        <v>27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42.684614626171097</v>
      </c>
      <c r="U279" s="5">
        <f>IF((ContinuousStatsTable[[#This Row],[RepsRequested]]&gt;1),ContinuousStatsTable[[#This Row],[HalfWidth]],ContinuousStatsTable[[#This Row],[BatchMeansHalfWidth]])</f>
        <v>3.4837709905544232</v>
      </c>
    </row>
    <row r="280" spans="1:21" x14ac:dyDescent="0.4">
      <c r="A280" t="s">
        <v>67</v>
      </c>
      <c r="B280" t="s">
        <v>69</v>
      </c>
      <c r="C280">
        <v>31</v>
      </c>
      <c r="D280" t="s">
        <v>80</v>
      </c>
      <c r="E280" t="s">
        <v>89</v>
      </c>
      <c r="F280" t="s">
        <v>82</v>
      </c>
      <c r="G280">
        <v>79.484040352662802</v>
      </c>
      <c r="H280">
        <v>3E+20</v>
      </c>
      <c r="I280">
        <v>0</v>
      </c>
      <c r="J280">
        <v>109</v>
      </c>
      <c r="K280">
        <v>86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60.764515331306598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102.902066283605</v>
      </c>
      <c r="U280" s="5">
        <f>IF((ContinuousStatsTable[[#This Row],[RepsRequested]]&gt;1),ContinuousStatsTable[[#This Row],[HalfWidth]],ContinuousStatsTable[[#This Row],[BatchMeansHalfWidth]])</f>
        <v>2.7368751260137634</v>
      </c>
    </row>
    <row r="281" spans="1:21" x14ac:dyDescent="0.4">
      <c r="A281" t="s">
        <v>67</v>
      </c>
      <c r="B281" t="s">
        <v>69</v>
      </c>
      <c r="C281">
        <v>32</v>
      </c>
      <c r="D281" t="s">
        <v>70</v>
      </c>
      <c r="E281" t="s">
        <v>88</v>
      </c>
      <c r="F281" t="s">
        <v>72</v>
      </c>
      <c r="G281">
        <v>0</v>
      </c>
      <c r="H281">
        <v>2E+20</v>
      </c>
      <c r="I281">
        <v>0</v>
      </c>
      <c r="J281">
        <v>0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</v>
      </c>
      <c r="U281" s="5">
        <f>IF((ContinuousStatsTable[[#This Row],[RepsRequested]]&gt;1),ContinuousStatsTable[[#This Row],[HalfWidth]],ContinuousStatsTable[[#This Row],[BatchMeansHalfWidth]])</f>
        <v>0</v>
      </c>
    </row>
    <row r="282" spans="1:21" x14ac:dyDescent="0.4">
      <c r="A282" t="s">
        <v>67</v>
      </c>
      <c r="B282" t="s">
        <v>69</v>
      </c>
      <c r="C282">
        <v>32</v>
      </c>
      <c r="D282" t="s">
        <v>73</v>
      </c>
      <c r="E282" t="s">
        <v>88</v>
      </c>
      <c r="F282" t="s">
        <v>72</v>
      </c>
      <c r="G282">
        <v>0</v>
      </c>
      <c r="H282">
        <v>2E+20</v>
      </c>
      <c r="I282">
        <v>0</v>
      </c>
      <c r="J282">
        <v>0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4">
      <c r="A283" t="s">
        <v>67</v>
      </c>
      <c r="B283" t="s">
        <v>69</v>
      </c>
      <c r="C283">
        <v>32</v>
      </c>
      <c r="D283" t="s">
        <v>74</v>
      </c>
      <c r="E283" t="s">
        <v>88</v>
      </c>
      <c r="F283" t="s">
        <v>72</v>
      </c>
      <c r="G283">
        <v>0</v>
      </c>
      <c r="H283">
        <v>2E+20</v>
      </c>
      <c r="I283">
        <v>0</v>
      </c>
      <c r="J283">
        <v>0</v>
      </c>
      <c r="K283">
        <v>0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0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0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0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4">
      <c r="A284" t="s">
        <v>67</v>
      </c>
      <c r="B284" t="s">
        <v>69</v>
      </c>
      <c r="C284">
        <v>32</v>
      </c>
      <c r="D284" t="s">
        <v>75</v>
      </c>
      <c r="E284" t="s">
        <v>88</v>
      </c>
      <c r="F284" t="s">
        <v>72</v>
      </c>
      <c r="G284">
        <v>0</v>
      </c>
      <c r="H284">
        <v>2E+20</v>
      </c>
      <c r="I284">
        <v>0</v>
      </c>
      <c r="J284">
        <v>0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4">
      <c r="A285" t="s">
        <v>67</v>
      </c>
      <c r="B285" t="s">
        <v>69</v>
      </c>
      <c r="C285">
        <v>32</v>
      </c>
      <c r="D285" t="s">
        <v>76</v>
      </c>
      <c r="E285" t="s">
        <v>88</v>
      </c>
      <c r="F285" t="s">
        <v>72</v>
      </c>
      <c r="G285">
        <v>0.81657263696043103</v>
      </c>
      <c r="H285">
        <v>2E+20</v>
      </c>
      <c r="I285">
        <v>0</v>
      </c>
      <c r="J285">
        <v>10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38.078147260668999</v>
      </c>
      <c r="U285" s="5">
        <f>IF((ContinuousStatsTable[[#This Row],[RepsRequested]]&gt;1),ContinuousStatsTable[[#This Row],[HalfWidth]],ContinuousStatsTable[[#This Row],[BatchMeansHalfWidth]])</f>
        <v>2.1115241847680202</v>
      </c>
    </row>
    <row r="286" spans="1:21" x14ac:dyDescent="0.4">
      <c r="A286" t="s">
        <v>67</v>
      </c>
      <c r="B286" t="s">
        <v>69</v>
      </c>
      <c r="C286">
        <v>32</v>
      </c>
      <c r="D286" t="s">
        <v>77</v>
      </c>
      <c r="E286" t="s">
        <v>88</v>
      </c>
      <c r="F286" t="s">
        <v>72</v>
      </c>
      <c r="G286">
        <v>30.120582555059698</v>
      </c>
      <c r="H286">
        <v>3E+20</v>
      </c>
      <c r="I286">
        <v>0</v>
      </c>
      <c r="J286">
        <v>62</v>
      </c>
      <c r="K286">
        <v>40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0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49.6745792704859</v>
      </c>
      <c r="U286" s="5">
        <f>IF((ContinuousStatsTable[[#This Row],[RepsRequested]]&gt;1),ContinuousStatsTable[[#This Row],[HalfWidth]],ContinuousStatsTable[[#This Row],[BatchMeansHalfWidth]])</f>
        <v>3.578413083149202</v>
      </c>
    </row>
    <row r="287" spans="1:21" x14ac:dyDescent="0.4">
      <c r="A287" t="s">
        <v>67</v>
      </c>
      <c r="B287" t="s">
        <v>69</v>
      </c>
      <c r="C287">
        <v>32</v>
      </c>
      <c r="D287" t="s">
        <v>78</v>
      </c>
      <c r="E287" t="s">
        <v>88</v>
      </c>
      <c r="F287" t="s">
        <v>72</v>
      </c>
      <c r="G287">
        <v>3.0101560444015799E-2</v>
      </c>
      <c r="H287">
        <v>2E+20</v>
      </c>
      <c r="I287">
        <v>0</v>
      </c>
      <c r="J287">
        <v>2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51.634328282384999</v>
      </c>
      <c r="U287" s="5">
        <f>IF((ContinuousStatsTable[[#This Row],[RepsRequested]]&gt;1),ContinuousStatsTable[[#This Row],[HalfWidth]],ContinuousStatsTable[[#This Row],[BatchMeansHalfWidth]])</f>
        <v>4.2398640284824616</v>
      </c>
    </row>
    <row r="288" spans="1:21" x14ac:dyDescent="0.4">
      <c r="A288" t="s">
        <v>67</v>
      </c>
      <c r="B288" t="s">
        <v>69</v>
      </c>
      <c r="C288">
        <v>32</v>
      </c>
      <c r="D288" t="s">
        <v>79</v>
      </c>
      <c r="E288" t="s">
        <v>88</v>
      </c>
      <c r="F288" t="s">
        <v>72</v>
      </c>
      <c r="G288">
        <v>2.6241228036279202E-4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42.684614626171097</v>
      </c>
      <c r="U288" s="5">
        <f>IF((ContinuousStatsTable[[#This Row],[RepsRequested]]&gt;1),ContinuousStatsTable[[#This Row],[HalfWidth]],ContinuousStatsTable[[#This Row],[BatchMeansHalfWidth]])</f>
        <v>3.4837709905544232</v>
      </c>
    </row>
    <row r="289" spans="1:21" x14ac:dyDescent="0.4">
      <c r="A289" t="s">
        <v>67</v>
      </c>
      <c r="B289" t="s">
        <v>69</v>
      </c>
      <c r="C289">
        <v>32</v>
      </c>
      <c r="D289" t="s">
        <v>80</v>
      </c>
      <c r="E289" t="s">
        <v>89</v>
      </c>
      <c r="F289" t="s">
        <v>82</v>
      </c>
      <c r="G289">
        <v>77.347557593364201</v>
      </c>
      <c r="H289">
        <v>3E+20</v>
      </c>
      <c r="I289">
        <v>0</v>
      </c>
      <c r="J289">
        <v>121</v>
      </c>
      <c r="K289">
        <v>115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60.764515331306598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102.902066283605</v>
      </c>
      <c r="U289" s="5">
        <f>IF((ContinuousStatsTable[[#This Row],[RepsRequested]]&gt;1),ContinuousStatsTable[[#This Row],[HalfWidth]],ContinuousStatsTable[[#This Row],[BatchMeansHalfWidth]])</f>
        <v>2.7368751260137634</v>
      </c>
    </row>
    <row r="290" spans="1:21" x14ac:dyDescent="0.4">
      <c r="A290" t="s">
        <v>67</v>
      </c>
      <c r="B290" t="s">
        <v>69</v>
      </c>
      <c r="C290">
        <v>33</v>
      </c>
      <c r="D290" t="s">
        <v>70</v>
      </c>
      <c r="E290" t="s">
        <v>88</v>
      </c>
      <c r="F290" t="s">
        <v>72</v>
      </c>
      <c r="G290">
        <v>0</v>
      </c>
      <c r="H290">
        <v>2E+20</v>
      </c>
      <c r="I290">
        <v>0</v>
      </c>
      <c r="J290">
        <v>0</v>
      </c>
      <c r="K290">
        <v>0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0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0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0</v>
      </c>
      <c r="U290" s="5">
        <f>IF((ContinuousStatsTable[[#This Row],[RepsRequested]]&gt;1),ContinuousStatsTable[[#This Row],[HalfWidth]],ContinuousStatsTable[[#This Row],[BatchMeansHalfWidth]])</f>
        <v>0</v>
      </c>
    </row>
    <row r="291" spans="1:21" x14ac:dyDescent="0.4">
      <c r="A291" t="s">
        <v>67</v>
      </c>
      <c r="B291" t="s">
        <v>69</v>
      </c>
      <c r="C291">
        <v>33</v>
      </c>
      <c r="D291" t="s">
        <v>73</v>
      </c>
      <c r="E291" t="s">
        <v>88</v>
      </c>
      <c r="F291" t="s">
        <v>72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4">
      <c r="A292" t="s">
        <v>67</v>
      </c>
      <c r="B292" t="s">
        <v>69</v>
      </c>
      <c r="C292">
        <v>33</v>
      </c>
      <c r="D292" t="s">
        <v>74</v>
      </c>
      <c r="E292" t="s">
        <v>88</v>
      </c>
      <c r="F292" t="s">
        <v>72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 s="5">
        <f>IF((ContinuousStatsTable[[#This Row],[RepsRequested]]&gt;1),ContinuousStatsTable[[#This Row],[HalfWidth]],ContinuousStatsTable[[#This Row],[BatchMeansHalfWidth]])</f>
        <v>0</v>
      </c>
    </row>
    <row r="293" spans="1:21" x14ac:dyDescent="0.4">
      <c r="A293" t="s">
        <v>67</v>
      </c>
      <c r="B293" t="s">
        <v>69</v>
      </c>
      <c r="C293">
        <v>33</v>
      </c>
      <c r="D293" t="s">
        <v>75</v>
      </c>
      <c r="E293" t="s">
        <v>88</v>
      </c>
      <c r="F293" t="s">
        <v>72</v>
      </c>
      <c r="G293">
        <v>0</v>
      </c>
      <c r="H293">
        <v>2E+20</v>
      </c>
      <c r="I293">
        <v>0</v>
      </c>
      <c r="J293">
        <v>0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4">
      <c r="A294" t="s">
        <v>67</v>
      </c>
      <c r="B294" t="s">
        <v>69</v>
      </c>
      <c r="C294">
        <v>33</v>
      </c>
      <c r="D294" t="s">
        <v>76</v>
      </c>
      <c r="E294" t="s">
        <v>88</v>
      </c>
      <c r="F294" t="s">
        <v>72</v>
      </c>
      <c r="G294">
        <v>0.102018008091147</v>
      </c>
      <c r="H294">
        <v>2E+20</v>
      </c>
      <c r="I294">
        <v>0</v>
      </c>
      <c r="J294">
        <v>7</v>
      </c>
      <c r="K294">
        <v>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38.078147260668999</v>
      </c>
      <c r="U294" s="5">
        <f>IF((ContinuousStatsTable[[#This Row],[RepsRequested]]&gt;1),ContinuousStatsTable[[#This Row],[HalfWidth]],ContinuousStatsTable[[#This Row],[BatchMeansHalfWidth]])</f>
        <v>2.1115241847680202</v>
      </c>
    </row>
    <row r="295" spans="1:21" x14ac:dyDescent="0.4">
      <c r="A295" t="s">
        <v>67</v>
      </c>
      <c r="B295" t="s">
        <v>69</v>
      </c>
      <c r="C295">
        <v>33</v>
      </c>
      <c r="D295" t="s">
        <v>77</v>
      </c>
      <c r="E295" t="s">
        <v>88</v>
      </c>
      <c r="F295" t="s">
        <v>72</v>
      </c>
      <c r="G295">
        <v>3.51096067634439E-2</v>
      </c>
      <c r="H295">
        <v>2E+20</v>
      </c>
      <c r="I295">
        <v>0</v>
      </c>
      <c r="J295">
        <v>4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49.6745792704859</v>
      </c>
      <c r="U295" s="5">
        <f>IF((ContinuousStatsTable[[#This Row],[RepsRequested]]&gt;1),ContinuousStatsTable[[#This Row],[HalfWidth]],ContinuousStatsTable[[#This Row],[BatchMeansHalfWidth]])</f>
        <v>3.578413083149202</v>
      </c>
    </row>
    <row r="296" spans="1:21" x14ac:dyDescent="0.4">
      <c r="A296" t="s">
        <v>67</v>
      </c>
      <c r="B296" t="s">
        <v>69</v>
      </c>
      <c r="C296">
        <v>33</v>
      </c>
      <c r="D296" t="s">
        <v>78</v>
      </c>
      <c r="E296" t="s">
        <v>88</v>
      </c>
      <c r="F296" t="s">
        <v>72</v>
      </c>
      <c r="G296">
        <v>22.096003456613399</v>
      </c>
      <c r="H296">
        <v>3E+20</v>
      </c>
      <c r="I296">
        <v>0</v>
      </c>
      <c r="J296">
        <v>63</v>
      </c>
      <c r="K296">
        <v>18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0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51.634328282384999</v>
      </c>
      <c r="U296" s="5">
        <f>IF((ContinuousStatsTable[[#This Row],[RepsRequested]]&gt;1),ContinuousStatsTable[[#This Row],[HalfWidth]],ContinuousStatsTable[[#This Row],[BatchMeansHalfWidth]])</f>
        <v>4.2398640284824616</v>
      </c>
    </row>
    <row r="297" spans="1:21" x14ac:dyDescent="0.4">
      <c r="A297" t="s">
        <v>67</v>
      </c>
      <c r="B297" t="s">
        <v>69</v>
      </c>
      <c r="C297">
        <v>33</v>
      </c>
      <c r="D297" t="s">
        <v>79</v>
      </c>
      <c r="E297" t="s">
        <v>88</v>
      </c>
      <c r="F297" t="s">
        <v>72</v>
      </c>
      <c r="G297">
        <v>2.33915723808511</v>
      </c>
      <c r="H297">
        <v>3E+20</v>
      </c>
      <c r="I297">
        <v>0</v>
      </c>
      <c r="J297">
        <v>17</v>
      </c>
      <c r="K297">
        <v>11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42.684614626171097</v>
      </c>
      <c r="U297" s="5">
        <f>IF((ContinuousStatsTable[[#This Row],[RepsRequested]]&gt;1),ContinuousStatsTable[[#This Row],[HalfWidth]],ContinuousStatsTable[[#This Row],[BatchMeansHalfWidth]])</f>
        <v>3.4837709905544232</v>
      </c>
    </row>
    <row r="298" spans="1:21" x14ac:dyDescent="0.4">
      <c r="A298" t="s">
        <v>67</v>
      </c>
      <c r="B298" t="s">
        <v>69</v>
      </c>
      <c r="C298">
        <v>33</v>
      </c>
      <c r="D298" t="s">
        <v>80</v>
      </c>
      <c r="E298" t="s">
        <v>89</v>
      </c>
      <c r="F298" t="s">
        <v>82</v>
      </c>
      <c r="G298">
        <v>72.874761369909095</v>
      </c>
      <c r="H298">
        <v>3E+20</v>
      </c>
      <c r="I298">
        <v>0</v>
      </c>
      <c r="J298">
        <v>116</v>
      </c>
      <c r="K298">
        <v>78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60.764515331306598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102.902066283605</v>
      </c>
      <c r="U298" s="5">
        <f>IF((ContinuousStatsTable[[#This Row],[RepsRequested]]&gt;1),ContinuousStatsTable[[#This Row],[HalfWidth]],ContinuousStatsTable[[#This Row],[BatchMeansHalfWidth]])</f>
        <v>2.7368751260137634</v>
      </c>
    </row>
    <row r="299" spans="1:21" x14ac:dyDescent="0.4">
      <c r="A299" t="s">
        <v>67</v>
      </c>
      <c r="B299" t="s">
        <v>69</v>
      </c>
      <c r="C299">
        <v>34</v>
      </c>
      <c r="D299" t="s">
        <v>70</v>
      </c>
      <c r="E299" t="s">
        <v>88</v>
      </c>
      <c r="F299" t="s">
        <v>72</v>
      </c>
      <c r="G299">
        <v>0</v>
      </c>
      <c r="H299">
        <v>2E+20</v>
      </c>
      <c r="I299">
        <v>0</v>
      </c>
      <c r="J299">
        <v>0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4">
      <c r="A300" t="s">
        <v>67</v>
      </c>
      <c r="B300" t="s">
        <v>69</v>
      </c>
      <c r="C300">
        <v>34</v>
      </c>
      <c r="D300" t="s">
        <v>73</v>
      </c>
      <c r="E300" t="s">
        <v>88</v>
      </c>
      <c r="F300" t="s">
        <v>72</v>
      </c>
      <c r="G300">
        <v>0</v>
      </c>
      <c r="H300">
        <v>2E+20</v>
      </c>
      <c r="I300">
        <v>0</v>
      </c>
      <c r="J300">
        <v>0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4">
      <c r="A301" t="s">
        <v>67</v>
      </c>
      <c r="B301" t="s">
        <v>69</v>
      </c>
      <c r="C301">
        <v>34</v>
      </c>
      <c r="D301" t="s">
        <v>74</v>
      </c>
      <c r="E301" t="s">
        <v>88</v>
      </c>
      <c r="F301" t="s">
        <v>72</v>
      </c>
      <c r="G301">
        <v>0</v>
      </c>
      <c r="H301">
        <v>2E+20</v>
      </c>
      <c r="I301">
        <v>0</v>
      </c>
      <c r="J301">
        <v>0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</v>
      </c>
      <c r="U301" s="5">
        <f>IF((ContinuousStatsTable[[#This Row],[RepsRequested]]&gt;1),ContinuousStatsTable[[#This Row],[HalfWidth]],ContinuousStatsTable[[#This Row],[BatchMeansHalfWidth]])</f>
        <v>0</v>
      </c>
    </row>
    <row r="302" spans="1:21" x14ac:dyDescent="0.4">
      <c r="A302" t="s">
        <v>67</v>
      </c>
      <c r="B302" t="s">
        <v>69</v>
      </c>
      <c r="C302">
        <v>34</v>
      </c>
      <c r="D302" t="s">
        <v>75</v>
      </c>
      <c r="E302" t="s">
        <v>88</v>
      </c>
      <c r="F302" t="s">
        <v>72</v>
      </c>
      <c r="G302">
        <v>0</v>
      </c>
      <c r="H302">
        <v>2E+20</v>
      </c>
      <c r="I302">
        <v>0</v>
      </c>
      <c r="J302">
        <v>0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4">
      <c r="A303" t="s">
        <v>67</v>
      </c>
      <c r="B303" t="s">
        <v>69</v>
      </c>
      <c r="C303">
        <v>34</v>
      </c>
      <c r="D303" t="s">
        <v>76</v>
      </c>
      <c r="E303" t="s">
        <v>88</v>
      </c>
      <c r="F303" t="s">
        <v>72</v>
      </c>
      <c r="G303">
        <v>0</v>
      </c>
      <c r="H303">
        <v>2E+20</v>
      </c>
      <c r="I303">
        <v>0</v>
      </c>
      <c r="J303">
        <v>0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38.078147260668999</v>
      </c>
      <c r="U303" s="5">
        <f>IF((ContinuousStatsTable[[#This Row],[RepsRequested]]&gt;1),ContinuousStatsTable[[#This Row],[HalfWidth]],ContinuousStatsTable[[#This Row],[BatchMeansHalfWidth]])</f>
        <v>2.1115241847680202</v>
      </c>
    </row>
    <row r="304" spans="1:21" x14ac:dyDescent="0.4">
      <c r="A304" t="s">
        <v>67</v>
      </c>
      <c r="B304" t="s">
        <v>69</v>
      </c>
      <c r="C304">
        <v>34</v>
      </c>
      <c r="D304" t="s">
        <v>77</v>
      </c>
      <c r="E304" t="s">
        <v>88</v>
      </c>
      <c r="F304" t="s">
        <v>72</v>
      </c>
      <c r="G304">
        <v>11.5895477214336</v>
      </c>
      <c r="H304">
        <v>3E+20</v>
      </c>
      <c r="I304">
        <v>0</v>
      </c>
      <c r="J304">
        <v>30</v>
      </c>
      <c r="K304">
        <v>25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49.6745792704859</v>
      </c>
      <c r="U304" s="5">
        <f>IF((ContinuousStatsTable[[#This Row],[RepsRequested]]&gt;1),ContinuousStatsTable[[#This Row],[HalfWidth]],ContinuousStatsTable[[#This Row],[BatchMeansHalfWidth]])</f>
        <v>3.578413083149202</v>
      </c>
    </row>
    <row r="305" spans="1:21" x14ac:dyDescent="0.4">
      <c r="A305" t="s">
        <v>67</v>
      </c>
      <c r="B305" t="s">
        <v>69</v>
      </c>
      <c r="C305">
        <v>34</v>
      </c>
      <c r="D305" t="s">
        <v>78</v>
      </c>
      <c r="E305" t="s">
        <v>88</v>
      </c>
      <c r="F305" t="s">
        <v>72</v>
      </c>
      <c r="G305">
        <v>1.37190596384296</v>
      </c>
      <c r="H305">
        <v>3E+20</v>
      </c>
      <c r="I305">
        <v>0</v>
      </c>
      <c r="J305">
        <v>18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51.634328282384999</v>
      </c>
      <c r="U305" s="5">
        <f>IF((ContinuousStatsTable[[#This Row],[RepsRequested]]&gt;1),ContinuousStatsTable[[#This Row],[HalfWidth]],ContinuousStatsTable[[#This Row],[BatchMeansHalfWidth]])</f>
        <v>4.2398640284824616</v>
      </c>
    </row>
    <row r="306" spans="1:21" x14ac:dyDescent="0.4">
      <c r="A306" t="s">
        <v>67</v>
      </c>
      <c r="B306" t="s">
        <v>69</v>
      </c>
      <c r="C306">
        <v>34</v>
      </c>
      <c r="D306" t="s">
        <v>79</v>
      </c>
      <c r="E306" t="s">
        <v>88</v>
      </c>
      <c r="F306" t="s">
        <v>72</v>
      </c>
      <c r="G306">
        <v>2.46977057134466</v>
      </c>
      <c r="H306">
        <v>3E+20</v>
      </c>
      <c r="I306">
        <v>0</v>
      </c>
      <c r="J306">
        <v>18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42.684614626171097</v>
      </c>
      <c r="U306" s="5">
        <f>IF((ContinuousStatsTable[[#This Row],[RepsRequested]]&gt;1),ContinuousStatsTable[[#This Row],[HalfWidth]],ContinuousStatsTable[[#This Row],[BatchMeansHalfWidth]])</f>
        <v>3.4837709905544232</v>
      </c>
    </row>
    <row r="307" spans="1:21" x14ac:dyDescent="0.4">
      <c r="A307" t="s">
        <v>67</v>
      </c>
      <c r="B307" t="s">
        <v>69</v>
      </c>
      <c r="C307">
        <v>34</v>
      </c>
      <c r="D307" t="s">
        <v>80</v>
      </c>
      <c r="E307" t="s">
        <v>89</v>
      </c>
      <c r="F307" t="s">
        <v>82</v>
      </c>
      <c r="G307">
        <v>64.823768609200599</v>
      </c>
      <c r="H307">
        <v>3E+20</v>
      </c>
      <c r="I307">
        <v>0</v>
      </c>
      <c r="J307">
        <v>94</v>
      </c>
      <c r="K307">
        <v>66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60.764515331306598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102.902066283605</v>
      </c>
      <c r="U307" s="5">
        <f>IF((ContinuousStatsTable[[#This Row],[RepsRequested]]&gt;1),ContinuousStatsTable[[#This Row],[HalfWidth]],ContinuousStatsTable[[#This Row],[BatchMeansHalfWidth]])</f>
        <v>2.7368751260137634</v>
      </c>
    </row>
    <row r="308" spans="1:21" x14ac:dyDescent="0.4">
      <c r="A308" t="s">
        <v>67</v>
      </c>
      <c r="B308" t="s">
        <v>69</v>
      </c>
      <c r="C308">
        <v>35</v>
      </c>
      <c r="D308" t="s">
        <v>70</v>
      </c>
      <c r="E308" t="s">
        <v>88</v>
      </c>
      <c r="F308" t="s">
        <v>72</v>
      </c>
      <c r="G308">
        <v>0</v>
      </c>
      <c r="H308">
        <v>2E+20</v>
      </c>
      <c r="I308">
        <v>0</v>
      </c>
      <c r="J308">
        <v>0</v>
      </c>
      <c r="K308">
        <v>0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</v>
      </c>
      <c r="U308" s="5">
        <f>IF((ContinuousStatsTable[[#This Row],[RepsRequested]]&gt;1),ContinuousStatsTable[[#This Row],[HalfWidth]],ContinuousStatsTable[[#This Row],[BatchMeansHalfWidth]])</f>
        <v>0</v>
      </c>
    </row>
    <row r="309" spans="1:21" x14ac:dyDescent="0.4">
      <c r="A309" t="s">
        <v>67</v>
      </c>
      <c r="B309" t="s">
        <v>69</v>
      </c>
      <c r="C309">
        <v>35</v>
      </c>
      <c r="D309" t="s">
        <v>73</v>
      </c>
      <c r="E309" t="s">
        <v>88</v>
      </c>
      <c r="F309" t="s">
        <v>72</v>
      </c>
      <c r="G309">
        <v>0</v>
      </c>
      <c r="H309">
        <v>2E+20</v>
      </c>
      <c r="I309">
        <v>0</v>
      </c>
      <c r="J309">
        <v>0</v>
      </c>
      <c r="K309">
        <v>0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0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0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4">
      <c r="A310" t="s">
        <v>67</v>
      </c>
      <c r="B310" t="s">
        <v>69</v>
      </c>
      <c r="C310">
        <v>35</v>
      </c>
      <c r="D310" t="s">
        <v>74</v>
      </c>
      <c r="E310" t="s">
        <v>88</v>
      </c>
      <c r="F310" t="s">
        <v>72</v>
      </c>
      <c r="G310">
        <v>0</v>
      </c>
      <c r="H310">
        <v>2E+20</v>
      </c>
      <c r="I310">
        <v>0</v>
      </c>
      <c r="J310">
        <v>0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4">
      <c r="A311" t="s">
        <v>67</v>
      </c>
      <c r="B311" t="s">
        <v>69</v>
      </c>
      <c r="C311">
        <v>35</v>
      </c>
      <c r="D311" t="s">
        <v>75</v>
      </c>
      <c r="E311" t="s">
        <v>88</v>
      </c>
      <c r="F311" t="s">
        <v>72</v>
      </c>
      <c r="G311">
        <v>0</v>
      </c>
      <c r="H311">
        <v>2E+20</v>
      </c>
      <c r="I311">
        <v>0</v>
      </c>
      <c r="J311">
        <v>0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</v>
      </c>
      <c r="U311" s="5">
        <f>IF((ContinuousStatsTable[[#This Row],[RepsRequested]]&gt;1),ContinuousStatsTable[[#This Row],[HalfWidth]],ContinuousStatsTable[[#This Row],[BatchMeansHalfWidth]])</f>
        <v>0</v>
      </c>
    </row>
    <row r="312" spans="1:21" x14ac:dyDescent="0.4">
      <c r="A312" t="s">
        <v>67</v>
      </c>
      <c r="B312" t="s">
        <v>69</v>
      </c>
      <c r="C312">
        <v>35</v>
      </c>
      <c r="D312" t="s">
        <v>76</v>
      </c>
      <c r="E312" t="s">
        <v>88</v>
      </c>
      <c r="F312" t="s">
        <v>72</v>
      </c>
      <c r="G312">
        <v>4.3962100121412002E-2</v>
      </c>
      <c r="H312">
        <v>2E+20</v>
      </c>
      <c r="I312">
        <v>0</v>
      </c>
      <c r="J312">
        <v>4</v>
      </c>
      <c r="K312">
        <v>0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38.078147260668999</v>
      </c>
      <c r="U312" s="5">
        <f>IF((ContinuousStatsTable[[#This Row],[RepsRequested]]&gt;1),ContinuousStatsTable[[#This Row],[HalfWidth]],ContinuousStatsTable[[#This Row],[BatchMeansHalfWidth]])</f>
        <v>2.1115241847680202</v>
      </c>
    </row>
    <row r="313" spans="1:21" x14ac:dyDescent="0.4">
      <c r="A313" t="s">
        <v>67</v>
      </c>
      <c r="B313" t="s">
        <v>69</v>
      </c>
      <c r="C313">
        <v>35</v>
      </c>
      <c r="D313" t="s">
        <v>77</v>
      </c>
      <c r="E313" t="s">
        <v>88</v>
      </c>
      <c r="F313" t="s">
        <v>72</v>
      </c>
      <c r="G313">
        <v>6.3405633177990302</v>
      </c>
      <c r="H313">
        <v>3E+20</v>
      </c>
      <c r="I313">
        <v>0</v>
      </c>
      <c r="J313">
        <v>32</v>
      </c>
      <c r="K313">
        <v>0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49.6745792704859</v>
      </c>
      <c r="U313" s="5">
        <f>IF((ContinuousStatsTable[[#This Row],[RepsRequested]]&gt;1),ContinuousStatsTable[[#This Row],[HalfWidth]],ContinuousStatsTable[[#This Row],[BatchMeansHalfWidth]])</f>
        <v>3.578413083149202</v>
      </c>
    </row>
    <row r="314" spans="1:21" x14ac:dyDescent="0.4">
      <c r="A314" t="s">
        <v>67</v>
      </c>
      <c r="B314" t="s">
        <v>69</v>
      </c>
      <c r="C314">
        <v>35</v>
      </c>
      <c r="D314" t="s">
        <v>78</v>
      </c>
      <c r="E314" t="s">
        <v>88</v>
      </c>
      <c r="F314" t="s">
        <v>72</v>
      </c>
      <c r="G314">
        <v>21.477655195481901</v>
      </c>
      <c r="H314">
        <v>3E+20</v>
      </c>
      <c r="I314">
        <v>0</v>
      </c>
      <c r="J314">
        <v>82</v>
      </c>
      <c r="K314">
        <v>77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51.634328282384999</v>
      </c>
      <c r="U314" s="5">
        <f>IF((ContinuousStatsTable[[#This Row],[RepsRequested]]&gt;1),ContinuousStatsTable[[#This Row],[HalfWidth]],ContinuousStatsTable[[#This Row],[BatchMeansHalfWidth]])</f>
        <v>4.2398640284824616</v>
      </c>
    </row>
    <row r="315" spans="1:21" x14ac:dyDescent="0.4">
      <c r="A315" t="s">
        <v>67</v>
      </c>
      <c r="B315" t="s">
        <v>69</v>
      </c>
      <c r="C315">
        <v>35</v>
      </c>
      <c r="D315" t="s">
        <v>79</v>
      </c>
      <c r="E315" t="s">
        <v>88</v>
      </c>
      <c r="F315" t="s">
        <v>72</v>
      </c>
      <c r="G315">
        <v>0.260453791087225</v>
      </c>
      <c r="H315">
        <v>2E+20</v>
      </c>
      <c r="I315">
        <v>0</v>
      </c>
      <c r="J315">
        <v>8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0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42.684614626171097</v>
      </c>
      <c r="U315" s="5">
        <f>IF((ContinuousStatsTable[[#This Row],[RepsRequested]]&gt;1),ContinuousStatsTable[[#This Row],[HalfWidth]],ContinuousStatsTable[[#This Row],[BatchMeansHalfWidth]])</f>
        <v>3.4837709905544232</v>
      </c>
    </row>
    <row r="316" spans="1:21" x14ac:dyDescent="0.4">
      <c r="A316" t="s">
        <v>67</v>
      </c>
      <c r="B316" t="s">
        <v>69</v>
      </c>
      <c r="C316">
        <v>35</v>
      </c>
      <c r="D316" t="s">
        <v>80</v>
      </c>
      <c r="E316" t="s">
        <v>89</v>
      </c>
      <c r="F316" t="s">
        <v>82</v>
      </c>
      <c r="G316">
        <v>77.494298544064307</v>
      </c>
      <c r="H316">
        <v>3E+20</v>
      </c>
      <c r="I316">
        <v>0</v>
      </c>
      <c r="J316">
        <v>132</v>
      </c>
      <c r="K316">
        <v>129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60.764515331306598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102.902066283605</v>
      </c>
      <c r="U316" s="5">
        <f>IF((ContinuousStatsTable[[#This Row],[RepsRequested]]&gt;1),ContinuousStatsTable[[#This Row],[HalfWidth]],ContinuousStatsTable[[#This Row],[BatchMeansHalfWidth]])</f>
        <v>2.7368751260137634</v>
      </c>
    </row>
    <row r="317" spans="1:21" x14ac:dyDescent="0.4">
      <c r="A317" t="s">
        <v>67</v>
      </c>
      <c r="B317" t="s">
        <v>69</v>
      </c>
      <c r="C317">
        <v>36</v>
      </c>
      <c r="D317" t="s">
        <v>70</v>
      </c>
      <c r="E317" t="s">
        <v>88</v>
      </c>
      <c r="F317" t="s">
        <v>72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 s="5">
        <f>IF((ContinuousStatsTable[[#This Row],[RepsRequested]]&gt;1),ContinuousStatsTable[[#This Row],[HalfWidth]],ContinuousStatsTable[[#This Row],[BatchMeansHalfWidth]])</f>
        <v>0</v>
      </c>
    </row>
    <row r="318" spans="1:21" x14ac:dyDescent="0.4">
      <c r="A318" t="s">
        <v>67</v>
      </c>
      <c r="B318" t="s">
        <v>69</v>
      </c>
      <c r="C318">
        <v>36</v>
      </c>
      <c r="D318" t="s">
        <v>73</v>
      </c>
      <c r="E318" t="s">
        <v>88</v>
      </c>
      <c r="F318" t="s">
        <v>72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4">
      <c r="A319" t="s">
        <v>67</v>
      </c>
      <c r="B319" t="s">
        <v>69</v>
      </c>
      <c r="C319">
        <v>36</v>
      </c>
      <c r="D319" t="s">
        <v>74</v>
      </c>
      <c r="E319" t="s">
        <v>88</v>
      </c>
      <c r="F319" t="s">
        <v>72</v>
      </c>
      <c r="G319">
        <v>0</v>
      </c>
      <c r="H319">
        <v>2E+20</v>
      </c>
      <c r="I319">
        <v>0</v>
      </c>
      <c r="J319">
        <v>0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0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4">
      <c r="A320" t="s">
        <v>67</v>
      </c>
      <c r="B320" t="s">
        <v>69</v>
      </c>
      <c r="C320">
        <v>36</v>
      </c>
      <c r="D320" t="s">
        <v>75</v>
      </c>
      <c r="E320" t="s">
        <v>88</v>
      </c>
      <c r="F320" t="s">
        <v>72</v>
      </c>
      <c r="G320">
        <v>0</v>
      </c>
      <c r="H320">
        <v>2E+20</v>
      </c>
      <c r="I320">
        <v>0</v>
      </c>
      <c r="J320">
        <v>0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</v>
      </c>
      <c r="U320" s="5">
        <f>IF((ContinuousStatsTable[[#This Row],[RepsRequested]]&gt;1),ContinuousStatsTable[[#This Row],[HalfWidth]],ContinuousStatsTable[[#This Row],[BatchMeansHalfWidth]])</f>
        <v>0</v>
      </c>
    </row>
    <row r="321" spans="1:21" x14ac:dyDescent="0.4">
      <c r="A321" t="s">
        <v>67</v>
      </c>
      <c r="B321" t="s">
        <v>69</v>
      </c>
      <c r="C321">
        <v>36</v>
      </c>
      <c r="D321" t="s">
        <v>76</v>
      </c>
      <c r="E321" t="s">
        <v>88</v>
      </c>
      <c r="F321" t="s">
        <v>72</v>
      </c>
      <c r="G321">
        <v>2.62952840749205E-3</v>
      </c>
      <c r="H321">
        <v>2E+20</v>
      </c>
      <c r="I321">
        <v>0</v>
      </c>
      <c r="J321">
        <v>1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38.078147260668999</v>
      </c>
      <c r="U321" s="5">
        <f>IF((ContinuousStatsTable[[#This Row],[RepsRequested]]&gt;1),ContinuousStatsTable[[#This Row],[HalfWidth]],ContinuousStatsTable[[#This Row],[BatchMeansHalfWidth]])</f>
        <v>2.1115241847680202</v>
      </c>
    </row>
    <row r="322" spans="1:21" x14ac:dyDescent="0.4">
      <c r="A322" t="s">
        <v>67</v>
      </c>
      <c r="B322" t="s">
        <v>69</v>
      </c>
      <c r="C322">
        <v>36</v>
      </c>
      <c r="D322" t="s">
        <v>77</v>
      </c>
      <c r="E322" t="s">
        <v>88</v>
      </c>
      <c r="F322" t="s">
        <v>72</v>
      </c>
      <c r="G322">
        <v>7.7478377277689402E-3</v>
      </c>
      <c r="H322">
        <v>2E+20</v>
      </c>
      <c r="I322">
        <v>0</v>
      </c>
      <c r="J322">
        <v>2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49.6745792704859</v>
      </c>
      <c r="U322" s="5">
        <f>IF((ContinuousStatsTable[[#This Row],[RepsRequested]]&gt;1),ContinuousStatsTable[[#This Row],[HalfWidth]],ContinuousStatsTable[[#This Row],[BatchMeansHalfWidth]])</f>
        <v>3.578413083149202</v>
      </c>
    </row>
    <row r="323" spans="1:21" x14ac:dyDescent="0.4">
      <c r="A323" t="s">
        <v>67</v>
      </c>
      <c r="B323" t="s">
        <v>69</v>
      </c>
      <c r="C323">
        <v>36</v>
      </c>
      <c r="D323" t="s">
        <v>78</v>
      </c>
      <c r="E323" t="s">
        <v>88</v>
      </c>
      <c r="F323" t="s">
        <v>72</v>
      </c>
      <c r="G323">
        <v>2.31612374899295</v>
      </c>
      <c r="H323">
        <v>3E+20</v>
      </c>
      <c r="I323">
        <v>0</v>
      </c>
      <c r="J323">
        <v>20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0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51.634328282384999</v>
      </c>
      <c r="U323" s="5">
        <f>IF((ContinuousStatsTable[[#This Row],[RepsRequested]]&gt;1),ContinuousStatsTable[[#This Row],[HalfWidth]],ContinuousStatsTable[[#This Row],[BatchMeansHalfWidth]])</f>
        <v>4.2398640284824616</v>
      </c>
    </row>
    <row r="324" spans="1:21" x14ac:dyDescent="0.4">
      <c r="A324" t="s">
        <v>67</v>
      </c>
      <c r="B324" t="s">
        <v>69</v>
      </c>
      <c r="C324">
        <v>36</v>
      </c>
      <c r="D324" t="s">
        <v>79</v>
      </c>
      <c r="E324" t="s">
        <v>88</v>
      </c>
      <c r="F324" t="s">
        <v>72</v>
      </c>
      <c r="G324">
        <v>32.373093069493898</v>
      </c>
      <c r="H324">
        <v>3E+20</v>
      </c>
      <c r="I324">
        <v>0</v>
      </c>
      <c r="J324">
        <v>70</v>
      </c>
      <c r="K324">
        <v>45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42.684614626171097</v>
      </c>
      <c r="U324" s="5">
        <f>IF((ContinuousStatsTable[[#This Row],[RepsRequested]]&gt;1),ContinuousStatsTable[[#This Row],[HalfWidth]],ContinuousStatsTable[[#This Row],[BatchMeansHalfWidth]])</f>
        <v>3.4837709905544232</v>
      </c>
    </row>
    <row r="325" spans="1:21" x14ac:dyDescent="0.4">
      <c r="A325" t="s">
        <v>67</v>
      </c>
      <c r="B325" t="s">
        <v>69</v>
      </c>
      <c r="C325">
        <v>36</v>
      </c>
      <c r="D325" t="s">
        <v>80</v>
      </c>
      <c r="E325" t="s">
        <v>89</v>
      </c>
      <c r="F325" t="s">
        <v>82</v>
      </c>
      <c r="G325">
        <v>81.511756697261305</v>
      </c>
      <c r="H325">
        <v>3E+20</v>
      </c>
      <c r="I325">
        <v>0</v>
      </c>
      <c r="J325">
        <v>120</v>
      </c>
      <c r="K325">
        <v>82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60.764515331306598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102.902066283605</v>
      </c>
      <c r="U325" s="5">
        <f>IF((ContinuousStatsTable[[#This Row],[RepsRequested]]&gt;1),ContinuousStatsTable[[#This Row],[HalfWidth]],ContinuousStatsTable[[#This Row],[BatchMeansHalfWidth]])</f>
        <v>2.7368751260137634</v>
      </c>
    </row>
    <row r="326" spans="1:21" x14ac:dyDescent="0.4">
      <c r="A326" t="s">
        <v>67</v>
      </c>
      <c r="B326" t="s">
        <v>69</v>
      </c>
      <c r="C326">
        <v>37</v>
      </c>
      <c r="D326" t="s">
        <v>70</v>
      </c>
      <c r="E326" t="s">
        <v>88</v>
      </c>
      <c r="F326" t="s">
        <v>72</v>
      </c>
      <c r="G326">
        <v>0</v>
      </c>
      <c r="H326">
        <v>2E+20</v>
      </c>
      <c r="I326">
        <v>0</v>
      </c>
      <c r="J326">
        <v>0</v>
      </c>
      <c r="K326">
        <v>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4">
      <c r="A327" t="s">
        <v>67</v>
      </c>
      <c r="B327" t="s">
        <v>69</v>
      </c>
      <c r="C327">
        <v>37</v>
      </c>
      <c r="D327" t="s">
        <v>73</v>
      </c>
      <c r="E327" t="s">
        <v>88</v>
      </c>
      <c r="F327" t="s">
        <v>72</v>
      </c>
      <c r="G327">
        <v>0</v>
      </c>
      <c r="H327">
        <v>2E+20</v>
      </c>
      <c r="I327">
        <v>0</v>
      </c>
      <c r="J327">
        <v>0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0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0</v>
      </c>
      <c r="U327" s="5">
        <f>IF((ContinuousStatsTable[[#This Row],[RepsRequested]]&gt;1),ContinuousStatsTable[[#This Row],[HalfWidth]],ContinuousStatsTable[[#This Row],[BatchMeansHalfWidth]])</f>
        <v>0</v>
      </c>
    </row>
    <row r="328" spans="1:21" x14ac:dyDescent="0.4">
      <c r="A328" t="s">
        <v>67</v>
      </c>
      <c r="B328" t="s">
        <v>69</v>
      </c>
      <c r="C328">
        <v>37</v>
      </c>
      <c r="D328" t="s">
        <v>74</v>
      </c>
      <c r="E328" t="s">
        <v>88</v>
      </c>
      <c r="F328" t="s">
        <v>72</v>
      </c>
      <c r="G328">
        <v>0</v>
      </c>
      <c r="H328">
        <v>2E+20</v>
      </c>
      <c r="I328">
        <v>0</v>
      </c>
      <c r="J328">
        <v>0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0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</v>
      </c>
      <c r="U328" s="5">
        <f>IF((ContinuousStatsTable[[#This Row],[RepsRequested]]&gt;1),ContinuousStatsTable[[#This Row],[HalfWidth]],ContinuousStatsTable[[#This Row],[BatchMeansHalfWidth]])</f>
        <v>0</v>
      </c>
    </row>
    <row r="329" spans="1:21" x14ac:dyDescent="0.4">
      <c r="A329" t="s">
        <v>67</v>
      </c>
      <c r="B329" t="s">
        <v>69</v>
      </c>
      <c r="C329">
        <v>37</v>
      </c>
      <c r="D329" t="s">
        <v>75</v>
      </c>
      <c r="E329" t="s">
        <v>88</v>
      </c>
      <c r="F329" t="s">
        <v>72</v>
      </c>
      <c r="G329">
        <v>0</v>
      </c>
      <c r="H329">
        <v>2E+20</v>
      </c>
      <c r="I329">
        <v>0</v>
      </c>
      <c r="J329">
        <v>0</v>
      </c>
      <c r="K329">
        <v>0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0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0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0</v>
      </c>
      <c r="U329" s="5">
        <f>IF((ContinuousStatsTable[[#This Row],[RepsRequested]]&gt;1),ContinuousStatsTable[[#This Row],[HalfWidth]],ContinuousStatsTable[[#This Row],[BatchMeansHalfWidth]])</f>
        <v>0</v>
      </c>
    </row>
    <row r="330" spans="1:21" x14ac:dyDescent="0.4">
      <c r="A330" t="s">
        <v>67</v>
      </c>
      <c r="B330" t="s">
        <v>69</v>
      </c>
      <c r="C330">
        <v>37</v>
      </c>
      <c r="D330" t="s">
        <v>76</v>
      </c>
      <c r="E330" t="s">
        <v>88</v>
      </c>
      <c r="F330" t="s">
        <v>72</v>
      </c>
      <c r="G330">
        <v>8.0359151230142999E-4</v>
      </c>
      <c r="H330">
        <v>2E+20</v>
      </c>
      <c r="I330">
        <v>0</v>
      </c>
      <c r="J330">
        <v>1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38.078147260668999</v>
      </c>
      <c r="U330" s="5">
        <f>IF((ContinuousStatsTable[[#This Row],[RepsRequested]]&gt;1),ContinuousStatsTable[[#This Row],[HalfWidth]],ContinuousStatsTable[[#This Row],[BatchMeansHalfWidth]])</f>
        <v>2.1115241847680202</v>
      </c>
    </row>
    <row r="331" spans="1:21" x14ac:dyDescent="0.4">
      <c r="A331" t="s">
        <v>67</v>
      </c>
      <c r="B331" t="s">
        <v>69</v>
      </c>
      <c r="C331">
        <v>37</v>
      </c>
      <c r="D331" t="s">
        <v>77</v>
      </c>
      <c r="E331" t="s">
        <v>88</v>
      </c>
      <c r="F331" t="s">
        <v>72</v>
      </c>
      <c r="G331">
        <v>0.15649706055125601</v>
      </c>
      <c r="H331">
        <v>2E+20</v>
      </c>
      <c r="I331">
        <v>0</v>
      </c>
      <c r="J331">
        <v>5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49.6745792704859</v>
      </c>
      <c r="U331" s="5">
        <f>IF((ContinuousStatsTable[[#This Row],[RepsRequested]]&gt;1),ContinuousStatsTable[[#This Row],[HalfWidth]],ContinuousStatsTable[[#This Row],[BatchMeansHalfWidth]])</f>
        <v>3.578413083149202</v>
      </c>
    </row>
    <row r="332" spans="1:21" x14ac:dyDescent="0.4">
      <c r="A332" t="s">
        <v>67</v>
      </c>
      <c r="B332" t="s">
        <v>69</v>
      </c>
      <c r="C332">
        <v>37</v>
      </c>
      <c r="D332" t="s">
        <v>78</v>
      </c>
      <c r="E332" t="s">
        <v>88</v>
      </c>
      <c r="F332" t="s">
        <v>72</v>
      </c>
      <c r="G332">
        <v>1.43780103784318</v>
      </c>
      <c r="H332">
        <v>3E+20</v>
      </c>
      <c r="I332">
        <v>0</v>
      </c>
      <c r="J332">
        <v>15</v>
      </c>
      <c r="K332">
        <v>14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51.634328282384999</v>
      </c>
      <c r="U332" s="5">
        <f>IF((ContinuousStatsTable[[#This Row],[RepsRequested]]&gt;1),ContinuousStatsTable[[#This Row],[HalfWidth]],ContinuousStatsTable[[#This Row],[BatchMeansHalfWidth]])</f>
        <v>4.2398640284824616</v>
      </c>
    </row>
    <row r="333" spans="1:21" x14ac:dyDescent="0.4">
      <c r="A333" t="s">
        <v>67</v>
      </c>
      <c r="B333" t="s">
        <v>69</v>
      </c>
      <c r="C333">
        <v>37</v>
      </c>
      <c r="D333" t="s">
        <v>79</v>
      </c>
      <c r="E333" t="s">
        <v>88</v>
      </c>
      <c r="F333" t="s">
        <v>72</v>
      </c>
      <c r="G333">
        <v>25.9675585547545</v>
      </c>
      <c r="H333">
        <v>3E+20</v>
      </c>
      <c r="I333">
        <v>0</v>
      </c>
      <c r="J333">
        <v>53</v>
      </c>
      <c r="K333">
        <v>28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42.684614626171097</v>
      </c>
      <c r="U333" s="5">
        <f>IF((ContinuousStatsTable[[#This Row],[RepsRequested]]&gt;1),ContinuousStatsTable[[#This Row],[HalfWidth]],ContinuousStatsTable[[#This Row],[BatchMeansHalfWidth]])</f>
        <v>3.4837709905544232</v>
      </c>
    </row>
    <row r="334" spans="1:21" x14ac:dyDescent="0.4">
      <c r="A334" t="s">
        <v>67</v>
      </c>
      <c r="B334" t="s">
        <v>69</v>
      </c>
      <c r="C334">
        <v>37</v>
      </c>
      <c r="D334" t="s">
        <v>80</v>
      </c>
      <c r="E334" t="s">
        <v>89</v>
      </c>
      <c r="F334" t="s">
        <v>82</v>
      </c>
      <c r="G334">
        <v>73.287987428914306</v>
      </c>
      <c r="H334">
        <v>3E+20</v>
      </c>
      <c r="I334">
        <v>0</v>
      </c>
      <c r="J334">
        <v>95</v>
      </c>
      <c r="K334">
        <v>89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60.764515331306598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102.902066283605</v>
      </c>
      <c r="U334" s="5">
        <f>IF((ContinuousStatsTable[[#This Row],[RepsRequested]]&gt;1),ContinuousStatsTable[[#This Row],[HalfWidth]],ContinuousStatsTable[[#This Row],[BatchMeansHalfWidth]])</f>
        <v>2.7368751260137634</v>
      </c>
    </row>
    <row r="335" spans="1:21" x14ac:dyDescent="0.4">
      <c r="A335" t="s">
        <v>67</v>
      </c>
      <c r="B335" t="s">
        <v>69</v>
      </c>
      <c r="C335">
        <v>38</v>
      </c>
      <c r="D335" t="s">
        <v>70</v>
      </c>
      <c r="E335" t="s">
        <v>88</v>
      </c>
      <c r="F335" t="s">
        <v>72</v>
      </c>
      <c r="G335">
        <v>0</v>
      </c>
      <c r="H335">
        <v>2E+20</v>
      </c>
      <c r="I335">
        <v>0</v>
      </c>
      <c r="J335">
        <v>0</v>
      </c>
      <c r="K335">
        <v>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4">
      <c r="A336" t="s">
        <v>67</v>
      </c>
      <c r="B336" t="s">
        <v>69</v>
      </c>
      <c r="C336">
        <v>38</v>
      </c>
      <c r="D336" t="s">
        <v>73</v>
      </c>
      <c r="E336" t="s">
        <v>88</v>
      </c>
      <c r="F336" t="s">
        <v>72</v>
      </c>
      <c r="G336">
        <v>0</v>
      </c>
      <c r="H336">
        <v>2E+20</v>
      </c>
      <c r="I336">
        <v>0</v>
      </c>
      <c r="J336">
        <v>0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</v>
      </c>
      <c r="U336" s="5">
        <f>IF((ContinuousStatsTable[[#This Row],[RepsRequested]]&gt;1),ContinuousStatsTable[[#This Row],[HalfWidth]],ContinuousStatsTable[[#This Row],[BatchMeansHalfWidth]])</f>
        <v>0</v>
      </c>
    </row>
    <row r="337" spans="1:21" x14ac:dyDescent="0.4">
      <c r="A337" t="s">
        <v>67</v>
      </c>
      <c r="B337" t="s">
        <v>69</v>
      </c>
      <c r="C337">
        <v>38</v>
      </c>
      <c r="D337" t="s">
        <v>74</v>
      </c>
      <c r="E337" t="s">
        <v>88</v>
      </c>
      <c r="F337" t="s">
        <v>72</v>
      </c>
      <c r="G337">
        <v>0</v>
      </c>
      <c r="H337">
        <v>2E+20</v>
      </c>
      <c r="I337">
        <v>0</v>
      </c>
      <c r="J337">
        <v>0</v>
      </c>
      <c r="K337">
        <v>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4">
      <c r="A338" t="s">
        <v>67</v>
      </c>
      <c r="B338" t="s">
        <v>69</v>
      </c>
      <c r="C338">
        <v>38</v>
      </c>
      <c r="D338" t="s">
        <v>75</v>
      </c>
      <c r="E338" t="s">
        <v>88</v>
      </c>
      <c r="F338" t="s">
        <v>72</v>
      </c>
      <c r="G338">
        <v>0</v>
      </c>
      <c r="H338">
        <v>2E+20</v>
      </c>
      <c r="I338">
        <v>0</v>
      </c>
      <c r="J338">
        <v>0</v>
      </c>
      <c r="K338">
        <v>0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0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0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0</v>
      </c>
      <c r="U338" s="5">
        <f>IF((ContinuousStatsTable[[#This Row],[RepsRequested]]&gt;1),ContinuousStatsTable[[#This Row],[HalfWidth]],ContinuousStatsTable[[#This Row],[BatchMeansHalfWidth]])</f>
        <v>0</v>
      </c>
    </row>
    <row r="339" spans="1:21" x14ac:dyDescent="0.4">
      <c r="A339" t="s">
        <v>67</v>
      </c>
      <c r="B339" t="s">
        <v>69</v>
      </c>
      <c r="C339">
        <v>38</v>
      </c>
      <c r="D339" t="s">
        <v>76</v>
      </c>
      <c r="E339" t="s">
        <v>88</v>
      </c>
      <c r="F339" t="s">
        <v>72</v>
      </c>
      <c r="G339">
        <v>1.5898725251931398E-2</v>
      </c>
      <c r="H339">
        <v>2E+20</v>
      </c>
      <c r="I339">
        <v>0</v>
      </c>
      <c r="J339">
        <v>3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38.078147260668999</v>
      </c>
      <c r="U339" s="5">
        <f>IF((ContinuousStatsTable[[#This Row],[RepsRequested]]&gt;1),ContinuousStatsTable[[#This Row],[HalfWidth]],ContinuousStatsTable[[#This Row],[BatchMeansHalfWidth]])</f>
        <v>2.1115241847680202</v>
      </c>
    </row>
    <row r="340" spans="1:21" x14ac:dyDescent="0.4">
      <c r="A340" t="s">
        <v>67</v>
      </c>
      <c r="B340" t="s">
        <v>69</v>
      </c>
      <c r="C340">
        <v>38</v>
      </c>
      <c r="D340" t="s">
        <v>77</v>
      </c>
      <c r="E340" t="s">
        <v>88</v>
      </c>
      <c r="F340" t="s">
        <v>72</v>
      </c>
      <c r="G340">
        <v>17.7580801144384</v>
      </c>
      <c r="H340">
        <v>3E+20</v>
      </c>
      <c r="I340">
        <v>0</v>
      </c>
      <c r="J340">
        <v>47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49.6745792704859</v>
      </c>
      <c r="U340" s="5">
        <f>IF((ContinuousStatsTable[[#This Row],[RepsRequested]]&gt;1),ContinuousStatsTable[[#This Row],[HalfWidth]],ContinuousStatsTable[[#This Row],[BatchMeansHalfWidth]])</f>
        <v>3.578413083149202</v>
      </c>
    </row>
    <row r="341" spans="1:21" x14ac:dyDescent="0.4">
      <c r="A341" t="s">
        <v>67</v>
      </c>
      <c r="B341" t="s">
        <v>69</v>
      </c>
      <c r="C341">
        <v>38</v>
      </c>
      <c r="D341" t="s">
        <v>78</v>
      </c>
      <c r="E341" t="s">
        <v>88</v>
      </c>
      <c r="F341" t="s">
        <v>72</v>
      </c>
      <c r="G341">
        <v>1.16430292117263E-3</v>
      </c>
      <c r="H341">
        <v>2E+20</v>
      </c>
      <c r="I341">
        <v>0</v>
      </c>
      <c r="J341">
        <v>1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51.634328282384999</v>
      </c>
      <c r="U341" s="5">
        <f>IF((ContinuousStatsTable[[#This Row],[RepsRequested]]&gt;1),ContinuousStatsTable[[#This Row],[HalfWidth]],ContinuousStatsTable[[#This Row],[BatchMeansHalfWidth]])</f>
        <v>4.2398640284824616</v>
      </c>
    </row>
    <row r="342" spans="1:21" x14ac:dyDescent="0.4">
      <c r="A342" t="s">
        <v>67</v>
      </c>
      <c r="B342" t="s">
        <v>69</v>
      </c>
      <c r="C342">
        <v>38</v>
      </c>
      <c r="D342" t="s">
        <v>79</v>
      </c>
      <c r="E342" t="s">
        <v>88</v>
      </c>
      <c r="F342" t="s">
        <v>72</v>
      </c>
      <c r="G342">
        <v>13.6202708058713</v>
      </c>
      <c r="H342">
        <v>3E+20</v>
      </c>
      <c r="I342">
        <v>0</v>
      </c>
      <c r="J342">
        <v>38</v>
      </c>
      <c r="K342">
        <v>18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42.684614626171097</v>
      </c>
      <c r="U342" s="5">
        <f>IF((ContinuousStatsTable[[#This Row],[RepsRequested]]&gt;1),ContinuousStatsTable[[#This Row],[HalfWidth]],ContinuousStatsTable[[#This Row],[BatchMeansHalfWidth]])</f>
        <v>3.4837709905544232</v>
      </c>
    </row>
    <row r="343" spans="1:21" x14ac:dyDescent="0.4">
      <c r="A343" t="s">
        <v>67</v>
      </c>
      <c r="B343" t="s">
        <v>69</v>
      </c>
      <c r="C343">
        <v>38</v>
      </c>
      <c r="D343" t="s">
        <v>80</v>
      </c>
      <c r="E343" t="s">
        <v>89</v>
      </c>
      <c r="F343" t="s">
        <v>82</v>
      </c>
      <c r="G343">
        <v>82.587180746415996</v>
      </c>
      <c r="H343">
        <v>3E+20</v>
      </c>
      <c r="I343">
        <v>0</v>
      </c>
      <c r="J343">
        <v>109</v>
      </c>
      <c r="K343">
        <v>75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60.764515331306598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102.902066283605</v>
      </c>
      <c r="U343" s="5">
        <f>IF((ContinuousStatsTable[[#This Row],[RepsRequested]]&gt;1),ContinuousStatsTable[[#This Row],[HalfWidth]],ContinuousStatsTable[[#This Row],[BatchMeansHalfWidth]])</f>
        <v>2.7368751260137634</v>
      </c>
    </row>
    <row r="344" spans="1:21" x14ac:dyDescent="0.4">
      <c r="A344" t="s">
        <v>67</v>
      </c>
      <c r="B344" t="s">
        <v>69</v>
      </c>
      <c r="C344">
        <v>39</v>
      </c>
      <c r="D344" t="s">
        <v>70</v>
      </c>
      <c r="E344" t="s">
        <v>88</v>
      </c>
      <c r="F344" t="s">
        <v>72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4">
      <c r="A345" t="s">
        <v>67</v>
      </c>
      <c r="B345" t="s">
        <v>69</v>
      </c>
      <c r="C345">
        <v>39</v>
      </c>
      <c r="D345" t="s">
        <v>73</v>
      </c>
      <c r="E345" t="s">
        <v>88</v>
      </c>
      <c r="F345" t="s">
        <v>72</v>
      </c>
      <c r="G345">
        <v>0</v>
      </c>
      <c r="H345">
        <v>2E+20</v>
      </c>
      <c r="I345">
        <v>0</v>
      </c>
      <c r="J345">
        <v>0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4">
      <c r="A346" t="s">
        <v>67</v>
      </c>
      <c r="B346" t="s">
        <v>69</v>
      </c>
      <c r="C346">
        <v>39</v>
      </c>
      <c r="D346" t="s">
        <v>74</v>
      </c>
      <c r="E346" t="s">
        <v>88</v>
      </c>
      <c r="F346" t="s">
        <v>72</v>
      </c>
      <c r="G346">
        <v>0</v>
      </c>
      <c r="H346">
        <v>2E+20</v>
      </c>
      <c r="I346">
        <v>0</v>
      </c>
      <c r="J346">
        <v>0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4">
      <c r="A347" t="s">
        <v>67</v>
      </c>
      <c r="B347" t="s">
        <v>69</v>
      </c>
      <c r="C347">
        <v>39</v>
      </c>
      <c r="D347" t="s">
        <v>75</v>
      </c>
      <c r="E347" t="s">
        <v>88</v>
      </c>
      <c r="F347" t="s">
        <v>72</v>
      </c>
      <c r="G347">
        <v>0</v>
      </c>
      <c r="H347">
        <v>2E+20</v>
      </c>
      <c r="I347">
        <v>0</v>
      </c>
      <c r="J347">
        <v>0</v>
      </c>
      <c r="K347">
        <v>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0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0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0</v>
      </c>
      <c r="U347" s="5">
        <f>IF((ContinuousStatsTable[[#This Row],[RepsRequested]]&gt;1),ContinuousStatsTable[[#This Row],[HalfWidth]],ContinuousStatsTable[[#This Row],[BatchMeansHalfWidth]])</f>
        <v>0</v>
      </c>
    </row>
    <row r="348" spans="1:21" x14ac:dyDescent="0.4">
      <c r="A348" t="s">
        <v>67</v>
      </c>
      <c r="B348" t="s">
        <v>69</v>
      </c>
      <c r="C348">
        <v>39</v>
      </c>
      <c r="D348" t="s">
        <v>76</v>
      </c>
      <c r="E348" t="s">
        <v>88</v>
      </c>
      <c r="F348" t="s">
        <v>72</v>
      </c>
      <c r="G348">
        <v>0.17234516829393001</v>
      </c>
      <c r="H348">
        <v>2E+20</v>
      </c>
      <c r="I348">
        <v>0</v>
      </c>
      <c r="J348">
        <v>6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38.078147260668999</v>
      </c>
      <c r="U348" s="5">
        <f>IF((ContinuousStatsTable[[#This Row],[RepsRequested]]&gt;1),ContinuousStatsTable[[#This Row],[HalfWidth]],ContinuousStatsTable[[#This Row],[BatchMeansHalfWidth]])</f>
        <v>2.1115241847680202</v>
      </c>
    </row>
    <row r="349" spans="1:21" x14ac:dyDescent="0.4">
      <c r="A349" t="s">
        <v>67</v>
      </c>
      <c r="B349" t="s">
        <v>69</v>
      </c>
      <c r="C349">
        <v>39</v>
      </c>
      <c r="D349" t="s">
        <v>77</v>
      </c>
      <c r="E349" t="s">
        <v>88</v>
      </c>
      <c r="F349" t="s">
        <v>72</v>
      </c>
      <c r="G349">
        <v>22.184785919243499</v>
      </c>
      <c r="H349">
        <v>3E+20</v>
      </c>
      <c r="I349">
        <v>0</v>
      </c>
      <c r="J349">
        <v>72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49.6745792704859</v>
      </c>
      <c r="U349" s="5">
        <f>IF((ContinuousStatsTable[[#This Row],[RepsRequested]]&gt;1),ContinuousStatsTable[[#This Row],[HalfWidth]],ContinuousStatsTable[[#This Row],[BatchMeansHalfWidth]])</f>
        <v>3.578413083149202</v>
      </c>
    </row>
    <row r="350" spans="1:21" x14ac:dyDescent="0.4">
      <c r="A350" t="s">
        <v>67</v>
      </c>
      <c r="B350" t="s">
        <v>69</v>
      </c>
      <c r="C350">
        <v>39</v>
      </c>
      <c r="D350" t="s">
        <v>78</v>
      </c>
      <c r="E350" t="s">
        <v>88</v>
      </c>
      <c r="F350" t="s">
        <v>72</v>
      </c>
      <c r="G350">
        <v>18.816873049722599</v>
      </c>
      <c r="H350">
        <v>3E+20</v>
      </c>
      <c r="I350">
        <v>0</v>
      </c>
      <c r="J350">
        <v>114</v>
      </c>
      <c r="K350">
        <v>114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51.634328282384999</v>
      </c>
      <c r="U350" s="5">
        <f>IF((ContinuousStatsTable[[#This Row],[RepsRequested]]&gt;1),ContinuousStatsTable[[#This Row],[HalfWidth]],ContinuousStatsTable[[#This Row],[BatchMeansHalfWidth]])</f>
        <v>4.2398640284824616</v>
      </c>
    </row>
    <row r="351" spans="1:21" x14ac:dyDescent="0.4">
      <c r="A351" t="s">
        <v>67</v>
      </c>
      <c r="B351" t="s">
        <v>69</v>
      </c>
      <c r="C351">
        <v>39</v>
      </c>
      <c r="D351" t="s">
        <v>79</v>
      </c>
      <c r="E351" t="s">
        <v>88</v>
      </c>
      <c r="F351" t="s">
        <v>72</v>
      </c>
      <c r="G351">
        <v>5.2102803807922205E-4</v>
      </c>
      <c r="H351">
        <v>2E+20</v>
      </c>
      <c r="I351">
        <v>0</v>
      </c>
      <c r="J351">
        <v>1</v>
      </c>
      <c r="K351">
        <v>0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42.684614626171097</v>
      </c>
      <c r="U351" s="5">
        <f>IF((ContinuousStatsTable[[#This Row],[RepsRequested]]&gt;1),ContinuousStatsTable[[#This Row],[HalfWidth]],ContinuousStatsTable[[#This Row],[BatchMeansHalfWidth]])</f>
        <v>3.4837709905544232</v>
      </c>
    </row>
    <row r="352" spans="1:21" x14ac:dyDescent="0.4">
      <c r="A352" t="s">
        <v>67</v>
      </c>
      <c r="B352" t="s">
        <v>69</v>
      </c>
      <c r="C352">
        <v>39</v>
      </c>
      <c r="D352" t="s">
        <v>80</v>
      </c>
      <c r="E352" t="s">
        <v>89</v>
      </c>
      <c r="F352" t="s">
        <v>82</v>
      </c>
      <c r="G352">
        <v>87.564048325963597</v>
      </c>
      <c r="H352">
        <v>3E+20</v>
      </c>
      <c r="I352">
        <v>0</v>
      </c>
      <c r="J352">
        <v>165</v>
      </c>
      <c r="K352">
        <v>151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60.764515331306598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102.902066283605</v>
      </c>
      <c r="U352" s="5">
        <f>IF((ContinuousStatsTable[[#This Row],[RepsRequested]]&gt;1),ContinuousStatsTable[[#This Row],[HalfWidth]],ContinuousStatsTable[[#This Row],[BatchMeansHalfWidth]])</f>
        <v>2.7368751260137634</v>
      </c>
    </row>
    <row r="353" spans="1:21" x14ac:dyDescent="0.4">
      <c r="A353" t="s">
        <v>67</v>
      </c>
      <c r="B353" t="s">
        <v>69</v>
      </c>
      <c r="C353">
        <v>40</v>
      </c>
      <c r="D353" t="s">
        <v>70</v>
      </c>
      <c r="E353" t="s">
        <v>88</v>
      </c>
      <c r="F353" t="s">
        <v>72</v>
      </c>
      <c r="G353">
        <v>0</v>
      </c>
      <c r="H353">
        <v>2E+20</v>
      </c>
      <c r="I353">
        <v>0</v>
      </c>
      <c r="J353">
        <v>0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0</v>
      </c>
      <c r="U353" s="5">
        <f>IF((ContinuousStatsTable[[#This Row],[RepsRequested]]&gt;1),ContinuousStatsTable[[#This Row],[HalfWidth]],ContinuousStatsTable[[#This Row],[BatchMeansHalfWidth]])</f>
        <v>0</v>
      </c>
    </row>
    <row r="354" spans="1:21" x14ac:dyDescent="0.4">
      <c r="A354" t="s">
        <v>67</v>
      </c>
      <c r="B354" t="s">
        <v>69</v>
      </c>
      <c r="C354">
        <v>40</v>
      </c>
      <c r="D354" t="s">
        <v>73</v>
      </c>
      <c r="E354" t="s">
        <v>88</v>
      </c>
      <c r="F354" t="s">
        <v>72</v>
      </c>
      <c r="G354">
        <v>0</v>
      </c>
      <c r="H354">
        <v>2E+20</v>
      </c>
      <c r="I354">
        <v>0</v>
      </c>
      <c r="J354">
        <v>0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4">
      <c r="A355" t="s">
        <v>67</v>
      </c>
      <c r="B355" t="s">
        <v>69</v>
      </c>
      <c r="C355">
        <v>40</v>
      </c>
      <c r="D355" t="s">
        <v>74</v>
      </c>
      <c r="E355" t="s">
        <v>88</v>
      </c>
      <c r="F355" t="s">
        <v>72</v>
      </c>
      <c r="G355">
        <v>0</v>
      </c>
      <c r="H355">
        <v>2E+20</v>
      </c>
      <c r="I355">
        <v>0</v>
      </c>
      <c r="J355">
        <v>0</v>
      </c>
      <c r="K355">
        <v>0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</v>
      </c>
      <c r="U355" s="5">
        <f>IF((ContinuousStatsTable[[#This Row],[RepsRequested]]&gt;1),ContinuousStatsTable[[#This Row],[HalfWidth]],ContinuousStatsTable[[#This Row],[BatchMeansHalfWidth]])</f>
        <v>0</v>
      </c>
    </row>
    <row r="356" spans="1:21" x14ac:dyDescent="0.4">
      <c r="A356" t="s">
        <v>67</v>
      </c>
      <c r="B356" t="s">
        <v>69</v>
      </c>
      <c r="C356">
        <v>40</v>
      </c>
      <c r="D356" t="s">
        <v>75</v>
      </c>
      <c r="E356" t="s">
        <v>88</v>
      </c>
      <c r="F356" t="s">
        <v>72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4">
      <c r="A357" t="s">
        <v>67</v>
      </c>
      <c r="B357" t="s">
        <v>69</v>
      </c>
      <c r="C357">
        <v>40</v>
      </c>
      <c r="D357" t="s">
        <v>76</v>
      </c>
      <c r="E357" t="s">
        <v>88</v>
      </c>
      <c r="F357" t="s">
        <v>72</v>
      </c>
      <c r="G357">
        <v>1.588716070015</v>
      </c>
      <c r="H357">
        <v>3E+20</v>
      </c>
      <c r="I357">
        <v>0</v>
      </c>
      <c r="J357">
        <v>12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38.078147260668999</v>
      </c>
      <c r="U357" s="5">
        <f>IF((ContinuousStatsTable[[#This Row],[RepsRequested]]&gt;1),ContinuousStatsTable[[#This Row],[HalfWidth]],ContinuousStatsTable[[#This Row],[BatchMeansHalfWidth]])</f>
        <v>2.1115241847680202</v>
      </c>
    </row>
    <row r="358" spans="1:21" x14ac:dyDescent="0.4">
      <c r="A358" t="s">
        <v>67</v>
      </c>
      <c r="B358" t="s">
        <v>69</v>
      </c>
      <c r="C358">
        <v>40</v>
      </c>
      <c r="D358" t="s">
        <v>77</v>
      </c>
      <c r="E358" t="s">
        <v>88</v>
      </c>
      <c r="F358" t="s">
        <v>72</v>
      </c>
      <c r="G358">
        <v>1.8060691587987201E-2</v>
      </c>
      <c r="H358">
        <v>2E+20</v>
      </c>
      <c r="I358">
        <v>0</v>
      </c>
      <c r="J358">
        <v>3</v>
      </c>
      <c r="K358">
        <v>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0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49.6745792704859</v>
      </c>
      <c r="U358" s="5">
        <f>IF((ContinuousStatsTable[[#This Row],[RepsRequested]]&gt;1),ContinuousStatsTable[[#This Row],[HalfWidth]],ContinuousStatsTable[[#This Row],[BatchMeansHalfWidth]])</f>
        <v>3.578413083149202</v>
      </c>
    </row>
    <row r="359" spans="1:21" x14ac:dyDescent="0.4">
      <c r="A359" t="s">
        <v>67</v>
      </c>
      <c r="B359" t="s">
        <v>69</v>
      </c>
      <c r="C359">
        <v>40</v>
      </c>
      <c r="D359" t="s">
        <v>78</v>
      </c>
      <c r="E359" t="s">
        <v>88</v>
      </c>
      <c r="F359" t="s">
        <v>72</v>
      </c>
      <c r="G359">
        <v>4.1767739497896699</v>
      </c>
      <c r="H359">
        <v>3E+20</v>
      </c>
      <c r="I359">
        <v>0</v>
      </c>
      <c r="J359">
        <v>24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51.634328282384999</v>
      </c>
      <c r="U359" s="5">
        <f>IF((ContinuousStatsTable[[#This Row],[RepsRequested]]&gt;1),ContinuousStatsTable[[#This Row],[HalfWidth]],ContinuousStatsTable[[#This Row],[BatchMeansHalfWidth]])</f>
        <v>4.2398640284824616</v>
      </c>
    </row>
    <row r="360" spans="1:21" x14ac:dyDescent="0.4">
      <c r="A360" t="s">
        <v>67</v>
      </c>
      <c r="B360" t="s">
        <v>69</v>
      </c>
      <c r="C360">
        <v>40</v>
      </c>
      <c r="D360" t="s">
        <v>79</v>
      </c>
      <c r="E360" t="s">
        <v>88</v>
      </c>
      <c r="F360" t="s">
        <v>72</v>
      </c>
      <c r="G360">
        <v>39.428263027017898</v>
      </c>
      <c r="H360">
        <v>3E+20</v>
      </c>
      <c r="I360">
        <v>0</v>
      </c>
      <c r="J360">
        <v>132</v>
      </c>
      <c r="K360">
        <v>132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42.684614626171097</v>
      </c>
      <c r="U360" s="5">
        <f>IF((ContinuousStatsTable[[#This Row],[RepsRequested]]&gt;1),ContinuousStatsTable[[#This Row],[HalfWidth]],ContinuousStatsTable[[#This Row],[BatchMeansHalfWidth]])</f>
        <v>3.4837709905544232</v>
      </c>
    </row>
    <row r="361" spans="1:21" x14ac:dyDescent="0.4">
      <c r="A361" t="s">
        <v>67</v>
      </c>
      <c r="B361" t="s">
        <v>69</v>
      </c>
      <c r="C361">
        <v>40</v>
      </c>
      <c r="D361" t="s">
        <v>80</v>
      </c>
      <c r="E361" t="s">
        <v>89</v>
      </c>
      <c r="F361" t="s">
        <v>82</v>
      </c>
      <c r="G361">
        <v>89.756547798025693</v>
      </c>
      <c r="H361">
        <v>3E+20</v>
      </c>
      <c r="I361">
        <v>0</v>
      </c>
      <c r="J361">
        <v>173</v>
      </c>
      <c r="K361">
        <v>167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60.764515331306598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102.902066283605</v>
      </c>
      <c r="U361" s="5">
        <f>IF((ContinuousStatsTable[[#This Row],[RepsRequested]]&gt;1),ContinuousStatsTable[[#This Row],[HalfWidth]],ContinuousStatsTable[[#This Row],[BatchMeansHalfWidth]])</f>
        <v>2.7368751260137634</v>
      </c>
    </row>
    <row r="362" spans="1:21" x14ac:dyDescent="0.4">
      <c r="A362" t="s">
        <v>67</v>
      </c>
      <c r="B362" t="s">
        <v>69</v>
      </c>
      <c r="C362">
        <v>41</v>
      </c>
      <c r="D362" t="s">
        <v>70</v>
      </c>
      <c r="E362" t="s">
        <v>88</v>
      </c>
      <c r="F362" t="s">
        <v>72</v>
      </c>
      <c r="G362">
        <v>0</v>
      </c>
      <c r="H362">
        <v>2E+20</v>
      </c>
      <c r="I362">
        <v>0</v>
      </c>
      <c r="J362">
        <v>0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0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</v>
      </c>
      <c r="U362" s="5">
        <f>IF((ContinuousStatsTable[[#This Row],[RepsRequested]]&gt;1),ContinuousStatsTable[[#This Row],[HalfWidth]],ContinuousStatsTable[[#This Row],[BatchMeansHalfWidth]])</f>
        <v>0</v>
      </c>
    </row>
    <row r="363" spans="1:21" x14ac:dyDescent="0.4">
      <c r="A363" t="s">
        <v>67</v>
      </c>
      <c r="B363" t="s">
        <v>69</v>
      </c>
      <c r="C363">
        <v>41</v>
      </c>
      <c r="D363" t="s">
        <v>73</v>
      </c>
      <c r="E363" t="s">
        <v>88</v>
      </c>
      <c r="F363" t="s">
        <v>72</v>
      </c>
      <c r="G363">
        <v>0</v>
      </c>
      <c r="H363">
        <v>2E+20</v>
      </c>
      <c r="I363">
        <v>0</v>
      </c>
      <c r="J363">
        <v>0</v>
      </c>
      <c r="K363">
        <v>0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4">
      <c r="A364" t="s">
        <v>67</v>
      </c>
      <c r="B364" t="s">
        <v>69</v>
      </c>
      <c r="C364">
        <v>41</v>
      </c>
      <c r="D364" t="s">
        <v>74</v>
      </c>
      <c r="E364" t="s">
        <v>88</v>
      </c>
      <c r="F364" t="s">
        <v>72</v>
      </c>
      <c r="G364">
        <v>0</v>
      </c>
      <c r="H364">
        <v>2E+20</v>
      </c>
      <c r="I364">
        <v>0</v>
      </c>
      <c r="J364">
        <v>0</v>
      </c>
      <c r="K364">
        <v>0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0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0</v>
      </c>
      <c r="U364" s="5">
        <f>IF((ContinuousStatsTable[[#This Row],[RepsRequested]]&gt;1),ContinuousStatsTable[[#This Row],[HalfWidth]],ContinuousStatsTable[[#This Row],[BatchMeansHalfWidth]])</f>
        <v>0</v>
      </c>
    </row>
    <row r="365" spans="1:21" x14ac:dyDescent="0.4">
      <c r="A365" t="s">
        <v>67</v>
      </c>
      <c r="B365" t="s">
        <v>69</v>
      </c>
      <c r="C365">
        <v>41</v>
      </c>
      <c r="D365" t="s">
        <v>75</v>
      </c>
      <c r="E365" t="s">
        <v>88</v>
      </c>
      <c r="F365" t="s">
        <v>72</v>
      </c>
      <c r="G365">
        <v>0</v>
      </c>
      <c r="H365">
        <v>2E+20</v>
      </c>
      <c r="I365">
        <v>0</v>
      </c>
      <c r="J365">
        <v>0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4">
      <c r="A366" t="s">
        <v>67</v>
      </c>
      <c r="B366" t="s">
        <v>69</v>
      </c>
      <c r="C366">
        <v>41</v>
      </c>
      <c r="D366" t="s">
        <v>76</v>
      </c>
      <c r="E366" t="s">
        <v>88</v>
      </c>
      <c r="F366" t="s">
        <v>72</v>
      </c>
      <c r="G366">
        <v>0.37286577836453799</v>
      </c>
      <c r="H366">
        <v>2E+20</v>
      </c>
      <c r="I366">
        <v>0</v>
      </c>
      <c r="J366">
        <v>7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38.078147260668999</v>
      </c>
      <c r="U366" s="5">
        <f>IF((ContinuousStatsTable[[#This Row],[RepsRequested]]&gt;1),ContinuousStatsTable[[#This Row],[HalfWidth]],ContinuousStatsTable[[#This Row],[BatchMeansHalfWidth]])</f>
        <v>2.1115241847680202</v>
      </c>
    </row>
    <row r="367" spans="1:21" x14ac:dyDescent="0.4">
      <c r="A367" t="s">
        <v>67</v>
      </c>
      <c r="B367" t="s">
        <v>69</v>
      </c>
      <c r="C367">
        <v>41</v>
      </c>
      <c r="D367" t="s">
        <v>77</v>
      </c>
      <c r="E367" t="s">
        <v>88</v>
      </c>
      <c r="F367" t="s">
        <v>72</v>
      </c>
      <c r="G367">
        <v>11.129549944544999</v>
      </c>
      <c r="H367">
        <v>3E+20</v>
      </c>
      <c r="I367">
        <v>0</v>
      </c>
      <c r="J367">
        <v>44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0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49.6745792704859</v>
      </c>
      <c r="U367" s="5">
        <f>IF((ContinuousStatsTable[[#This Row],[RepsRequested]]&gt;1),ContinuousStatsTable[[#This Row],[HalfWidth]],ContinuousStatsTable[[#This Row],[BatchMeansHalfWidth]])</f>
        <v>3.578413083149202</v>
      </c>
    </row>
    <row r="368" spans="1:21" x14ac:dyDescent="0.4">
      <c r="A368" t="s">
        <v>67</v>
      </c>
      <c r="B368" t="s">
        <v>69</v>
      </c>
      <c r="C368">
        <v>41</v>
      </c>
      <c r="D368" t="s">
        <v>78</v>
      </c>
      <c r="E368" t="s">
        <v>88</v>
      </c>
      <c r="F368" t="s">
        <v>72</v>
      </c>
      <c r="G368">
        <v>29.278775689372601</v>
      </c>
      <c r="H368">
        <v>3E+20</v>
      </c>
      <c r="I368">
        <v>0</v>
      </c>
      <c r="J368">
        <v>92</v>
      </c>
      <c r="K368">
        <v>92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51.634328282384999</v>
      </c>
      <c r="U368" s="5">
        <f>IF((ContinuousStatsTable[[#This Row],[RepsRequested]]&gt;1),ContinuousStatsTable[[#This Row],[HalfWidth]],ContinuousStatsTable[[#This Row],[BatchMeansHalfWidth]])</f>
        <v>4.2398640284824616</v>
      </c>
    </row>
    <row r="369" spans="1:21" x14ac:dyDescent="0.4">
      <c r="A369" t="s">
        <v>67</v>
      </c>
      <c r="B369" t="s">
        <v>69</v>
      </c>
      <c r="C369">
        <v>41</v>
      </c>
      <c r="D369" t="s">
        <v>79</v>
      </c>
      <c r="E369" t="s">
        <v>88</v>
      </c>
      <c r="F369" t="s">
        <v>72</v>
      </c>
      <c r="G369">
        <v>2.5887945121970801E-2</v>
      </c>
      <c r="H369">
        <v>2E+20</v>
      </c>
      <c r="I369">
        <v>0</v>
      </c>
      <c r="J369">
        <v>4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42.684614626171097</v>
      </c>
      <c r="U369" s="5">
        <f>IF((ContinuousStatsTable[[#This Row],[RepsRequested]]&gt;1),ContinuousStatsTable[[#This Row],[HalfWidth]],ContinuousStatsTable[[#This Row],[BatchMeansHalfWidth]])</f>
        <v>3.4837709905544232</v>
      </c>
    </row>
    <row r="370" spans="1:21" x14ac:dyDescent="0.4">
      <c r="A370" t="s">
        <v>67</v>
      </c>
      <c r="B370" t="s">
        <v>69</v>
      </c>
      <c r="C370">
        <v>41</v>
      </c>
      <c r="D370" t="s">
        <v>80</v>
      </c>
      <c r="E370" t="s">
        <v>89</v>
      </c>
      <c r="F370" t="s">
        <v>82</v>
      </c>
      <c r="G370">
        <v>83.929946126055995</v>
      </c>
      <c r="H370">
        <v>3E+20</v>
      </c>
      <c r="I370">
        <v>0</v>
      </c>
      <c r="J370">
        <v>135</v>
      </c>
      <c r="K370">
        <v>135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60.764515331306598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102.902066283605</v>
      </c>
      <c r="U370" s="5">
        <f>IF((ContinuousStatsTable[[#This Row],[RepsRequested]]&gt;1),ContinuousStatsTable[[#This Row],[HalfWidth]],ContinuousStatsTable[[#This Row],[BatchMeansHalfWidth]])</f>
        <v>2.7368751260137634</v>
      </c>
    </row>
    <row r="371" spans="1:21" x14ac:dyDescent="0.4">
      <c r="A371" t="s">
        <v>67</v>
      </c>
      <c r="B371" t="s">
        <v>69</v>
      </c>
      <c r="C371">
        <v>42</v>
      </c>
      <c r="D371" t="s">
        <v>70</v>
      </c>
      <c r="E371" t="s">
        <v>88</v>
      </c>
      <c r="F371" t="s">
        <v>72</v>
      </c>
      <c r="G371">
        <v>0</v>
      </c>
      <c r="H371">
        <v>2E+20</v>
      </c>
      <c r="I371">
        <v>0</v>
      </c>
      <c r="J371">
        <v>0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4">
      <c r="A372" t="s">
        <v>67</v>
      </c>
      <c r="B372" t="s">
        <v>69</v>
      </c>
      <c r="C372">
        <v>42</v>
      </c>
      <c r="D372" t="s">
        <v>73</v>
      </c>
      <c r="E372" t="s">
        <v>88</v>
      </c>
      <c r="F372" t="s">
        <v>72</v>
      </c>
      <c r="G372">
        <v>0</v>
      </c>
      <c r="H372">
        <v>2E+20</v>
      </c>
      <c r="I372">
        <v>0</v>
      </c>
      <c r="J372">
        <v>0</v>
      </c>
      <c r="K372">
        <v>0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4">
      <c r="A373" t="s">
        <v>67</v>
      </c>
      <c r="B373" t="s">
        <v>69</v>
      </c>
      <c r="C373">
        <v>42</v>
      </c>
      <c r="D373" t="s">
        <v>74</v>
      </c>
      <c r="E373" t="s">
        <v>88</v>
      </c>
      <c r="F373" t="s">
        <v>72</v>
      </c>
      <c r="G373">
        <v>0</v>
      </c>
      <c r="H373">
        <v>2E+20</v>
      </c>
      <c r="I373">
        <v>0</v>
      </c>
      <c r="J373">
        <v>0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</v>
      </c>
      <c r="U373" s="5">
        <f>IF((ContinuousStatsTable[[#This Row],[RepsRequested]]&gt;1),ContinuousStatsTable[[#This Row],[HalfWidth]],ContinuousStatsTable[[#This Row],[BatchMeansHalfWidth]])</f>
        <v>0</v>
      </c>
    </row>
    <row r="374" spans="1:21" x14ac:dyDescent="0.4">
      <c r="A374" t="s">
        <v>67</v>
      </c>
      <c r="B374" t="s">
        <v>69</v>
      </c>
      <c r="C374">
        <v>42</v>
      </c>
      <c r="D374" t="s">
        <v>75</v>
      </c>
      <c r="E374" t="s">
        <v>88</v>
      </c>
      <c r="F374" t="s">
        <v>72</v>
      </c>
      <c r="G374">
        <v>0</v>
      </c>
      <c r="H374">
        <v>2E+20</v>
      </c>
      <c r="I374">
        <v>0</v>
      </c>
      <c r="J374">
        <v>0</v>
      </c>
      <c r="K374">
        <v>0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0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0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0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4">
      <c r="A375" t="s">
        <v>67</v>
      </c>
      <c r="B375" t="s">
        <v>69</v>
      </c>
      <c r="C375">
        <v>42</v>
      </c>
      <c r="D375" t="s">
        <v>76</v>
      </c>
      <c r="E375" t="s">
        <v>88</v>
      </c>
      <c r="F375" t="s">
        <v>72</v>
      </c>
      <c r="G375">
        <v>4.76561131640872E-4</v>
      </c>
      <c r="H375">
        <v>2E+20</v>
      </c>
      <c r="I375">
        <v>0</v>
      </c>
      <c r="J375">
        <v>1</v>
      </c>
      <c r="K375">
        <v>0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38.078147260668999</v>
      </c>
      <c r="U375" s="5">
        <f>IF((ContinuousStatsTable[[#This Row],[RepsRequested]]&gt;1),ContinuousStatsTable[[#This Row],[HalfWidth]],ContinuousStatsTable[[#This Row],[BatchMeansHalfWidth]])</f>
        <v>2.1115241847680202</v>
      </c>
    </row>
    <row r="376" spans="1:21" x14ac:dyDescent="0.4">
      <c r="A376" t="s">
        <v>67</v>
      </c>
      <c r="B376" t="s">
        <v>69</v>
      </c>
      <c r="C376">
        <v>42</v>
      </c>
      <c r="D376" t="s">
        <v>77</v>
      </c>
      <c r="E376" t="s">
        <v>88</v>
      </c>
      <c r="F376" t="s">
        <v>72</v>
      </c>
      <c r="G376">
        <v>32.9921640502344</v>
      </c>
      <c r="H376">
        <v>3E+20</v>
      </c>
      <c r="I376">
        <v>0</v>
      </c>
      <c r="J376">
        <v>69</v>
      </c>
      <c r="K376">
        <v>15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49.6745792704859</v>
      </c>
      <c r="U376" s="5">
        <f>IF((ContinuousStatsTable[[#This Row],[RepsRequested]]&gt;1),ContinuousStatsTable[[#This Row],[HalfWidth]],ContinuousStatsTable[[#This Row],[BatchMeansHalfWidth]])</f>
        <v>3.578413083149202</v>
      </c>
    </row>
    <row r="377" spans="1:21" x14ac:dyDescent="0.4">
      <c r="A377" t="s">
        <v>67</v>
      </c>
      <c r="B377" t="s">
        <v>69</v>
      </c>
      <c r="C377">
        <v>42</v>
      </c>
      <c r="D377" t="s">
        <v>78</v>
      </c>
      <c r="E377" t="s">
        <v>88</v>
      </c>
      <c r="F377" t="s">
        <v>72</v>
      </c>
      <c r="G377">
        <v>4.0218583521783602</v>
      </c>
      <c r="H377">
        <v>3E+20</v>
      </c>
      <c r="I377">
        <v>0</v>
      </c>
      <c r="J377">
        <v>30</v>
      </c>
      <c r="K377">
        <v>29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51.634328282384999</v>
      </c>
      <c r="U377" s="5">
        <f>IF((ContinuousStatsTable[[#This Row],[RepsRequested]]&gt;1),ContinuousStatsTable[[#This Row],[HalfWidth]],ContinuousStatsTable[[#This Row],[BatchMeansHalfWidth]])</f>
        <v>4.2398640284824616</v>
      </c>
    </row>
    <row r="378" spans="1:21" x14ac:dyDescent="0.4">
      <c r="A378" t="s">
        <v>67</v>
      </c>
      <c r="B378" t="s">
        <v>69</v>
      </c>
      <c r="C378">
        <v>42</v>
      </c>
      <c r="D378" t="s">
        <v>79</v>
      </c>
      <c r="E378" t="s">
        <v>88</v>
      </c>
      <c r="F378" t="s">
        <v>72</v>
      </c>
      <c r="G378">
        <v>9.0179433979443294E-2</v>
      </c>
      <c r="H378">
        <v>2E+20</v>
      </c>
      <c r="I378">
        <v>0</v>
      </c>
      <c r="J378">
        <v>6</v>
      </c>
      <c r="K378">
        <v>0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0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42.684614626171097</v>
      </c>
      <c r="U378" s="5">
        <f>IF((ContinuousStatsTable[[#This Row],[RepsRequested]]&gt;1),ContinuousStatsTable[[#This Row],[HalfWidth]],ContinuousStatsTable[[#This Row],[BatchMeansHalfWidth]])</f>
        <v>3.4837709905544232</v>
      </c>
    </row>
    <row r="379" spans="1:21" x14ac:dyDescent="0.4">
      <c r="A379" t="s">
        <v>67</v>
      </c>
      <c r="B379" t="s">
        <v>69</v>
      </c>
      <c r="C379">
        <v>42</v>
      </c>
      <c r="D379" t="s">
        <v>80</v>
      </c>
      <c r="E379" t="s">
        <v>89</v>
      </c>
      <c r="F379" t="s">
        <v>82</v>
      </c>
      <c r="G379">
        <v>82.089526504419197</v>
      </c>
      <c r="H379">
        <v>3E+20</v>
      </c>
      <c r="I379">
        <v>0</v>
      </c>
      <c r="J379">
        <v>119</v>
      </c>
      <c r="K379">
        <v>87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60.764515331306598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102.902066283605</v>
      </c>
      <c r="U379" s="5">
        <f>IF((ContinuousStatsTable[[#This Row],[RepsRequested]]&gt;1),ContinuousStatsTable[[#This Row],[HalfWidth]],ContinuousStatsTable[[#This Row],[BatchMeansHalfWidth]])</f>
        <v>2.7368751260137634</v>
      </c>
    </row>
    <row r="380" spans="1:21" x14ac:dyDescent="0.4">
      <c r="A380" t="s">
        <v>67</v>
      </c>
      <c r="B380" t="s">
        <v>69</v>
      </c>
      <c r="C380">
        <v>43</v>
      </c>
      <c r="D380" t="s">
        <v>70</v>
      </c>
      <c r="E380" t="s">
        <v>88</v>
      </c>
      <c r="F380" t="s">
        <v>72</v>
      </c>
      <c r="G380">
        <v>0</v>
      </c>
      <c r="H380">
        <v>2E+20</v>
      </c>
      <c r="I380">
        <v>0</v>
      </c>
      <c r="J380">
        <v>0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0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</v>
      </c>
      <c r="U380" s="5">
        <f>IF((ContinuousStatsTable[[#This Row],[RepsRequested]]&gt;1),ContinuousStatsTable[[#This Row],[HalfWidth]],ContinuousStatsTable[[#This Row],[BatchMeansHalfWidth]])</f>
        <v>0</v>
      </c>
    </row>
    <row r="381" spans="1:21" x14ac:dyDescent="0.4">
      <c r="A381" t="s">
        <v>67</v>
      </c>
      <c r="B381" t="s">
        <v>69</v>
      </c>
      <c r="C381">
        <v>43</v>
      </c>
      <c r="D381" t="s">
        <v>73</v>
      </c>
      <c r="E381" t="s">
        <v>88</v>
      </c>
      <c r="F381" t="s">
        <v>72</v>
      </c>
      <c r="G381">
        <v>0</v>
      </c>
      <c r="H381">
        <v>2E+20</v>
      </c>
      <c r="I381">
        <v>0</v>
      </c>
      <c r="J381">
        <v>0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4">
      <c r="A382" t="s">
        <v>67</v>
      </c>
      <c r="B382" t="s">
        <v>69</v>
      </c>
      <c r="C382">
        <v>43</v>
      </c>
      <c r="D382" t="s">
        <v>74</v>
      </c>
      <c r="E382" t="s">
        <v>88</v>
      </c>
      <c r="F382" t="s">
        <v>72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4">
      <c r="A383" t="s">
        <v>67</v>
      </c>
      <c r="B383" t="s">
        <v>69</v>
      </c>
      <c r="C383">
        <v>43</v>
      </c>
      <c r="D383" t="s">
        <v>75</v>
      </c>
      <c r="E383" t="s">
        <v>88</v>
      </c>
      <c r="F383" t="s">
        <v>72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4">
      <c r="A384" t="s">
        <v>67</v>
      </c>
      <c r="B384" t="s">
        <v>69</v>
      </c>
      <c r="C384">
        <v>43</v>
      </c>
      <c r="D384" t="s">
        <v>76</v>
      </c>
      <c r="E384" t="s">
        <v>88</v>
      </c>
      <c r="F384" t="s">
        <v>72</v>
      </c>
      <c r="G384">
        <v>28.8579591177831</v>
      </c>
      <c r="H384">
        <v>3E+20</v>
      </c>
      <c r="I384">
        <v>0</v>
      </c>
      <c r="J384">
        <v>56</v>
      </c>
      <c r="K384">
        <v>53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0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38.078147260668999</v>
      </c>
      <c r="U384" s="5">
        <f>IF((ContinuousStatsTable[[#This Row],[RepsRequested]]&gt;1),ContinuousStatsTable[[#This Row],[HalfWidth]],ContinuousStatsTable[[#This Row],[BatchMeansHalfWidth]])</f>
        <v>2.1115241847680202</v>
      </c>
    </row>
    <row r="385" spans="1:21" x14ac:dyDescent="0.4">
      <c r="A385" t="s">
        <v>67</v>
      </c>
      <c r="B385" t="s">
        <v>69</v>
      </c>
      <c r="C385">
        <v>43</v>
      </c>
      <c r="D385" t="s">
        <v>77</v>
      </c>
      <c r="E385" t="s">
        <v>88</v>
      </c>
      <c r="F385" t="s">
        <v>72</v>
      </c>
      <c r="G385">
        <v>2.4692761666114001E-2</v>
      </c>
      <c r="H385">
        <v>2E+20</v>
      </c>
      <c r="I385">
        <v>0</v>
      </c>
      <c r="J385">
        <v>3</v>
      </c>
      <c r="K385">
        <v>0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49.6745792704859</v>
      </c>
      <c r="U385" s="5">
        <f>IF((ContinuousStatsTable[[#This Row],[RepsRequested]]&gt;1),ContinuousStatsTable[[#This Row],[HalfWidth]],ContinuousStatsTable[[#This Row],[BatchMeansHalfWidth]])</f>
        <v>3.578413083149202</v>
      </c>
    </row>
    <row r="386" spans="1:21" x14ac:dyDescent="0.4">
      <c r="A386" t="s">
        <v>67</v>
      </c>
      <c r="B386" t="s">
        <v>69</v>
      </c>
      <c r="C386">
        <v>43</v>
      </c>
      <c r="D386" t="s">
        <v>78</v>
      </c>
      <c r="E386" t="s">
        <v>88</v>
      </c>
      <c r="F386" t="s">
        <v>72</v>
      </c>
      <c r="G386">
        <v>8.3369798506062395E-2</v>
      </c>
      <c r="H386">
        <v>2E+20</v>
      </c>
      <c r="I386">
        <v>0</v>
      </c>
      <c r="J386">
        <v>7</v>
      </c>
      <c r="K386">
        <v>2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51.634328282384999</v>
      </c>
      <c r="U386" s="5">
        <f>IF((ContinuousStatsTable[[#This Row],[RepsRequested]]&gt;1),ContinuousStatsTable[[#This Row],[HalfWidth]],ContinuousStatsTable[[#This Row],[BatchMeansHalfWidth]])</f>
        <v>4.2398640284824616</v>
      </c>
    </row>
    <row r="387" spans="1:21" x14ac:dyDescent="0.4">
      <c r="A387" t="s">
        <v>67</v>
      </c>
      <c r="B387" t="s">
        <v>69</v>
      </c>
      <c r="C387">
        <v>43</v>
      </c>
      <c r="D387" t="s">
        <v>79</v>
      </c>
      <c r="E387" t="s">
        <v>88</v>
      </c>
      <c r="F387" t="s">
        <v>72</v>
      </c>
      <c r="G387">
        <v>0.12574752246587401</v>
      </c>
      <c r="H387">
        <v>2E+20</v>
      </c>
      <c r="I387">
        <v>0</v>
      </c>
      <c r="J387">
        <v>6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42.684614626171097</v>
      </c>
      <c r="U387" s="5">
        <f>IF((ContinuousStatsTable[[#This Row],[RepsRequested]]&gt;1),ContinuousStatsTable[[#This Row],[HalfWidth]],ContinuousStatsTable[[#This Row],[BatchMeansHalfWidth]])</f>
        <v>3.4837709905544232</v>
      </c>
    </row>
    <row r="388" spans="1:21" x14ac:dyDescent="0.4">
      <c r="A388" t="s">
        <v>67</v>
      </c>
      <c r="B388" t="s">
        <v>69</v>
      </c>
      <c r="C388">
        <v>43</v>
      </c>
      <c r="D388" t="s">
        <v>80</v>
      </c>
      <c r="E388" t="s">
        <v>89</v>
      </c>
      <c r="F388" t="s">
        <v>82</v>
      </c>
      <c r="G388">
        <v>76.7134217415107</v>
      </c>
      <c r="H388">
        <v>3E+20</v>
      </c>
      <c r="I388">
        <v>0</v>
      </c>
      <c r="J388">
        <v>108</v>
      </c>
      <c r="K388">
        <v>107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60.764515331306598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102.902066283605</v>
      </c>
      <c r="U388" s="5">
        <f>IF((ContinuousStatsTable[[#This Row],[RepsRequested]]&gt;1),ContinuousStatsTable[[#This Row],[HalfWidth]],ContinuousStatsTable[[#This Row],[BatchMeansHalfWidth]])</f>
        <v>2.7368751260137634</v>
      </c>
    </row>
    <row r="389" spans="1:21" x14ac:dyDescent="0.4">
      <c r="A389" t="s">
        <v>67</v>
      </c>
      <c r="B389" t="s">
        <v>69</v>
      </c>
      <c r="C389">
        <v>44</v>
      </c>
      <c r="D389" t="s">
        <v>70</v>
      </c>
      <c r="E389" t="s">
        <v>88</v>
      </c>
      <c r="F389" t="s">
        <v>72</v>
      </c>
      <c r="G389">
        <v>0</v>
      </c>
      <c r="H389">
        <v>2E+20</v>
      </c>
      <c r="I389">
        <v>0</v>
      </c>
      <c r="J389">
        <v>0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0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</v>
      </c>
      <c r="U389" s="5">
        <f>IF((ContinuousStatsTable[[#This Row],[RepsRequested]]&gt;1),ContinuousStatsTable[[#This Row],[HalfWidth]],ContinuousStatsTable[[#This Row],[BatchMeansHalfWidth]])</f>
        <v>0</v>
      </c>
    </row>
    <row r="390" spans="1:21" x14ac:dyDescent="0.4">
      <c r="A390" t="s">
        <v>67</v>
      </c>
      <c r="B390" t="s">
        <v>69</v>
      </c>
      <c r="C390">
        <v>44</v>
      </c>
      <c r="D390" t="s">
        <v>73</v>
      </c>
      <c r="E390" t="s">
        <v>88</v>
      </c>
      <c r="F390" t="s">
        <v>72</v>
      </c>
      <c r="G390">
        <v>0</v>
      </c>
      <c r="H390">
        <v>2E+20</v>
      </c>
      <c r="I390">
        <v>0</v>
      </c>
      <c r="J390">
        <v>0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</v>
      </c>
      <c r="U390" s="5">
        <f>IF((ContinuousStatsTable[[#This Row],[RepsRequested]]&gt;1),ContinuousStatsTable[[#This Row],[HalfWidth]],ContinuousStatsTable[[#This Row],[BatchMeansHalfWidth]])</f>
        <v>0</v>
      </c>
    </row>
    <row r="391" spans="1:21" x14ac:dyDescent="0.4">
      <c r="A391" t="s">
        <v>67</v>
      </c>
      <c r="B391" t="s">
        <v>69</v>
      </c>
      <c r="C391">
        <v>44</v>
      </c>
      <c r="D391" t="s">
        <v>74</v>
      </c>
      <c r="E391" t="s">
        <v>88</v>
      </c>
      <c r="F391" t="s">
        <v>72</v>
      </c>
      <c r="G391">
        <v>0</v>
      </c>
      <c r="H391">
        <v>2E+20</v>
      </c>
      <c r="I391">
        <v>0</v>
      </c>
      <c r="J391">
        <v>0</v>
      </c>
      <c r="K391">
        <v>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0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4">
      <c r="A392" t="s">
        <v>67</v>
      </c>
      <c r="B392" t="s">
        <v>69</v>
      </c>
      <c r="C392">
        <v>44</v>
      </c>
      <c r="D392" t="s">
        <v>75</v>
      </c>
      <c r="E392" t="s">
        <v>88</v>
      </c>
      <c r="F392" t="s">
        <v>72</v>
      </c>
      <c r="G392">
        <v>0</v>
      </c>
      <c r="H392">
        <v>2E+20</v>
      </c>
      <c r="I392">
        <v>0</v>
      </c>
      <c r="J392">
        <v>0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4">
      <c r="A393" t="s">
        <v>67</v>
      </c>
      <c r="B393" t="s">
        <v>69</v>
      </c>
      <c r="C393">
        <v>44</v>
      </c>
      <c r="D393" t="s">
        <v>76</v>
      </c>
      <c r="E393" t="s">
        <v>88</v>
      </c>
      <c r="F393" t="s">
        <v>72</v>
      </c>
      <c r="G393">
        <v>0</v>
      </c>
      <c r="H393">
        <v>2E+20</v>
      </c>
      <c r="I393">
        <v>0</v>
      </c>
      <c r="J393">
        <v>0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38.078147260668999</v>
      </c>
      <c r="U393" s="5">
        <f>IF((ContinuousStatsTable[[#This Row],[RepsRequested]]&gt;1),ContinuousStatsTable[[#This Row],[HalfWidth]],ContinuousStatsTable[[#This Row],[BatchMeansHalfWidth]])</f>
        <v>2.1115241847680202</v>
      </c>
    </row>
    <row r="394" spans="1:21" x14ac:dyDescent="0.4">
      <c r="A394" t="s">
        <v>67</v>
      </c>
      <c r="B394" t="s">
        <v>69</v>
      </c>
      <c r="C394">
        <v>44</v>
      </c>
      <c r="D394" t="s">
        <v>77</v>
      </c>
      <c r="E394" t="s">
        <v>88</v>
      </c>
      <c r="F394" t="s">
        <v>72</v>
      </c>
      <c r="G394">
        <v>34.758436849178402</v>
      </c>
      <c r="H394">
        <v>3E+20</v>
      </c>
      <c r="I394">
        <v>0</v>
      </c>
      <c r="J394">
        <v>76</v>
      </c>
      <c r="K394">
        <v>24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49.6745792704859</v>
      </c>
      <c r="U394" s="5">
        <f>IF((ContinuousStatsTable[[#This Row],[RepsRequested]]&gt;1),ContinuousStatsTable[[#This Row],[HalfWidth]],ContinuousStatsTable[[#This Row],[BatchMeansHalfWidth]])</f>
        <v>3.578413083149202</v>
      </c>
    </row>
    <row r="395" spans="1:21" x14ac:dyDescent="0.4">
      <c r="A395" t="s">
        <v>67</v>
      </c>
      <c r="B395" t="s">
        <v>69</v>
      </c>
      <c r="C395">
        <v>44</v>
      </c>
      <c r="D395" t="s">
        <v>78</v>
      </c>
      <c r="E395" t="s">
        <v>88</v>
      </c>
      <c r="F395" t="s">
        <v>72</v>
      </c>
      <c r="G395">
        <v>4.4019752918547796</v>
      </c>
      <c r="H395">
        <v>3E+20</v>
      </c>
      <c r="I395">
        <v>0</v>
      </c>
      <c r="J395">
        <v>36</v>
      </c>
      <c r="K395">
        <v>34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51.634328282384999</v>
      </c>
      <c r="U395" s="5">
        <f>IF((ContinuousStatsTable[[#This Row],[RepsRequested]]&gt;1),ContinuousStatsTable[[#This Row],[HalfWidth]],ContinuousStatsTable[[#This Row],[BatchMeansHalfWidth]])</f>
        <v>4.2398640284824616</v>
      </c>
    </row>
    <row r="396" spans="1:21" x14ac:dyDescent="0.4">
      <c r="A396" t="s">
        <v>67</v>
      </c>
      <c r="B396" t="s">
        <v>69</v>
      </c>
      <c r="C396">
        <v>44</v>
      </c>
      <c r="D396" t="s">
        <v>79</v>
      </c>
      <c r="E396" t="s">
        <v>88</v>
      </c>
      <c r="F396" t="s">
        <v>72</v>
      </c>
      <c r="G396">
        <v>3.9643527131145301E-2</v>
      </c>
      <c r="H396">
        <v>2E+20</v>
      </c>
      <c r="I396">
        <v>0</v>
      </c>
      <c r="J396">
        <v>3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42.684614626171097</v>
      </c>
      <c r="U396" s="5">
        <f>IF((ContinuousStatsTable[[#This Row],[RepsRequested]]&gt;1),ContinuousStatsTable[[#This Row],[HalfWidth]],ContinuousStatsTable[[#This Row],[BatchMeansHalfWidth]])</f>
        <v>3.4837709905544232</v>
      </c>
    </row>
    <row r="397" spans="1:21" x14ac:dyDescent="0.4">
      <c r="A397" t="s">
        <v>67</v>
      </c>
      <c r="B397" t="s">
        <v>69</v>
      </c>
      <c r="C397">
        <v>44</v>
      </c>
      <c r="D397" t="s">
        <v>80</v>
      </c>
      <c r="E397" t="s">
        <v>89</v>
      </c>
      <c r="F397" t="s">
        <v>82</v>
      </c>
      <c r="G397">
        <v>85.099474178253701</v>
      </c>
      <c r="H397">
        <v>3E+20</v>
      </c>
      <c r="I397">
        <v>0</v>
      </c>
      <c r="J397">
        <v>120</v>
      </c>
      <c r="K397">
        <v>102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60.764515331306598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102.902066283605</v>
      </c>
      <c r="U397" s="5">
        <f>IF((ContinuousStatsTable[[#This Row],[RepsRequested]]&gt;1),ContinuousStatsTable[[#This Row],[HalfWidth]],ContinuousStatsTable[[#This Row],[BatchMeansHalfWidth]])</f>
        <v>2.7368751260137634</v>
      </c>
    </row>
    <row r="398" spans="1:21" x14ac:dyDescent="0.4">
      <c r="A398" t="s">
        <v>67</v>
      </c>
      <c r="B398" t="s">
        <v>69</v>
      </c>
      <c r="C398">
        <v>45</v>
      </c>
      <c r="D398" t="s">
        <v>70</v>
      </c>
      <c r="E398" t="s">
        <v>88</v>
      </c>
      <c r="F398" t="s">
        <v>72</v>
      </c>
      <c r="G398">
        <v>0</v>
      </c>
      <c r="H398">
        <v>2E+20</v>
      </c>
      <c r="I398">
        <v>0</v>
      </c>
      <c r="J398">
        <v>0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4">
      <c r="A399" t="s">
        <v>67</v>
      </c>
      <c r="B399" t="s">
        <v>69</v>
      </c>
      <c r="C399">
        <v>45</v>
      </c>
      <c r="D399" t="s">
        <v>73</v>
      </c>
      <c r="E399" t="s">
        <v>88</v>
      </c>
      <c r="F399" t="s">
        <v>72</v>
      </c>
      <c r="G399">
        <v>0</v>
      </c>
      <c r="H399">
        <v>2E+20</v>
      </c>
      <c r="I399">
        <v>0</v>
      </c>
      <c r="J399">
        <v>0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</v>
      </c>
      <c r="U399" s="5">
        <f>IF((ContinuousStatsTable[[#This Row],[RepsRequested]]&gt;1),ContinuousStatsTable[[#This Row],[HalfWidth]],ContinuousStatsTable[[#This Row],[BatchMeansHalfWidth]])</f>
        <v>0</v>
      </c>
    </row>
    <row r="400" spans="1:21" x14ac:dyDescent="0.4">
      <c r="A400" t="s">
        <v>67</v>
      </c>
      <c r="B400" t="s">
        <v>69</v>
      </c>
      <c r="C400">
        <v>45</v>
      </c>
      <c r="D400" t="s">
        <v>74</v>
      </c>
      <c r="E400" t="s">
        <v>88</v>
      </c>
      <c r="F400" t="s">
        <v>72</v>
      </c>
      <c r="G400">
        <v>0</v>
      </c>
      <c r="H400">
        <v>2E+20</v>
      </c>
      <c r="I400">
        <v>0</v>
      </c>
      <c r="J400">
        <v>0</v>
      </c>
      <c r="K400">
        <v>0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0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0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0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4">
      <c r="A401" t="s">
        <v>67</v>
      </c>
      <c r="B401" t="s">
        <v>69</v>
      </c>
      <c r="C401">
        <v>45</v>
      </c>
      <c r="D401" t="s">
        <v>75</v>
      </c>
      <c r="E401" t="s">
        <v>88</v>
      </c>
      <c r="F401" t="s">
        <v>72</v>
      </c>
      <c r="G401">
        <v>0</v>
      </c>
      <c r="H401">
        <v>2E+20</v>
      </c>
      <c r="I401">
        <v>0</v>
      </c>
      <c r="J401">
        <v>0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</v>
      </c>
      <c r="U401" s="5">
        <f>IF((ContinuousStatsTable[[#This Row],[RepsRequested]]&gt;1),ContinuousStatsTable[[#This Row],[HalfWidth]],ContinuousStatsTable[[#This Row],[BatchMeansHalfWidth]])</f>
        <v>0</v>
      </c>
    </row>
    <row r="402" spans="1:21" x14ac:dyDescent="0.4">
      <c r="A402" t="s">
        <v>67</v>
      </c>
      <c r="B402" t="s">
        <v>69</v>
      </c>
      <c r="C402">
        <v>45</v>
      </c>
      <c r="D402" t="s">
        <v>76</v>
      </c>
      <c r="E402" t="s">
        <v>88</v>
      </c>
      <c r="F402" t="s">
        <v>72</v>
      </c>
      <c r="G402">
        <v>2.3642651671269999</v>
      </c>
      <c r="H402">
        <v>2E+20</v>
      </c>
      <c r="I402">
        <v>0</v>
      </c>
      <c r="J402">
        <v>23</v>
      </c>
      <c r="K402">
        <v>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38.078147260668999</v>
      </c>
      <c r="U402" s="5">
        <f>IF((ContinuousStatsTable[[#This Row],[RepsRequested]]&gt;1),ContinuousStatsTable[[#This Row],[HalfWidth]],ContinuousStatsTable[[#This Row],[BatchMeansHalfWidth]])</f>
        <v>2.1115241847680202</v>
      </c>
    </row>
    <row r="403" spans="1:21" x14ac:dyDescent="0.4">
      <c r="A403" t="s">
        <v>67</v>
      </c>
      <c r="B403" t="s">
        <v>69</v>
      </c>
      <c r="C403">
        <v>45</v>
      </c>
      <c r="D403" t="s">
        <v>77</v>
      </c>
      <c r="E403" t="s">
        <v>88</v>
      </c>
      <c r="F403" t="s">
        <v>72</v>
      </c>
      <c r="G403">
        <v>1.7177003227865299E-2</v>
      </c>
      <c r="H403">
        <v>2E+20</v>
      </c>
      <c r="I403">
        <v>0</v>
      </c>
      <c r="J403">
        <v>3</v>
      </c>
      <c r="K403">
        <v>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49.6745792704859</v>
      </c>
      <c r="U403" s="5">
        <f>IF((ContinuousStatsTable[[#This Row],[RepsRequested]]&gt;1),ContinuousStatsTable[[#This Row],[HalfWidth]],ContinuousStatsTable[[#This Row],[BatchMeansHalfWidth]])</f>
        <v>3.578413083149202</v>
      </c>
    </row>
    <row r="404" spans="1:21" x14ac:dyDescent="0.4">
      <c r="A404" t="s">
        <v>67</v>
      </c>
      <c r="B404" t="s">
        <v>69</v>
      </c>
      <c r="C404">
        <v>45</v>
      </c>
      <c r="D404" t="s">
        <v>78</v>
      </c>
      <c r="E404" t="s">
        <v>88</v>
      </c>
      <c r="F404" t="s">
        <v>72</v>
      </c>
      <c r="G404">
        <v>37.840325479262198</v>
      </c>
      <c r="H404">
        <v>3E+20</v>
      </c>
      <c r="I404">
        <v>0</v>
      </c>
      <c r="J404">
        <v>77</v>
      </c>
      <c r="K404">
        <v>74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0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51.634328282384999</v>
      </c>
      <c r="U404" s="5">
        <f>IF((ContinuousStatsTable[[#This Row],[RepsRequested]]&gt;1),ContinuousStatsTable[[#This Row],[HalfWidth]],ContinuousStatsTable[[#This Row],[BatchMeansHalfWidth]])</f>
        <v>4.2398640284824616</v>
      </c>
    </row>
    <row r="405" spans="1:21" x14ac:dyDescent="0.4">
      <c r="A405" t="s">
        <v>67</v>
      </c>
      <c r="B405" t="s">
        <v>69</v>
      </c>
      <c r="C405">
        <v>45</v>
      </c>
      <c r="D405" t="s">
        <v>79</v>
      </c>
      <c r="E405" t="s">
        <v>88</v>
      </c>
      <c r="F405" t="s">
        <v>72</v>
      </c>
      <c r="G405">
        <v>0.60616394903347404</v>
      </c>
      <c r="H405">
        <v>2E+20</v>
      </c>
      <c r="I405">
        <v>0</v>
      </c>
      <c r="J405">
        <v>13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42.684614626171097</v>
      </c>
      <c r="U405" s="5">
        <f>IF((ContinuousStatsTable[[#This Row],[RepsRequested]]&gt;1),ContinuousStatsTable[[#This Row],[HalfWidth]],ContinuousStatsTable[[#This Row],[BatchMeansHalfWidth]])</f>
        <v>3.4837709905544232</v>
      </c>
    </row>
    <row r="406" spans="1:21" x14ac:dyDescent="0.4">
      <c r="A406" t="s">
        <v>67</v>
      </c>
      <c r="B406" t="s">
        <v>69</v>
      </c>
      <c r="C406">
        <v>45</v>
      </c>
      <c r="D406" t="s">
        <v>80</v>
      </c>
      <c r="E406" t="s">
        <v>89</v>
      </c>
      <c r="F406" t="s">
        <v>82</v>
      </c>
      <c r="G406">
        <v>88.972081015771394</v>
      </c>
      <c r="H406">
        <v>3E+20</v>
      </c>
      <c r="I406">
        <v>0</v>
      </c>
      <c r="J406">
        <v>128</v>
      </c>
      <c r="K406">
        <v>128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60.764515331306598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102.902066283605</v>
      </c>
      <c r="U406" s="5">
        <f>IF((ContinuousStatsTable[[#This Row],[RepsRequested]]&gt;1),ContinuousStatsTable[[#This Row],[HalfWidth]],ContinuousStatsTable[[#This Row],[BatchMeansHalfWidth]])</f>
        <v>2.7368751260137634</v>
      </c>
    </row>
    <row r="407" spans="1:21" x14ac:dyDescent="0.4">
      <c r="A407" t="s">
        <v>67</v>
      </c>
      <c r="B407" t="s">
        <v>69</v>
      </c>
      <c r="C407">
        <v>46</v>
      </c>
      <c r="D407" t="s">
        <v>70</v>
      </c>
      <c r="E407" t="s">
        <v>88</v>
      </c>
      <c r="F407" t="s">
        <v>72</v>
      </c>
      <c r="G407">
        <v>0</v>
      </c>
      <c r="H407">
        <v>2E+20</v>
      </c>
      <c r="I407">
        <v>0</v>
      </c>
      <c r="J407">
        <v>0</v>
      </c>
      <c r="K407">
        <v>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0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0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4">
      <c r="A408" t="s">
        <v>67</v>
      </c>
      <c r="B408" t="s">
        <v>69</v>
      </c>
      <c r="C408">
        <v>46</v>
      </c>
      <c r="D408" t="s">
        <v>73</v>
      </c>
      <c r="E408" t="s">
        <v>88</v>
      </c>
      <c r="F408" t="s">
        <v>72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4">
      <c r="A409" t="s">
        <v>67</v>
      </c>
      <c r="B409" t="s">
        <v>69</v>
      </c>
      <c r="C409">
        <v>46</v>
      </c>
      <c r="D409" t="s">
        <v>74</v>
      </c>
      <c r="E409" t="s">
        <v>88</v>
      </c>
      <c r="F409" t="s">
        <v>72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4">
      <c r="A410" t="s">
        <v>67</v>
      </c>
      <c r="B410" t="s">
        <v>69</v>
      </c>
      <c r="C410">
        <v>46</v>
      </c>
      <c r="D410" t="s">
        <v>75</v>
      </c>
      <c r="E410" t="s">
        <v>88</v>
      </c>
      <c r="F410" t="s">
        <v>72</v>
      </c>
      <c r="G410">
        <v>0</v>
      </c>
      <c r="H410">
        <v>2E+20</v>
      </c>
      <c r="I410">
        <v>0</v>
      </c>
      <c r="J410">
        <v>0</v>
      </c>
      <c r="K410">
        <v>0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0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4">
      <c r="A411" t="s">
        <v>67</v>
      </c>
      <c r="B411" t="s">
        <v>69</v>
      </c>
      <c r="C411">
        <v>46</v>
      </c>
      <c r="D411" t="s">
        <v>76</v>
      </c>
      <c r="E411" t="s">
        <v>88</v>
      </c>
      <c r="F411" t="s">
        <v>72</v>
      </c>
      <c r="G411">
        <v>1.19910245799422E-2</v>
      </c>
      <c r="H411">
        <v>2E+20</v>
      </c>
      <c r="I411">
        <v>0</v>
      </c>
      <c r="J411">
        <v>2</v>
      </c>
      <c r="K411">
        <v>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38.078147260668999</v>
      </c>
      <c r="U411" s="5">
        <f>IF((ContinuousStatsTable[[#This Row],[RepsRequested]]&gt;1),ContinuousStatsTable[[#This Row],[HalfWidth]],ContinuousStatsTable[[#This Row],[BatchMeansHalfWidth]])</f>
        <v>2.1115241847680202</v>
      </c>
    </row>
    <row r="412" spans="1:21" x14ac:dyDescent="0.4">
      <c r="A412" t="s">
        <v>67</v>
      </c>
      <c r="B412" t="s">
        <v>69</v>
      </c>
      <c r="C412">
        <v>46</v>
      </c>
      <c r="D412" t="s">
        <v>77</v>
      </c>
      <c r="E412" t="s">
        <v>88</v>
      </c>
      <c r="F412" t="s">
        <v>72</v>
      </c>
      <c r="G412">
        <v>12.347462465141099</v>
      </c>
      <c r="H412">
        <v>3E+20</v>
      </c>
      <c r="I412">
        <v>0</v>
      </c>
      <c r="J412">
        <v>42</v>
      </c>
      <c r="K412">
        <v>24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49.6745792704859</v>
      </c>
      <c r="U412" s="5">
        <f>IF((ContinuousStatsTable[[#This Row],[RepsRequested]]&gt;1),ContinuousStatsTable[[#This Row],[HalfWidth]],ContinuousStatsTable[[#This Row],[BatchMeansHalfWidth]])</f>
        <v>3.578413083149202</v>
      </c>
    </row>
    <row r="413" spans="1:21" x14ac:dyDescent="0.4">
      <c r="A413" t="s">
        <v>67</v>
      </c>
      <c r="B413" t="s">
        <v>69</v>
      </c>
      <c r="C413">
        <v>46</v>
      </c>
      <c r="D413" t="s">
        <v>78</v>
      </c>
      <c r="E413" t="s">
        <v>88</v>
      </c>
      <c r="F413" t="s">
        <v>72</v>
      </c>
      <c r="G413">
        <v>23.1618598089775</v>
      </c>
      <c r="H413">
        <v>3E+20</v>
      </c>
      <c r="I413">
        <v>0</v>
      </c>
      <c r="J413">
        <v>44</v>
      </c>
      <c r="K413">
        <v>37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0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51.634328282384999</v>
      </c>
      <c r="U413" s="5">
        <f>IF((ContinuousStatsTable[[#This Row],[RepsRequested]]&gt;1),ContinuousStatsTable[[#This Row],[HalfWidth]],ContinuousStatsTable[[#This Row],[BatchMeansHalfWidth]])</f>
        <v>4.2398640284824616</v>
      </c>
    </row>
    <row r="414" spans="1:21" x14ac:dyDescent="0.4">
      <c r="A414" t="s">
        <v>67</v>
      </c>
      <c r="B414" t="s">
        <v>69</v>
      </c>
      <c r="C414">
        <v>46</v>
      </c>
      <c r="D414" t="s">
        <v>79</v>
      </c>
      <c r="E414" t="s">
        <v>88</v>
      </c>
      <c r="F414" t="s">
        <v>72</v>
      </c>
      <c r="G414">
        <v>1.6541160425999998E-2</v>
      </c>
      <c r="H414">
        <v>2E+20</v>
      </c>
      <c r="I414">
        <v>0</v>
      </c>
      <c r="J414">
        <v>3</v>
      </c>
      <c r="K414">
        <v>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0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42.684614626171097</v>
      </c>
      <c r="U414" s="5">
        <f>IF((ContinuousStatsTable[[#This Row],[RepsRequested]]&gt;1),ContinuousStatsTable[[#This Row],[HalfWidth]],ContinuousStatsTable[[#This Row],[BatchMeansHalfWidth]])</f>
        <v>3.4837709905544232</v>
      </c>
    </row>
    <row r="415" spans="1:21" x14ac:dyDescent="0.4">
      <c r="A415" t="s">
        <v>67</v>
      </c>
      <c r="B415" t="s">
        <v>69</v>
      </c>
      <c r="C415">
        <v>46</v>
      </c>
      <c r="D415" t="s">
        <v>80</v>
      </c>
      <c r="E415" t="s">
        <v>89</v>
      </c>
      <c r="F415" t="s">
        <v>82</v>
      </c>
      <c r="G415">
        <v>85.963727064590998</v>
      </c>
      <c r="H415">
        <v>3E+20</v>
      </c>
      <c r="I415">
        <v>0</v>
      </c>
      <c r="J415">
        <v>110</v>
      </c>
      <c r="K415">
        <v>107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60.764515331306598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102.902066283605</v>
      </c>
      <c r="U415" s="5">
        <f>IF((ContinuousStatsTable[[#This Row],[RepsRequested]]&gt;1),ContinuousStatsTable[[#This Row],[HalfWidth]],ContinuousStatsTable[[#This Row],[BatchMeansHalfWidth]])</f>
        <v>2.7368751260137634</v>
      </c>
    </row>
    <row r="416" spans="1:21" x14ac:dyDescent="0.4">
      <c r="A416" t="s">
        <v>67</v>
      </c>
      <c r="B416" t="s">
        <v>69</v>
      </c>
      <c r="C416">
        <v>47</v>
      </c>
      <c r="D416" t="s">
        <v>70</v>
      </c>
      <c r="E416" t="s">
        <v>88</v>
      </c>
      <c r="F416" t="s">
        <v>72</v>
      </c>
      <c r="G416">
        <v>0</v>
      </c>
      <c r="H416">
        <v>2E+20</v>
      </c>
      <c r="I416">
        <v>0</v>
      </c>
      <c r="J416">
        <v>0</v>
      </c>
      <c r="K416">
        <v>0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</v>
      </c>
      <c r="U416" s="5">
        <f>IF((ContinuousStatsTable[[#This Row],[RepsRequested]]&gt;1),ContinuousStatsTable[[#This Row],[HalfWidth]],ContinuousStatsTable[[#This Row],[BatchMeansHalfWidth]])</f>
        <v>0</v>
      </c>
    </row>
    <row r="417" spans="1:21" x14ac:dyDescent="0.4">
      <c r="A417" t="s">
        <v>67</v>
      </c>
      <c r="B417" t="s">
        <v>69</v>
      </c>
      <c r="C417">
        <v>47</v>
      </c>
      <c r="D417" t="s">
        <v>73</v>
      </c>
      <c r="E417" t="s">
        <v>88</v>
      </c>
      <c r="F417" t="s">
        <v>72</v>
      </c>
      <c r="G417">
        <v>0</v>
      </c>
      <c r="H417">
        <v>2E+20</v>
      </c>
      <c r="I417">
        <v>0</v>
      </c>
      <c r="J417">
        <v>0</v>
      </c>
      <c r="K417">
        <v>0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0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0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0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4">
      <c r="A418" t="s">
        <v>67</v>
      </c>
      <c r="B418" t="s">
        <v>69</v>
      </c>
      <c r="C418">
        <v>47</v>
      </c>
      <c r="D418" t="s">
        <v>74</v>
      </c>
      <c r="E418" t="s">
        <v>88</v>
      </c>
      <c r="F418" t="s">
        <v>72</v>
      </c>
      <c r="G418">
        <v>0</v>
      </c>
      <c r="H418">
        <v>2E+20</v>
      </c>
      <c r="I418">
        <v>0</v>
      </c>
      <c r="J418">
        <v>0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0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0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0</v>
      </c>
      <c r="U418" s="5">
        <f>IF((ContinuousStatsTable[[#This Row],[RepsRequested]]&gt;1),ContinuousStatsTable[[#This Row],[HalfWidth]],ContinuousStatsTable[[#This Row],[BatchMeansHalfWidth]])</f>
        <v>0</v>
      </c>
    </row>
    <row r="419" spans="1:21" x14ac:dyDescent="0.4">
      <c r="A419" t="s">
        <v>67</v>
      </c>
      <c r="B419" t="s">
        <v>69</v>
      </c>
      <c r="C419">
        <v>47</v>
      </c>
      <c r="D419" t="s">
        <v>75</v>
      </c>
      <c r="E419" t="s">
        <v>88</v>
      </c>
      <c r="F419" t="s">
        <v>72</v>
      </c>
      <c r="G419">
        <v>0</v>
      </c>
      <c r="H419">
        <v>2E+20</v>
      </c>
      <c r="I419">
        <v>0</v>
      </c>
      <c r="J419">
        <v>0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4">
      <c r="A420" t="s">
        <v>67</v>
      </c>
      <c r="B420" t="s">
        <v>69</v>
      </c>
      <c r="C420">
        <v>47</v>
      </c>
      <c r="D420" t="s">
        <v>76</v>
      </c>
      <c r="E420" t="s">
        <v>88</v>
      </c>
      <c r="F420" t="s">
        <v>72</v>
      </c>
      <c r="G420">
        <v>16.229696001182599</v>
      </c>
      <c r="H420">
        <v>3E+20</v>
      </c>
      <c r="I420">
        <v>0</v>
      </c>
      <c r="J420">
        <v>39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38.078147260668999</v>
      </c>
      <c r="U420" s="5">
        <f>IF((ContinuousStatsTable[[#This Row],[RepsRequested]]&gt;1),ContinuousStatsTable[[#This Row],[HalfWidth]],ContinuousStatsTable[[#This Row],[BatchMeansHalfWidth]])</f>
        <v>2.1115241847680202</v>
      </c>
    </row>
    <row r="421" spans="1:21" x14ac:dyDescent="0.4">
      <c r="A421" t="s">
        <v>67</v>
      </c>
      <c r="B421" t="s">
        <v>69</v>
      </c>
      <c r="C421">
        <v>47</v>
      </c>
      <c r="D421" t="s">
        <v>77</v>
      </c>
      <c r="E421" t="s">
        <v>88</v>
      </c>
      <c r="F421" t="s">
        <v>72</v>
      </c>
      <c r="G421">
        <v>1.9326973886509499E-2</v>
      </c>
      <c r="H421">
        <v>2E+20</v>
      </c>
      <c r="I421">
        <v>0</v>
      </c>
      <c r="J421">
        <v>3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49.6745792704859</v>
      </c>
      <c r="U421" s="5">
        <f>IF((ContinuousStatsTable[[#This Row],[RepsRequested]]&gt;1),ContinuousStatsTable[[#This Row],[HalfWidth]],ContinuousStatsTable[[#This Row],[BatchMeansHalfWidth]])</f>
        <v>3.578413083149202</v>
      </c>
    </row>
    <row r="422" spans="1:21" x14ac:dyDescent="0.4">
      <c r="A422" t="s">
        <v>67</v>
      </c>
      <c r="B422" t="s">
        <v>69</v>
      </c>
      <c r="C422">
        <v>47</v>
      </c>
      <c r="D422" t="s">
        <v>78</v>
      </c>
      <c r="E422" t="s">
        <v>88</v>
      </c>
      <c r="F422" t="s">
        <v>72</v>
      </c>
      <c r="G422">
        <v>14.931441566575501</v>
      </c>
      <c r="H422">
        <v>3E+20</v>
      </c>
      <c r="I422">
        <v>0</v>
      </c>
      <c r="J422">
        <v>54</v>
      </c>
      <c r="K422">
        <v>53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51.634328282384999</v>
      </c>
      <c r="U422" s="5">
        <f>IF((ContinuousStatsTable[[#This Row],[RepsRequested]]&gt;1),ContinuousStatsTable[[#This Row],[HalfWidth]],ContinuousStatsTable[[#This Row],[BatchMeansHalfWidth]])</f>
        <v>4.2398640284824616</v>
      </c>
    </row>
    <row r="423" spans="1:21" x14ac:dyDescent="0.4">
      <c r="A423" t="s">
        <v>67</v>
      </c>
      <c r="B423" t="s">
        <v>69</v>
      </c>
      <c r="C423">
        <v>47</v>
      </c>
      <c r="D423" t="s">
        <v>79</v>
      </c>
      <c r="E423" t="s">
        <v>88</v>
      </c>
      <c r="F423" t="s">
        <v>72</v>
      </c>
      <c r="G423">
        <v>3.6854001624709302E-2</v>
      </c>
      <c r="H423">
        <v>2E+20</v>
      </c>
      <c r="I423">
        <v>0</v>
      </c>
      <c r="J423">
        <v>3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42.684614626171097</v>
      </c>
      <c r="U423" s="5">
        <f>IF((ContinuousStatsTable[[#This Row],[RepsRequested]]&gt;1),ContinuousStatsTable[[#This Row],[HalfWidth]],ContinuousStatsTable[[#This Row],[BatchMeansHalfWidth]])</f>
        <v>3.4837709905544232</v>
      </c>
    </row>
    <row r="424" spans="1:21" x14ac:dyDescent="0.4">
      <c r="A424" t="s">
        <v>67</v>
      </c>
      <c r="B424" t="s">
        <v>69</v>
      </c>
      <c r="C424">
        <v>47</v>
      </c>
      <c r="D424" t="s">
        <v>80</v>
      </c>
      <c r="E424" t="s">
        <v>89</v>
      </c>
      <c r="F424" t="s">
        <v>82</v>
      </c>
      <c r="G424">
        <v>78.502933658615703</v>
      </c>
      <c r="H424">
        <v>3E+20</v>
      </c>
      <c r="I424">
        <v>0</v>
      </c>
      <c r="J424">
        <v>105</v>
      </c>
      <c r="K424">
        <v>92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60.764515331306598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102.902066283605</v>
      </c>
      <c r="U424" s="5">
        <f>IF((ContinuousStatsTable[[#This Row],[RepsRequested]]&gt;1),ContinuousStatsTable[[#This Row],[HalfWidth]],ContinuousStatsTable[[#This Row],[BatchMeansHalfWidth]])</f>
        <v>2.7368751260137634</v>
      </c>
    </row>
    <row r="425" spans="1:21" x14ac:dyDescent="0.4">
      <c r="A425" t="s">
        <v>67</v>
      </c>
      <c r="B425" t="s">
        <v>69</v>
      </c>
      <c r="C425">
        <v>48</v>
      </c>
      <c r="D425" t="s">
        <v>70</v>
      </c>
      <c r="E425" t="s">
        <v>88</v>
      </c>
      <c r="F425" t="s">
        <v>72</v>
      </c>
      <c r="G425">
        <v>0</v>
      </c>
      <c r="H425">
        <v>2E+20</v>
      </c>
      <c r="I425">
        <v>0</v>
      </c>
      <c r="J425">
        <v>0</v>
      </c>
      <c r="K425">
        <v>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4">
      <c r="A426" t="s">
        <v>67</v>
      </c>
      <c r="B426" t="s">
        <v>69</v>
      </c>
      <c r="C426">
        <v>48</v>
      </c>
      <c r="D426" t="s">
        <v>73</v>
      </c>
      <c r="E426" t="s">
        <v>88</v>
      </c>
      <c r="F426" t="s">
        <v>72</v>
      </c>
      <c r="G426">
        <v>0</v>
      </c>
      <c r="H426">
        <v>2E+20</v>
      </c>
      <c r="I426">
        <v>0</v>
      </c>
      <c r="J426">
        <v>0</v>
      </c>
      <c r="K426">
        <v>0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4">
      <c r="A427" t="s">
        <v>67</v>
      </c>
      <c r="B427" t="s">
        <v>69</v>
      </c>
      <c r="C427">
        <v>48</v>
      </c>
      <c r="D427" t="s">
        <v>74</v>
      </c>
      <c r="E427" t="s">
        <v>88</v>
      </c>
      <c r="F427" t="s">
        <v>72</v>
      </c>
      <c r="G427">
        <v>0</v>
      </c>
      <c r="H427">
        <v>2E+20</v>
      </c>
      <c r="I427">
        <v>0</v>
      </c>
      <c r="J427">
        <v>0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</v>
      </c>
      <c r="U427" s="5">
        <f>IF((ContinuousStatsTable[[#This Row],[RepsRequested]]&gt;1),ContinuousStatsTable[[#This Row],[HalfWidth]],ContinuousStatsTable[[#This Row],[BatchMeansHalfWidth]])</f>
        <v>0</v>
      </c>
    </row>
    <row r="428" spans="1:21" x14ac:dyDescent="0.4">
      <c r="A428" t="s">
        <v>67</v>
      </c>
      <c r="B428" t="s">
        <v>69</v>
      </c>
      <c r="C428">
        <v>48</v>
      </c>
      <c r="D428" t="s">
        <v>75</v>
      </c>
      <c r="E428" t="s">
        <v>88</v>
      </c>
      <c r="F428" t="s">
        <v>72</v>
      </c>
      <c r="G428">
        <v>0</v>
      </c>
      <c r="H428">
        <v>2E+20</v>
      </c>
      <c r="I428">
        <v>0</v>
      </c>
      <c r="J428">
        <v>0</v>
      </c>
      <c r="K428">
        <v>0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</v>
      </c>
      <c r="U428" s="5">
        <f>IF((ContinuousStatsTable[[#This Row],[RepsRequested]]&gt;1),ContinuousStatsTable[[#This Row],[HalfWidth]],ContinuousStatsTable[[#This Row],[BatchMeansHalfWidth]])</f>
        <v>0</v>
      </c>
    </row>
    <row r="429" spans="1:21" x14ac:dyDescent="0.4">
      <c r="A429" t="s">
        <v>67</v>
      </c>
      <c r="B429" t="s">
        <v>69</v>
      </c>
      <c r="C429">
        <v>48</v>
      </c>
      <c r="D429" t="s">
        <v>76</v>
      </c>
      <c r="E429" t="s">
        <v>88</v>
      </c>
      <c r="F429" t="s">
        <v>72</v>
      </c>
      <c r="G429">
        <v>1.3404273102259601</v>
      </c>
      <c r="H429">
        <v>3E+20</v>
      </c>
      <c r="I429">
        <v>0</v>
      </c>
      <c r="J429">
        <v>10</v>
      </c>
      <c r="K429">
        <v>3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38.078147260668999</v>
      </c>
      <c r="U429" s="5">
        <f>IF((ContinuousStatsTable[[#This Row],[RepsRequested]]&gt;1),ContinuousStatsTable[[#This Row],[HalfWidth]],ContinuousStatsTable[[#This Row],[BatchMeansHalfWidth]])</f>
        <v>2.1115241847680202</v>
      </c>
    </row>
    <row r="430" spans="1:21" x14ac:dyDescent="0.4">
      <c r="A430" t="s">
        <v>67</v>
      </c>
      <c r="B430" t="s">
        <v>69</v>
      </c>
      <c r="C430">
        <v>48</v>
      </c>
      <c r="D430" t="s">
        <v>77</v>
      </c>
      <c r="E430" t="s">
        <v>88</v>
      </c>
      <c r="F430" t="s">
        <v>72</v>
      </c>
      <c r="G430">
        <v>32.812543225000901</v>
      </c>
      <c r="H430">
        <v>3E+20</v>
      </c>
      <c r="I430">
        <v>0</v>
      </c>
      <c r="J430">
        <v>64</v>
      </c>
      <c r="K430">
        <v>54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0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49.6745792704859</v>
      </c>
      <c r="U430" s="5">
        <f>IF((ContinuousStatsTable[[#This Row],[RepsRequested]]&gt;1),ContinuousStatsTable[[#This Row],[HalfWidth]],ContinuousStatsTable[[#This Row],[BatchMeansHalfWidth]])</f>
        <v>3.578413083149202</v>
      </c>
    </row>
    <row r="431" spans="1:21" x14ac:dyDescent="0.4">
      <c r="A431" t="s">
        <v>67</v>
      </c>
      <c r="B431" t="s">
        <v>69</v>
      </c>
      <c r="C431">
        <v>48</v>
      </c>
      <c r="D431" t="s">
        <v>78</v>
      </c>
      <c r="E431" t="s">
        <v>88</v>
      </c>
      <c r="F431" t="s">
        <v>72</v>
      </c>
      <c r="G431">
        <v>3.42382502135746E-2</v>
      </c>
      <c r="H431">
        <v>2E+20</v>
      </c>
      <c r="I431">
        <v>0</v>
      </c>
      <c r="J431">
        <v>3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51.634328282384999</v>
      </c>
      <c r="U431" s="5">
        <f>IF((ContinuousStatsTable[[#This Row],[RepsRequested]]&gt;1),ContinuousStatsTable[[#This Row],[HalfWidth]],ContinuousStatsTable[[#This Row],[BatchMeansHalfWidth]])</f>
        <v>4.2398640284824616</v>
      </c>
    </row>
    <row r="432" spans="1:21" x14ac:dyDescent="0.4">
      <c r="A432" t="s">
        <v>67</v>
      </c>
      <c r="B432" t="s">
        <v>69</v>
      </c>
      <c r="C432">
        <v>48</v>
      </c>
      <c r="D432" t="s">
        <v>79</v>
      </c>
      <c r="E432" t="s">
        <v>88</v>
      </c>
      <c r="F432" t="s">
        <v>72</v>
      </c>
      <c r="G432">
        <v>2.9586047554005599E-2</v>
      </c>
      <c r="H432">
        <v>2E+20</v>
      </c>
      <c r="I432">
        <v>0</v>
      </c>
      <c r="J432">
        <v>3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42.684614626171097</v>
      </c>
      <c r="U432" s="5">
        <f>IF((ContinuousStatsTable[[#This Row],[RepsRequested]]&gt;1),ContinuousStatsTable[[#This Row],[HalfWidth]],ContinuousStatsTable[[#This Row],[BatchMeansHalfWidth]])</f>
        <v>3.4837709905544232</v>
      </c>
    </row>
    <row r="433" spans="1:21" x14ac:dyDescent="0.4">
      <c r="A433" t="s">
        <v>67</v>
      </c>
      <c r="B433" t="s">
        <v>69</v>
      </c>
      <c r="C433">
        <v>48</v>
      </c>
      <c r="D433" t="s">
        <v>80</v>
      </c>
      <c r="E433" t="s">
        <v>89</v>
      </c>
      <c r="F433" t="s">
        <v>82</v>
      </c>
      <c r="G433">
        <v>79.414914296447094</v>
      </c>
      <c r="H433">
        <v>3E+20</v>
      </c>
      <c r="I433">
        <v>0</v>
      </c>
      <c r="J433">
        <v>117</v>
      </c>
      <c r="K433">
        <v>104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60.764515331306598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102.902066283605</v>
      </c>
      <c r="U433" s="5">
        <f>IF((ContinuousStatsTable[[#This Row],[RepsRequested]]&gt;1),ContinuousStatsTable[[#This Row],[HalfWidth]],ContinuousStatsTable[[#This Row],[BatchMeansHalfWidth]])</f>
        <v>2.7368751260137634</v>
      </c>
    </row>
    <row r="434" spans="1:21" x14ac:dyDescent="0.4">
      <c r="A434" t="s">
        <v>67</v>
      </c>
      <c r="B434" t="s">
        <v>69</v>
      </c>
      <c r="C434">
        <v>49</v>
      </c>
      <c r="D434" t="s">
        <v>70</v>
      </c>
      <c r="E434" t="s">
        <v>88</v>
      </c>
      <c r="F434" t="s">
        <v>72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4">
      <c r="A435" t="s">
        <v>67</v>
      </c>
      <c r="B435" t="s">
        <v>69</v>
      </c>
      <c r="C435">
        <v>49</v>
      </c>
      <c r="D435" t="s">
        <v>73</v>
      </c>
      <c r="E435" t="s">
        <v>88</v>
      </c>
      <c r="F435" t="s">
        <v>72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4">
      <c r="A436" t="s">
        <v>67</v>
      </c>
      <c r="B436" t="s">
        <v>69</v>
      </c>
      <c r="C436">
        <v>49</v>
      </c>
      <c r="D436" t="s">
        <v>74</v>
      </c>
      <c r="E436" t="s">
        <v>88</v>
      </c>
      <c r="F436" t="s">
        <v>72</v>
      </c>
      <c r="G436">
        <v>0</v>
      </c>
      <c r="H436">
        <v>2E+20</v>
      </c>
      <c r="I436">
        <v>0</v>
      </c>
      <c r="J436">
        <v>0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0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4">
      <c r="A437" t="s">
        <v>67</v>
      </c>
      <c r="B437" t="s">
        <v>69</v>
      </c>
      <c r="C437">
        <v>49</v>
      </c>
      <c r="D437" t="s">
        <v>75</v>
      </c>
      <c r="E437" t="s">
        <v>88</v>
      </c>
      <c r="F437" t="s">
        <v>72</v>
      </c>
      <c r="G437">
        <v>0</v>
      </c>
      <c r="H437">
        <v>2E+20</v>
      </c>
      <c r="I437">
        <v>0</v>
      </c>
      <c r="J437">
        <v>0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</v>
      </c>
      <c r="U437" s="5">
        <f>IF((ContinuousStatsTable[[#This Row],[RepsRequested]]&gt;1),ContinuousStatsTable[[#This Row],[HalfWidth]],ContinuousStatsTable[[#This Row],[BatchMeansHalfWidth]])</f>
        <v>0</v>
      </c>
    </row>
    <row r="438" spans="1:21" x14ac:dyDescent="0.4">
      <c r="A438" t="s">
        <v>67</v>
      </c>
      <c r="B438" t="s">
        <v>69</v>
      </c>
      <c r="C438">
        <v>49</v>
      </c>
      <c r="D438" t="s">
        <v>76</v>
      </c>
      <c r="E438" t="s">
        <v>88</v>
      </c>
      <c r="F438" t="s">
        <v>72</v>
      </c>
      <c r="G438">
        <v>1.1301253893513901E-2</v>
      </c>
      <c r="H438">
        <v>2E+20</v>
      </c>
      <c r="I438">
        <v>0</v>
      </c>
      <c r="J438">
        <v>2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38.078147260668999</v>
      </c>
      <c r="U438" s="5">
        <f>IF((ContinuousStatsTable[[#This Row],[RepsRequested]]&gt;1),ContinuousStatsTable[[#This Row],[HalfWidth]],ContinuousStatsTable[[#This Row],[BatchMeansHalfWidth]])</f>
        <v>2.1115241847680202</v>
      </c>
    </row>
    <row r="439" spans="1:21" x14ac:dyDescent="0.4">
      <c r="A439" t="s">
        <v>67</v>
      </c>
      <c r="B439" t="s">
        <v>69</v>
      </c>
      <c r="C439">
        <v>49</v>
      </c>
      <c r="D439" t="s">
        <v>77</v>
      </c>
      <c r="E439" t="s">
        <v>88</v>
      </c>
      <c r="F439" t="s">
        <v>72</v>
      </c>
      <c r="G439">
        <v>3.4237254657957199</v>
      </c>
      <c r="H439">
        <v>3E+20</v>
      </c>
      <c r="I439">
        <v>0</v>
      </c>
      <c r="J439">
        <v>29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0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49.6745792704859</v>
      </c>
      <c r="U439" s="5">
        <f>IF((ContinuousStatsTable[[#This Row],[RepsRequested]]&gt;1),ContinuousStatsTable[[#This Row],[HalfWidth]],ContinuousStatsTable[[#This Row],[BatchMeansHalfWidth]])</f>
        <v>3.578413083149202</v>
      </c>
    </row>
    <row r="440" spans="1:21" x14ac:dyDescent="0.4">
      <c r="A440" t="s">
        <v>67</v>
      </c>
      <c r="B440" t="s">
        <v>69</v>
      </c>
      <c r="C440">
        <v>49</v>
      </c>
      <c r="D440" t="s">
        <v>78</v>
      </c>
      <c r="E440" t="s">
        <v>88</v>
      </c>
      <c r="F440" t="s">
        <v>72</v>
      </c>
      <c r="G440">
        <v>5.3013297945345601E-2</v>
      </c>
      <c r="H440">
        <v>2E+20</v>
      </c>
      <c r="I440">
        <v>0</v>
      </c>
      <c r="J440">
        <v>3</v>
      </c>
      <c r="K440">
        <v>1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51.634328282384999</v>
      </c>
      <c r="U440" s="5">
        <f>IF((ContinuousStatsTable[[#This Row],[RepsRequested]]&gt;1),ContinuousStatsTable[[#This Row],[HalfWidth]],ContinuousStatsTable[[#This Row],[BatchMeansHalfWidth]])</f>
        <v>4.2398640284824616</v>
      </c>
    </row>
    <row r="441" spans="1:21" x14ac:dyDescent="0.4">
      <c r="A441" t="s">
        <v>67</v>
      </c>
      <c r="B441" t="s">
        <v>69</v>
      </c>
      <c r="C441">
        <v>49</v>
      </c>
      <c r="D441" t="s">
        <v>79</v>
      </c>
      <c r="E441" t="s">
        <v>88</v>
      </c>
      <c r="F441" t="s">
        <v>72</v>
      </c>
      <c r="G441">
        <v>28.227136751481201</v>
      </c>
      <c r="H441">
        <v>3E+20</v>
      </c>
      <c r="I441">
        <v>0</v>
      </c>
      <c r="J441">
        <v>71</v>
      </c>
      <c r="K441">
        <v>59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42.684614626171097</v>
      </c>
      <c r="U441" s="5">
        <f>IF((ContinuousStatsTable[[#This Row],[RepsRequested]]&gt;1),ContinuousStatsTable[[#This Row],[HalfWidth]],ContinuousStatsTable[[#This Row],[BatchMeansHalfWidth]])</f>
        <v>3.4837709905544232</v>
      </c>
    </row>
    <row r="442" spans="1:21" x14ac:dyDescent="0.4">
      <c r="A442" t="s">
        <v>67</v>
      </c>
      <c r="B442" t="s">
        <v>69</v>
      </c>
      <c r="C442">
        <v>49</v>
      </c>
      <c r="D442" t="s">
        <v>80</v>
      </c>
      <c r="E442" t="s">
        <v>89</v>
      </c>
      <c r="F442" t="s">
        <v>82</v>
      </c>
      <c r="G442">
        <v>78.637545180880196</v>
      </c>
      <c r="H442">
        <v>3E+20</v>
      </c>
      <c r="I442">
        <v>0</v>
      </c>
      <c r="J442">
        <v>120</v>
      </c>
      <c r="K442">
        <v>106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60.764515331306598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102.902066283605</v>
      </c>
      <c r="U442" s="5">
        <f>IF((ContinuousStatsTable[[#This Row],[RepsRequested]]&gt;1),ContinuousStatsTable[[#This Row],[HalfWidth]],ContinuousStatsTable[[#This Row],[BatchMeansHalfWidth]])</f>
        <v>2.7368751260137634</v>
      </c>
    </row>
    <row r="443" spans="1:21" x14ac:dyDescent="0.4">
      <c r="A443" t="s">
        <v>67</v>
      </c>
      <c r="B443" t="s">
        <v>69</v>
      </c>
      <c r="C443">
        <v>50</v>
      </c>
      <c r="D443" t="s">
        <v>70</v>
      </c>
      <c r="E443" t="s">
        <v>88</v>
      </c>
      <c r="F443" t="s">
        <v>72</v>
      </c>
      <c r="G443">
        <v>0</v>
      </c>
      <c r="H443">
        <v>2E+20</v>
      </c>
      <c r="I443">
        <v>0</v>
      </c>
      <c r="J443">
        <v>0</v>
      </c>
      <c r="K443">
        <v>0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0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0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0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4">
      <c r="A444" t="s">
        <v>67</v>
      </c>
      <c r="B444" t="s">
        <v>69</v>
      </c>
      <c r="C444">
        <v>50</v>
      </c>
      <c r="D444" t="s">
        <v>73</v>
      </c>
      <c r="E444" t="s">
        <v>88</v>
      </c>
      <c r="F444" t="s">
        <v>72</v>
      </c>
      <c r="G444">
        <v>0</v>
      </c>
      <c r="H444">
        <v>2E+20</v>
      </c>
      <c r="I444">
        <v>0</v>
      </c>
      <c r="J444">
        <v>0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0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0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0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0</v>
      </c>
      <c r="U444" s="5">
        <f>IF((ContinuousStatsTable[[#This Row],[RepsRequested]]&gt;1),ContinuousStatsTable[[#This Row],[HalfWidth]],ContinuousStatsTable[[#This Row],[BatchMeansHalfWidth]])</f>
        <v>0</v>
      </c>
    </row>
    <row r="445" spans="1:21" x14ac:dyDescent="0.4">
      <c r="A445" t="s">
        <v>67</v>
      </c>
      <c r="B445" t="s">
        <v>69</v>
      </c>
      <c r="C445">
        <v>50</v>
      </c>
      <c r="D445" t="s">
        <v>74</v>
      </c>
      <c r="E445" t="s">
        <v>88</v>
      </c>
      <c r="F445" t="s">
        <v>72</v>
      </c>
      <c r="G445">
        <v>0</v>
      </c>
      <c r="H445">
        <v>2E+20</v>
      </c>
      <c r="I445">
        <v>0</v>
      </c>
      <c r="J445">
        <v>0</v>
      </c>
      <c r="K445">
        <v>0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0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0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</v>
      </c>
      <c r="U445" s="5">
        <f>IF((ContinuousStatsTable[[#This Row],[RepsRequested]]&gt;1),ContinuousStatsTable[[#This Row],[HalfWidth]],ContinuousStatsTable[[#This Row],[BatchMeansHalfWidth]])</f>
        <v>0</v>
      </c>
    </row>
    <row r="446" spans="1:21" x14ac:dyDescent="0.4">
      <c r="A446" t="s">
        <v>67</v>
      </c>
      <c r="B446" t="s">
        <v>69</v>
      </c>
      <c r="C446">
        <v>50</v>
      </c>
      <c r="D446" t="s">
        <v>75</v>
      </c>
      <c r="E446" t="s">
        <v>88</v>
      </c>
      <c r="F446" t="s">
        <v>72</v>
      </c>
      <c r="G446">
        <v>0</v>
      </c>
      <c r="H446">
        <v>2E+20</v>
      </c>
      <c r="I446">
        <v>0</v>
      </c>
      <c r="J446">
        <v>0</v>
      </c>
      <c r="K446">
        <v>0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0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0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0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4">
      <c r="A447" t="s">
        <v>67</v>
      </c>
      <c r="B447" t="s">
        <v>69</v>
      </c>
      <c r="C447">
        <v>50</v>
      </c>
      <c r="D447" t="s">
        <v>76</v>
      </c>
      <c r="E447" t="s">
        <v>88</v>
      </c>
      <c r="F447" t="s">
        <v>72</v>
      </c>
      <c r="G447">
        <v>0.77566099508666997</v>
      </c>
      <c r="H447">
        <v>2E+20</v>
      </c>
      <c r="I447">
        <v>0</v>
      </c>
      <c r="J447">
        <v>9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2.8871283890006634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7.4297943271921492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2.1115241847680202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38.078147260668999</v>
      </c>
      <c r="U447" s="5">
        <f>IF((ContinuousStatsTable[[#This Row],[RepsRequested]]&gt;1),ContinuousStatsTable[[#This Row],[HalfWidth]],ContinuousStatsTable[[#This Row],[BatchMeansHalfWidth]])</f>
        <v>2.1115241847680202</v>
      </c>
    </row>
    <row r="448" spans="1:21" x14ac:dyDescent="0.4">
      <c r="A448" t="s">
        <v>67</v>
      </c>
      <c r="B448" t="s">
        <v>69</v>
      </c>
      <c r="C448">
        <v>50</v>
      </c>
      <c r="D448" t="s">
        <v>77</v>
      </c>
      <c r="E448" t="s">
        <v>88</v>
      </c>
      <c r="F448" t="s">
        <v>72</v>
      </c>
      <c r="G448">
        <v>18.354168872823902</v>
      </c>
      <c r="H448">
        <v>3E+20</v>
      </c>
      <c r="I448">
        <v>0</v>
      </c>
      <c r="J448">
        <v>46</v>
      </c>
      <c r="K448">
        <v>13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10.300939961694064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12.591318355395982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3.578413083149202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49.6745792704859</v>
      </c>
      <c r="U448" s="5">
        <f>IF((ContinuousStatsTable[[#This Row],[RepsRequested]]&gt;1),ContinuousStatsTable[[#This Row],[HalfWidth]],ContinuousStatsTable[[#This Row],[BatchMeansHalfWidth]])</f>
        <v>3.578413083149202</v>
      </c>
    </row>
    <row r="449" spans="1:21" x14ac:dyDescent="0.4">
      <c r="A449" t="s">
        <v>67</v>
      </c>
      <c r="B449" t="s">
        <v>69</v>
      </c>
      <c r="C449">
        <v>50</v>
      </c>
      <c r="D449" t="s">
        <v>78</v>
      </c>
      <c r="E449" t="s">
        <v>88</v>
      </c>
      <c r="F449" t="s">
        <v>72</v>
      </c>
      <c r="G449">
        <v>8.4901057187232407</v>
      </c>
      <c r="H449">
        <v>3E+20</v>
      </c>
      <c r="I449">
        <v>0</v>
      </c>
      <c r="J449">
        <v>37</v>
      </c>
      <c r="K449">
        <v>0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13.668950565960596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14.918757707880999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4.2398640284824616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0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51.634328282384999</v>
      </c>
      <c r="U449" s="5">
        <f>IF((ContinuousStatsTable[[#This Row],[RepsRequested]]&gt;1),ContinuousStatsTable[[#This Row],[HalfWidth]],ContinuousStatsTable[[#This Row],[BatchMeansHalfWidth]])</f>
        <v>4.2398640284824616</v>
      </c>
    </row>
    <row r="450" spans="1:21" x14ac:dyDescent="0.4">
      <c r="A450" t="s">
        <v>67</v>
      </c>
      <c r="B450" t="s">
        <v>69</v>
      </c>
      <c r="C450">
        <v>50</v>
      </c>
      <c r="D450" t="s">
        <v>79</v>
      </c>
      <c r="E450" t="s">
        <v>88</v>
      </c>
      <c r="F450" t="s">
        <v>72</v>
      </c>
      <c r="G450">
        <v>3.7009056007591197E-2</v>
      </c>
      <c r="H450">
        <v>2E+20</v>
      </c>
      <c r="I450">
        <v>0</v>
      </c>
      <c r="J450">
        <v>4</v>
      </c>
      <c r="K450">
        <v>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6.6343440618541374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12.25830238155738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3.4837709905544232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42.684614626171097</v>
      </c>
      <c r="U450" s="5">
        <f>IF((ContinuousStatsTable[[#This Row],[RepsRequested]]&gt;1),ContinuousStatsTable[[#This Row],[HalfWidth]],ContinuousStatsTable[[#This Row],[BatchMeansHalfWidth]])</f>
        <v>3.4837709905544232</v>
      </c>
    </row>
    <row r="451" spans="1:21" x14ac:dyDescent="0.4">
      <c r="A451" t="s">
        <v>67</v>
      </c>
      <c r="B451" t="s">
        <v>69</v>
      </c>
      <c r="C451">
        <v>50</v>
      </c>
      <c r="D451" t="s">
        <v>80</v>
      </c>
      <c r="E451" t="s">
        <v>89</v>
      </c>
      <c r="F451" t="s">
        <v>82</v>
      </c>
      <c r="G451">
        <v>76.353666856901398</v>
      </c>
      <c r="H451">
        <v>3E+20</v>
      </c>
      <c r="I451">
        <v>0</v>
      </c>
      <c r="J451">
        <v>101</v>
      </c>
      <c r="K451">
        <v>61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80.792913498587723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9.6302090367600357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2.7368751260137634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60.764515331306598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102.902066283605</v>
      </c>
      <c r="U451" s="5">
        <f>IF((ContinuousStatsTable[[#This Row],[RepsRequested]]&gt;1),ContinuousStatsTable[[#This Row],[HalfWidth]],ContinuousStatsTable[[#This Row],[BatchMeansHalfWidth]])</f>
        <v>2.7368751260137634</v>
      </c>
    </row>
  </sheetData>
  <phoneticPr fontId="2" type="noConversion"/>
  <conditionalFormatting sqref="H2:H451">
    <cfRule type="expression" dxfId="18" priority="9">
      <formula>H2=200000000000000000000</formula>
    </cfRule>
  </conditionalFormatting>
  <conditionalFormatting sqref="H2:H451">
    <cfRule type="expression" dxfId="17" priority="7">
      <formula>H2=300000000000000000000</formula>
    </cfRule>
  </conditionalFormatting>
  <conditionalFormatting sqref="M2:U451">
    <cfRule type="expression" dxfId="16" priority="5">
      <formula>MOD(ROW(),2)=0</formula>
    </cfRule>
  </conditionalFormatting>
  <conditionalFormatting sqref="U2:U4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451 U2:U4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7.07421875" bestFit="1" customWidth="1"/>
    <col min="6" max="6" width="8.69140625" bestFit="1" customWidth="1"/>
    <col min="7" max="7" width="15.765625" bestFit="1" customWidth="1"/>
    <col min="8" max="8" width="13.3828125" bestFit="1" customWidth="1"/>
    <col min="9" max="9" width="16" bestFit="1" customWidth="1"/>
    <col min="10" max="10" width="9.84375" bestFit="1" customWidth="1"/>
    <col min="11" max="11" width="18.61328125" bestFit="1" customWidth="1"/>
    <col min="12" max="12" width="18.84375" bestFit="1" customWidth="1"/>
    <col min="13" max="13" width="11.53515625" bestFit="1" customWidth="1"/>
    <col min="14" max="14" width="11.15234375" bestFit="1" customWidth="1"/>
    <col min="15" max="15" width="11.53515625" bestFit="1" customWidth="1"/>
  </cols>
  <sheetData>
    <row r="1" spans="1:1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17.3046875" bestFit="1" customWidth="1"/>
    <col min="5" max="5" width="11.15234375" bestFit="1" customWidth="1"/>
    <col min="6" max="6" width="8.69140625" bestFit="1" customWidth="1"/>
    <col min="7" max="7" width="15.765625" bestFit="1" customWidth="1"/>
    <col min="8" max="8" width="11.07421875" bestFit="1" customWidth="1"/>
    <col min="9" max="9" width="48.3828125" bestFit="1" customWidth="1"/>
    <col min="10" max="10" width="16" bestFit="1" customWidth="1"/>
    <col min="11" max="11" width="9.84375" bestFit="1" customWidth="1"/>
    <col min="12" max="12" width="18.61328125" bestFit="1" customWidth="1"/>
    <col min="13" max="13" width="18.84375" bestFit="1" customWidth="1"/>
    <col min="14" max="14" width="11.84375" bestFit="1" customWidth="1"/>
    <col min="15" max="15" width="11.15234375" bestFit="1" customWidth="1"/>
    <col min="16" max="16" width="11.5351562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">
      <c r="A2" t="s">
        <v>67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692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680.04</v>
      </c>
      <c r="L2" cm="1">
        <f t="array" ref="L2">IFERROR(_xlfn.STDEV.S(IF((OutputTable[GroupByKey]=OutputTable[[#This Row],[GroupByKey]]),(OutputTable[GroupByKey]=OutputTable[[#This Row],[GroupByKey]])*OutputTable[RecordedValue])),0)</f>
        <v>41.228561528560341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" cm="1">
        <f t="array" ref="O2">MIN(IF((OutputTable[GroupByKey]=OutputTable[[#This Row],[GroupByKey]]),(OutputTable[GroupByKey]=OutputTable[[#This Row],[GroupByKey]])*OutputTable[RecordedValue]))</f>
        <v>596</v>
      </c>
      <c r="P2" cm="1">
        <f t="array" ref="P2">MAX(IF((OutputTable[GroupByKey]=OutputTable[[#This Row],[GroupByKey]]),(OutputTable[GroupByKey]=OutputTable[[#This Row],[GroupByKey]])*OutputTable[RecordedValue]))</f>
        <v>763</v>
      </c>
    </row>
    <row r="3" spans="1:16" x14ac:dyDescent="0.4">
      <c r="A3" t="s">
        <v>67</v>
      </c>
      <c r="B3" t="s">
        <v>69</v>
      </c>
      <c r="C3">
        <v>1</v>
      </c>
      <c r="D3" t="s">
        <v>93</v>
      </c>
      <c r="E3" t="s">
        <v>94</v>
      </c>
      <c r="F3" t="s">
        <v>82</v>
      </c>
      <c r="G3">
        <v>781</v>
      </c>
      <c r="H3">
        <v>0</v>
      </c>
      <c r="I3" t="str">
        <f>OutputTable[[#This Row],[ProjectName]]&amp;OutputTable[[#This Row],[Name]]&amp;OutputTable[[#This Row],[Type]]&amp;OutputTable[[#This Row],[Source]]</f>
        <v>Unnamed ProjectTourist.NumberInNumber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783.7</v>
      </c>
      <c r="L3" cm="1">
        <f t="array" ref="L3">IFERROR(_xlfn.STDEV.S(IF((OutputTable[GroupByKey]=OutputTable[[#This Row],[GroupByKey]]),(OutputTable[GroupByKey]=OutputTable[[#This Row],[GroupByKey]])*OutputTable[RecordedValue])),0)</f>
        <v>30.785797149374726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3" cm="1">
        <f t="array" ref="O3">MIN(IF((OutputTable[GroupByKey]=OutputTable[[#This Row],[GroupByKey]]),(OutputTable[GroupByKey]=OutputTable[[#This Row],[GroupByKey]])*OutputTable[RecordedValue]))</f>
        <v>715</v>
      </c>
      <c r="P3" cm="1">
        <f t="array" ref="P3">MAX(IF((OutputTable[GroupByKey]=OutputTable[[#This Row],[GroupByKey]]),(OutputTable[GroupByKey]=OutputTable[[#This Row],[GroupByKey]])*OutputTable[RecordedValue]))</f>
        <v>841</v>
      </c>
    </row>
    <row r="4" spans="1:16" x14ac:dyDescent="0.4">
      <c r="A4" t="s">
        <v>67</v>
      </c>
      <c r="B4" t="s">
        <v>69</v>
      </c>
      <c r="C4">
        <v>1</v>
      </c>
      <c r="D4" t="s">
        <v>95</v>
      </c>
      <c r="E4" t="s">
        <v>91</v>
      </c>
      <c r="F4" t="s">
        <v>82</v>
      </c>
      <c r="G4">
        <v>692</v>
      </c>
      <c r="H4">
        <v>0</v>
      </c>
      <c r="I4" t="str">
        <f>OutputTable[[#This Row],[ProjectName]]&amp;OutputTable[[#This Row],[Name]]&amp;OutputTable[[#This Row],[Type]]&amp;OutputTable[[#This Row],[Source]]</f>
        <v>Unnamed ProjectTourist.NumberOutNumber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680.04</v>
      </c>
      <c r="L4" cm="1">
        <f t="array" ref="L4">IFERROR(_xlfn.STDEV.S(IF((OutputTable[GroupByKey]=OutputTable[[#This Row],[GroupByKey]]),(OutputTable[GroupByKey]=OutputTable[[#This Row],[GroupByKey]])*OutputTable[RecordedValue])),0)</f>
        <v>41.228561528560341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" cm="1">
        <f t="array" ref="O4">MIN(IF((OutputTable[GroupByKey]=OutputTable[[#This Row],[GroupByKey]]),(OutputTable[GroupByKey]=OutputTable[[#This Row],[GroupByKey]])*OutputTable[RecordedValue]))</f>
        <v>596</v>
      </c>
      <c r="P4" cm="1">
        <f t="array" ref="P4">MAX(IF((OutputTable[GroupByKey]=OutputTable[[#This Row],[GroupByKey]]),(OutputTable[GroupByKey]=OutputTable[[#This Row],[GroupByKey]])*OutputTable[RecordedValue]))</f>
        <v>763</v>
      </c>
    </row>
    <row r="5" spans="1:16" x14ac:dyDescent="0.4">
      <c r="A5" t="s">
        <v>67</v>
      </c>
      <c r="B5" t="s">
        <v>69</v>
      </c>
      <c r="C5">
        <v>2</v>
      </c>
      <c r="D5" t="s">
        <v>90</v>
      </c>
      <c r="E5" t="s">
        <v>91</v>
      </c>
      <c r="F5" t="s">
        <v>92</v>
      </c>
      <c r="G5">
        <v>668</v>
      </c>
      <c r="H5">
        <v>0</v>
      </c>
      <c r="I5" t="str">
        <f>OutputTable[[#This Row],[ProjectName]]&amp;OutputTable[[#This Row],[Name]]&amp;OutputTable[[#This Row],[Type]]&amp;OutputTable[[#This Row],[Source]]</f>
        <v>Unnamed ProjectSystem.NumberOutNumber OutSystem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680.04</v>
      </c>
      <c r="L5" cm="1">
        <f t="array" ref="L5">IFERROR(_xlfn.STDEV.S(IF((OutputTable[GroupByKey]=OutputTable[[#This Row],[GroupByKey]]),(OutputTable[GroupByKey]=OutputTable[[#This Row],[GroupByKey]])*OutputTable[RecordedValue])),0)</f>
        <v>41.228561528560341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" cm="1">
        <f t="array" ref="O5">MIN(IF((OutputTable[GroupByKey]=OutputTable[[#This Row],[GroupByKey]]),(OutputTable[GroupByKey]=OutputTable[[#This Row],[GroupByKey]])*OutputTable[RecordedValue]))</f>
        <v>596</v>
      </c>
      <c r="P5" cm="1">
        <f t="array" ref="P5">MAX(IF((OutputTable[GroupByKey]=OutputTable[[#This Row],[GroupByKey]]),(OutputTable[GroupByKey]=OutputTable[[#This Row],[GroupByKey]])*OutputTable[RecordedValue]))</f>
        <v>763</v>
      </c>
    </row>
    <row r="6" spans="1:16" x14ac:dyDescent="0.4">
      <c r="A6" t="s">
        <v>67</v>
      </c>
      <c r="B6" t="s">
        <v>69</v>
      </c>
      <c r="C6">
        <v>2</v>
      </c>
      <c r="D6" t="s">
        <v>93</v>
      </c>
      <c r="E6" t="s">
        <v>94</v>
      </c>
      <c r="F6" t="s">
        <v>82</v>
      </c>
      <c r="G6">
        <v>764</v>
      </c>
      <c r="H6">
        <v>0</v>
      </c>
      <c r="I6" t="str">
        <f>OutputTable[[#This Row],[ProjectName]]&amp;OutputTable[[#This Row],[Name]]&amp;OutputTable[[#This Row],[Type]]&amp;OutputTable[[#This Row],[Source]]</f>
        <v>Unnamed ProjectTourist.NumberInNumber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783.7</v>
      </c>
      <c r="L6" cm="1">
        <f t="array" ref="L6">IFERROR(_xlfn.STDEV.S(IF((OutputTable[GroupByKey]=OutputTable[[#This Row],[GroupByKey]]),(OutputTable[GroupByKey]=OutputTable[[#This Row],[GroupByKey]])*OutputTable[RecordedValue])),0)</f>
        <v>30.785797149374726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6" cm="1">
        <f t="array" ref="O6">MIN(IF((OutputTable[GroupByKey]=OutputTable[[#This Row],[GroupByKey]]),(OutputTable[GroupByKey]=OutputTable[[#This Row],[GroupByKey]])*OutputTable[RecordedValue]))</f>
        <v>715</v>
      </c>
      <c r="P6" cm="1">
        <f t="array" ref="P6">MAX(IF((OutputTable[GroupByKey]=OutputTable[[#This Row],[GroupByKey]]),(OutputTable[GroupByKey]=OutputTable[[#This Row],[GroupByKey]])*OutputTable[RecordedValue]))</f>
        <v>841</v>
      </c>
    </row>
    <row r="7" spans="1:16" x14ac:dyDescent="0.4">
      <c r="A7" t="s">
        <v>67</v>
      </c>
      <c r="B7" t="s">
        <v>69</v>
      </c>
      <c r="C7">
        <v>2</v>
      </c>
      <c r="D7" t="s">
        <v>95</v>
      </c>
      <c r="E7" t="s">
        <v>91</v>
      </c>
      <c r="F7" t="s">
        <v>82</v>
      </c>
      <c r="G7">
        <v>668</v>
      </c>
      <c r="H7">
        <v>0</v>
      </c>
      <c r="I7" t="str">
        <f>OutputTable[[#This Row],[ProjectName]]&amp;OutputTable[[#This Row],[Name]]&amp;OutputTable[[#This Row],[Type]]&amp;OutputTable[[#This Row],[Source]]</f>
        <v>Unnamed ProjectTourist.NumberOutNumber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680.04</v>
      </c>
      <c r="L7" cm="1">
        <f t="array" ref="L7">IFERROR(_xlfn.STDEV.S(IF((OutputTable[GroupByKey]=OutputTable[[#This Row],[GroupByKey]]),(OutputTable[GroupByKey]=OutputTable[[#This Row],[GroupByKey]])*OutputTable[RecordedValue])),0)</f>
        <v>41.228561528560341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" cm="1">
        <f t="array" ref="O7">MIN(IF((OutputTable[GroupByKey]=OutputTable[[#This Row],[GroupByKey]]),(OutputTable[GroupByKey]=OutputTable[[#This Row],[GroupByKey]])*OutputTable[RecordedValue]))</f>
        <v>596</v>
      </c>
      <c r="P7" cm="1">
        <f t="array" ref="P7">MAX(IF((OutputTable[GroupByKey]=OutputTable[[#This Row],[GroupByKey]]),(OutputTable[GroupByKey]=OutputTable[[#This Row],[GroupByKey]])*OutputTable[RecordedValue]))</f>
        <v>763</v>
      </c>
    </row>
    <row r="8" spans="1:16" x14ac:dyDescent="0.4">
      <c r="A8" t="s">
        <v>67</v>
      </c>
      <c r="B8" t="s">
        <v>69</v>
      </c>
      <c r="C8">
        <v>3</v>
      </c>
      <c r="D8" t="s">
        <v>90</v>
      </c>
      <c r="E8" t="s">
        <v>91</v>
      </c>
      <c r="F8" t="s">
        <v>92</v>
      </c>
      <c r="G8">
        <v>628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680.04</v>
      </c>
      <c r="L8" cm="1">
        <f t="array" ref="L8">IFERROR(_xlfn.STDEV.S(IF((OutputTable[GroupByKey]=OutputTable[[#This Row],[GroupByKey]]),(OutputTable[GroupByKey]=OutputTable[[#This Row],[GroupByKey]])*OutputTable[RecordedValue])),0)</f>
        <v>41.228561528560341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" cm="1">
        <f t="array" ref="O8">MIN(IF((OutputTable[GroupByKey]=OutputTable[[#This Row],[GroupByKey]]),(OutputTable[GroupByKey]=OutputTable[[#This Row],[GroupByKey]])*OutputTable[RecordedValue]))</f>
        <v>596</v>
      </c>
      <c r="P8" cm="1">
        <f t="array" ref="P8">MAX(IF((OutputTable[GroupByKey]=OutputTable[[#This Row],[GroupByKey]]),(OutputTable[GroupByKey]=OutputTable[[#This Row],[GroupByKey]])*OutputTable[RecordedValue]))</f>
        <v>763</v>
      </c>
    </row>
    <row r="9" spans="1:16" x14ac:dyDescent="0.4">
      <c r="A9" t="s">
        <v>67</v>
      </c>
      <c r="B9" t="s">
        <v>69</v>
      </c>
      <c r="C9">
        <v>3</v>
      </c>
      <c r="D9" t="s">
        <v>93</v>
      </c>
      <c r="E9" t="s">
        <v>94</v>
      </c>
      <c r="F9" t="s">
        <v>82</v>
      </c>
      <c r="G9">
        <v>751</v>
      </c>
      <c r="H9">
        <v>0</v>
      </c>
      <c r="I9" t="str">
        <f>OutputTable[[#This Row],[ProjectName]]&amp;OutputTable[[#This Row],[Name]]&amp;OutputTable[[#This Row],[Type]]&amp;OutputTable[[#This Row],[Source]]</f>
        <v>Unnamed ProjectTourist.NumberInNumber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783.7</v>
      </c>
      <c r="L9" cm="1">
        <f t="array" ref="L9">IFERROR(_xlfn.STDEV.S(IF((OutputTable[GroupByKey]=OutputTable[[#This Row],[GroupByKey]]),(OutputTable[GroupByKey]=OutputTable[[#This Row],[GroupByKey]])*OutputTable[RecordedValue])),0)</f>
        <v>30.785797149374726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9" cm="1">
        <f t="array" ref="O9">MIN(IF((OutputTable[GroupByKey]=OutputTable[[#This Row],[GroupByKey]]),(OutputTable[GroupByKey]=OutputTable[[#This Row],[GroupByKey]])*OutputTable[RecordedValue]))</f>
        <v>715</v>
      </c>
      <c r="P9" cm="1">
        <f t="array" ref="P9">MAX(IF((OutputTable[GroupByKey]=OutputTable[[#This Row],[GroupByKey]]),(OutputTable[GroupByKey]=OutputTable[[#This Row],[GroupByKey]])*OutputTable[RecordedValue]))</f>
        <v>841</v>
      </c>
    </row>
    <row r="10" spans="1:16" x14ac:dyDescent="0.4">
      <c r="A10" t="s">
        <v>67</v>
      </c>
      <c r="B10" t="s">
        <v>69</v>
      </c>
      <c r="C10">
        <v>3</v>
      </c>
      <c r="D10" t="s">
        <v>95</v>
      </c>
      <c r="E10" t="s">
        <v>91</v>
      </c>
      <c r="F10" t="s">
        <v>82</v>
      </c>
      <c r="G10">
        <v>628</v>
      </c>
      <c r="H10">
        <v>0</v>
      </c>
      <c r="I10" t="str">
        <f>OutputTable[[#This Row],[ProjectName]]&amp;OutputTable[[#This Row],[Name]]&amp;OutputTable[[#This Row],[Type]]&amp;OutputTable[[#This Row],[Source]]</f>
        <v>Unnamed ProjectTourist.NumberOutNumber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680.04</v>
      </c>
      <c r="L10" cm="1">
        <f t="array" ref="L10">IFERROR(_xlfn.STDEV.S(IF((OutputTable[GroupByKey]=OutputTable[[#This Row],[GroupByKey]]),(OutputTable[GroupByKey]=OutputTable[[#This Row],[GroupByKey]])*OutputTable[RecordedValue])),0)</f>
        <v>41.228561528560341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" cm="1">
        <f t="array" ref="O10">MIN(IF((OutputTable[GroupByKey]=OutputTable[[#This Row],[GroupByKey]]),(OutputTable[GroupByKey]=OutputTable[[#This Row],[GroupByKey]])*OutputTable[RecordedValue]))</f>
        <v>596</v>
      </c>
      <c r="P10" cm="1">
        <f t="array" ref="P10">MAX(IF((OutputTable[GroupByKey]=OutputTable[[#This Row],[GroupByKey]]),(OutputTable[GroupByKey]=OutputTable[[#This Row],[GroupByKey]])*OutputTable[RecordedValue]))</f>
        <v>763</v>
      </c>
    </row>
    <row r="11" spans="1:16" x14ac:dyDescent="0.4">
      <c r="A11" t="s">
        <v>67</v>
      </c>
      <c r="B11" t="s">
        <v>69</v>
      </c>
      <c r="C11">
        <v>4</v>
      </c>
      <c r="D11" t="s">
        <v>90</v>
      </c>
      <c r="E11" t="s">
        <v>91</v>
      </c>
      <c r="F11" t="s">
        <v>92</v>
      </c>
      <c r="G11">
        <v>644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680.04</v>
      </c>
      <c r="L11" cm="1">
        <f t="array" ref="L11">IFERROR(_xlfn.STDEV.S(IF((OutputTable[GroupByKey]=OutputTable[[#This Row],[GroupByKey]]),(OutputTable[GroupByKey]=OutputTable[[#This Row],[GroupByKey]])*OutputTable[RecordedValue])),0)</f>
        <v>41.228561528560341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" cm="1">
        <f t="array" ref="O11">MIN(IF((OutputTable[GroupByKey]=OutputTable[[#This Row],[GroupByKey]]),(OutputTable[GroupByKey]=OutputTable[[#This Row],[GroupByKey]])*OutputTable[RecordedValue]))</f>
        <v>596</v>
      </c>
      <c r="P11" cm="1">
        <f t="array" ref="P11">MAX(IF((OutputTable[GroupByKey]=OutputTable[[#This Row],[GroupByKey]]),(OutputTable[GroupByKey]=OutputTable[[#This Row],[GroupByKey]])*OutputTable[RecordedValue]))</f>
        <v>763</v>
      </c>
    </row>
    <row r="12" spans="1:16" x14ac:dyDescent="0.4">
      <c r="A12" t="s">
        <v>67</v>
      </c>
      <c r="B12" t="s">
        <v>69</v>
      </c>
      <c r="C12">
        <v>4</v>
      </c>
      <c r="D12" t="s">
        <v>93</v>
      </c>
      <c r="E12" t="s">
        <v>94</v>
      </c>
      <c r="F12" t="s">
        <v>82</v>
      </c>
      <c r="G12">
        <v>755</v>
      </c>
      <c r="H12">
        <v>0</v>
      </c>
      <c r="I12" t="str">
        <f>OutputTable[[#This Row],[ProjectName]]&amp;OutputTable[[#This Row],[Name]]&amp;OutputTable[[#This Row],[Type]]&amp;OutputTable[[#This Row],[Source]]</f>
        <v>Unnamed ProjectTourist.NumberInNumber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783.7</v>
      </c>
      <c r="L12" cm="1">
        <f t="array" ref="L12">IFERROR(_xlfn.STDEV.S(IF((OutputTable[GroupByKey]=OutputTable[[#This Row],[GroupByKey]]),(OutputTable[GroupByKey]=OutputTable[[#This Row],[GroupByKey]])*OutputTable[RecordedValue])),0)</f>
        <v>30.785797149374726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2" cm="1">
        <f t="array" ref="O12">MIN(IF((OutputTable[GroupByKey]=OutputTable[[#This Row],[GroupByKey]]),(OutputTable[GroupByKey]=OutputTable[[#This Row],[GroupByKey]])*OutputTable[RecordedValue]))</f>
        <v>715</v>
      </c>
      <c r="P12" cm="1">
        <f t="array" ref="P12">MAX(IF((OutputTable[GroupByKey]=OutputTable[[#This Row],[GroupByKey]]),(OutputTable[GroupByKey]=OutputTable[[#This Row],[GroupByKey]])*OutputTable[RecordedValue]))</f>
        <v>841</v>
      </c>
    </row>
    <row r="13" spans="1:16" x14ac:dyDescent="0.4">
      <c r="A13" t="s">
        <v>67</v>
      </c>
      <c r="B13" t="s">
        <v>69</v>
      </c>
      <c r="C13">
        <v>4</v>
      </c>
      <c r="D13" t="s">
        <v>95</v>
      </c>
      <c r="E13" t="s">
        <v>91</v>
      </c>
      <c r="F13" t="s">
        <v>82</v>
      </c>
      <c r="G13">
        <v>644</v>
      </c>
      <c r="H13">
        <v>0</v>
      </c>
      <c r="I13" t="str">
        <f>OutputTable[[#This Row],[ProjectName]]&amp;OutputTable[[#This Row],[Name]]&amp;OutputTable[[#This Row],[Type]]&amp;OutputTable[[#This Row],[Source]]</f>
        <v>Unnamed ProjectTourist.NumberOutNumber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680.04</v>
      </c>
      <c r="L13" cm="1">
        <f t="array" ref="L13">IFERROR(_xlfn.STDEV.S(IF((OutputTable[GroupByKey]=OutputTable[[#This Row],[GroupByKey]]),(OutputTable[GroupByKey]=OutputTable[[#This Row],[GroupByKey]])*OutputTable[RecordedValue])),0)</f>
        <v>41.228561528560341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" cm="1">
        <f t="array" ref="O13">MIN(IF((OutputTable[GroupByKey]=OutputTable[[#This Row],[GroupByKey]]),(OutputTable[GroupByKey]=OutputTable[[#This Row],[GroupByKey]])*OutputTable[RecordedValue]))</f>
        <v>596</v>
      </c>
      <c r="P13" cm="1">
        <f t="array" ref="P13">MAX(IF((OutputTable[GroupByKey]=OutputTable[[#This Row],[GroupByKey]]),(OutputTable[GroupByKey]=OutputTable[[#This Row],[GroupByKey]])*OutputTable[RecordedValue]))</f>
        <v>763</v>
      </c>
    </row>
    <row r="14" spans="1:16" x14ac:dyDescent="0.4">
      <c r="A14" t="s">
        <v>67</v>
      </c>
      <c r="B14" t="s">
        <v>69</v>
      </c>
      <c r="C14">
        <v>5</v>
      </c>
      <c r="D14" t="s">
        <v>90</v>
      </c>
      <c r="E14" t="s">
        <v>91</v>
      </c>
      <c r="F14" t="s">
        <v>92</v>
      </c>
      <c r="G14">
        <v>691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680.04</v>
      </c>
      <c r="L14" cm="1">
        <f t="array" ref="L14">IFERROR(_xlfn.STDEV.S(IF((OutputTable[GroupByKey]=OutputTable[[#This Row],[GroupByKey]]),(OutputTable[GroupByKey]=OutputTable[[#This Row],[GroupByKey]])*OutputTable[RecordedValue])),0)</f>
        <v>41.228561528560341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" cm="1">
        <f t="array" ref="O14">MIN(IF((OutputTable[GroupByKey]=OutputTable[[#This Row],[GroupByKey]]),(OutputTable[GroupByKey]=OutputTable[[#This Row],[GroupByKey]])*OutputTable[RecordedValue]))</f>
        <v>596</v>
      </c>
      <c r="P14" cm="1">
        <f t="array" ref="P14">MAX(IF((OutputTable[GroupByKey]=OutputTable[[#This Row],[GroupByKey]]),(OutputTable[GroupByKey]=OutputTable[[#This Row],[GroupByKey]])*OutputTable[RecordedValue]))</f>
        <v>763</v>
      </c>
    </row>
    <row r="15" spans="1:16" x14ac:dyDescent="0.4">
      <c r="A15" t="s">
        <v>67</v>
      </c>
      <c r="B15" t="s">
        <v>69</v>
      </c>
      <c r="C15">
        <v>5</v>
      </c>
      <c r="D15" t="s">
        <v>93</v>
      </c>
      <c r="E15" t="s">
        <v>94</v>
      </c>
      <c r="F15" t="s">
        <v>82</v>
      </c>
      <c r="G15">
        <v>784</v>
      </c>
      <c r="H15">
        <v>0</v>
      </c>
      <c r="I15" t="str">
        <f>OutputTable[[#This Row],[ProjectName]]&amp;OutputTable[[#This Row],[Name]]&amp;OutputTable[[#This Row],[Type]]&amp;OutputTable[[#This Row],[Source]]</f>
        <v>Unnamed ProjectTourist.NumberInNumber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783.7</v>
      </c>
      <c r="L15" cm="1">
        <f t="array" ref="L15">IFERROR(_xlfn.STDEV.S(IF((OutputTable[GroupByKey]=OutputTable[[#This Row],[GroupByKey]]),(OutputTable[GroupByKey]=OutputTable[[#This Row],[GroupByKey]])*OutputTable[RecordedValue])),0)</f>
        <v>30.785797149374726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5" cm="1">
        <f t="array" ref="O15">MIN(IF((OutputTable[GroupByKey]=OutputTable[[#This Row],[GroupByKey]]),(OutputTable[GroupByKey]=OutputTable[[#This Row],[GroupByKey]])*OutputTable[RecordedValue]))</f>
        <v>715</v>
      </c>
      <c r="P15" cm="1">
        <f t="array" ref="P15">MAX(IF((OutputTable[GroupByKey]=OutputTable[[#This Row],[GroupByKey]]),(OutputTable[GroupByKey]=OutputTable[[#This Row],[GroupByKey]])*OutputTable[RecordedValue]))</f>
        <v>841</v>
      </c>
    </row>
    <row r="16" spans="1:16" x14ac:dyDescent="0.4">
      <c r="A16" t="s">
        <v>67</v>
      </c>
      <c r="B16" t="s">
        <v>69</v>
      </c>
      <c r="C16">
        <v>5</v>
      </c>
      <c r="D16" t="s">
        <v>95</v>
      </c>
      <c r="E16" t="s">
        <v>91</v>
      </c>
      <c r="F16" t="s">
        <v>82</v>
      </c>
      <c r="G16">
        <v>691</v>
      </c>
      <c r="H16">
        <v>0</v>
      </c>
      <c r="I16" t="str">
        <f>OutputTable[[#This Row],[ProjectName]]&amp;OutputTable[[#This Row],[Name]]&amp;OutputTable[[#This Row],[Type]]&amp;OutputTable[[#This Row],[Source]]</f>
        <v>Unnamed ProjectTourist.NumberOutNumber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680.04</v>
      </c>
      <c r="L16" cm="1">
        <f t="array" ref="L16">IFERROR(_xlfn.STDEV.S(IF((OutputTable[GroupByKey]=OutputTable[[#This Row],[GroupByKey]]),(OutputTable[GroupByKey]=OutputTable[[#This Row],[GroupByKey]])*OutputTable[RecordedValue])),0)</f>
        <v>41.228561528560341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6" cm="1">
        <f t="array" ref="O16">MIN(IF((OutputTable[GroupByKey]=OutputTable[[#This Row],[GroupByKey]]),(OutputTable[GroupByKey]=OutputTable[[#This Row],[GroupByKey]])*OutputTable[RecordedValue]))</f>
        <v>596</v>
      </c>
      <c r="P16" cm="1">
        <f t="array" ref="P16">MAX(IF((OutputTable[GroupByKey]=OutputTable[[#This Row],[GroupByKey]]),(OutputTable[GroupByKey]=OutputTable[[#This Row],[GroupByKey]])*OutputTable[RecordedValue]))</f>
        <v>763</v>
      </c>
    </row>
    <row r="17" spans="1:16" x14ac:dyDescent="0.4">
      <c r="A17" t="s">
        <v>67</v>
      </c>
      <c r="B17" t="s">
        <v>69</v>
      </c>
      <c r="C17">
        <v>6</v>
      </c>
      <c r="D17" t="s">
        <v>90</v>
      </c>
      <c r="E17" t="s">
        <v>91</v>
      </c>
      <c r="F17" t="s">
        <v>92</v>
      </c>
      <c r="G17">
        <v>758</v>
      </c>
      <c r="H17">
        <v>0</v>
      </c>
      <c r="I17" t="str">
        <f>OutputTable[[#This Row],[ProjectName]]&amp;OutputTable[[#This Row],[Name]]&amp;OutputTable[[#This Row],[Type]]&amp;OutputTable[[#This Row],[Source]]</f>
        <v>Unnamed ProjectSystem.NumberOutNumber OutSystem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680.04</v>
      </c>
      <c r="L17" cm="1">
        <f t="array" ref="L17">IFERROR(_xlfn.STDEV.S(IF((OutputTable[GroupByKey]=OutputTable[[#This Row],[GroupByKey]]),(OutputTable[GroupByKey]=OutputTable[[#This Row],[GroupByKey]])*OutputTable[RecordedValue])),0)</f>
        <v>41.228561528560341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7" cm="1">
        <f t="array" ref="O17">MIN(IF((OutputTable[GroupByKey]=OutputTable[[#This Row],[GroupByKey]]),(OutputTable[GroupByKey]=OutputTable[[#This Row],[GroupByKey]])*OutputTable[RecordedValue]))</f>
        <v>596</v>
      </c>
      <c r="P17" cm="1">
        <f t="array" ref="P17">MAX(IF((OutputTable[GroupByKey]=OutputTable[[#This Row],[GroupByKey]]),(OutputTable[GroupByKey]=OutputTable[[#This Row],[GroupByKey]])*OutputTable[RecordedValue]))</f>
        <v>763</v>
      </c>
    </row>
    <row r="18" spans="1:16" x14ac:dyDescent="0.4">
      <c r="A18" t="s">
        <v>67</v>
      </c>
      <c r="B18" t="s">
        <v>69</v>
      </c>
      <c r="C18">
        <v>6</v>
      </c>
      <c r="D18" t="s">
        <v>93</v>
      </c>
      <c r="E18" t="s">
        <v>94</v>
      </c>
      <c r="F18" t="s">
        <v>82</v>
      </c>
      <c r="G18">
        <v>835</v>
      </c>
      <c r="H18">
        <v>0</v>
      </c>
      <c r="I18" t="str">
        <f>OutputTable[[#This Row],[ProjectName]]&amp;OutputTable[[#This Row],[Name]]&amp;OutputTable[[#This Row],[Type]]&amp;OutputTable[[#This Row],[Source]]</f>
        <v>Unnamed ProjectTourist.NumberInNumber InEntity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783.7</v>
      </c>
      <c r="L18" cm="1">
        <f t="array" ref="L18">IFERROR(_xlfn.STDEV.S(IF((OutputTable[GroupByKey]=OutputTable[[#This Row],[GroupByKey]]),(OutputTable[GroupByKey]=OutputTable[[#This Row],[GroupByKey]])*OutputTable[RecordedValue])),0)</f>
        <v>30.785797149374726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8" cm="1">
        <f t="array" ref="O18">MIN(IF((OutputTable[GroupByKey]=OutputTable[[#This Row],[GroupByKey]]),(OutputTable[GroupByKey]=OutputTable[[#This Row],[GroupByKey]])*OutputTable[RecordedValue]))</f>
        <v>715</v>
      </c>
      <c r="P18" cm="1">
        <f t="array" ref="P18">MAX(IF((OutputTable[GroupByKey]=OutputTable[[#This Row],[GroupByKey]]),(OutputTable[GroupByKey]=OutputTable[[#This Row],[GroupByKey]])*OutputTable[RecordedValue]))</f>
        <v>841</v>
      </c>
    </row>
    <row r="19" spans="1:16" x14ac:dyDescent="0.4">
      <c r="A19" t="s">
        <v>67</v>
      </c>
      <c r="B19" t="s">
        <v>69</v>
      </c>
      <c r="C19">
        <v>6</v>
      </c>
      <c r="D19" t="s">
        <v>95</v>
      </c>
      <c r="E19" t="s">
        <v>91</v>
      </c>
      <c r="F19" t="s">
        <v>82</v>
      </c>
      <c r="G19">
        <v>758</v>
      </c>
      <c r="H19">
        <v>0</v>
      </c>
      <c r="I19" t="str">
        <f>OutputTable[[#This Row],[ProjectName]]&amp;OutputTable[[#This Row],[Name]]&amp;OutputTable[[#This Row],[Type]]&amp;OutputTable[[#This Row],[Source]]</f>
        <v>Unnamed ProjectTourist.NumberOutNumber OutEntity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680.04</v>
      </c>
      <c r="L19" cm="1">
        <f t="array" ref="L19">IFERROR(_xlfn.STDEV.S(IF((OutputTable[GroupByKey]=OutputTable[[#This Row],[GroupByKey]]),(OutputTable[GroupByKey]=OutputTable[[#This Row],[GroupByKey]])*OutputTable[RecordedValue])),0)</f>
        <v>41.228561528560341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9" cm="1">
        <f t="array" ref="O19">MIN(IF((OutputTable[GroupByKey]=OutputTable[[#This Row],[GroupByKey]]),(OutputTable[GroupByKey]=OutputTable[[#This Row],[GroupByKey]])*OutputTable[RecordedValue]))</f>
        <v>596</v>
      </c>
      <c r="P19" cm="1">
        <f t="array" ref="P19">MAX(IF((OutputTable[GroupByKey]=OutputTable[[#This Row],[GroupByKey]]),(OutputTable[GroupByKey]=OutputTable[[#This Row],[GroupByKey]])*OutputTable[RecordedValue]))</f>
        <v>763</v>
      </c>
    </row>
    <row r="20" spans="1:16" x14ac:dyDescent="0.4">
      <c r="A20" t="s">
        <v>67</v>
      </c>
      <c r="B20" t="s">
        <v>69</v>
      </c>
      <c r="C20">
        <v>7</v>
      </c>
      <c r="D20" t="s">
        <v>90</v>
      </c>
      <c r="E20" t="s">
        <v>91</v>
      </c>
      <c r="F20" t="s">
        <v>92</v>
      </c>
      <c r="G20">
        <v>646</v>
      </c>
      <c r="H20">
        <v>0</v>
      </c>
      <c r="I20" t="str">
        <f>OutputTable[[#This Row],[ProjectName]]&amp;OutputTable[[#This Row],[Name]]&amp;OutputTable[[#This Row],[Type]]&amp;OutputTable[[#This Row],[Source]]</f>
        <v>Unnamed ProjectSystem.NumberOutNumber OutSystem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680.04</v>
      </c>
      <c r="L20" cm="1">
        <f t="array" ref="L20">IFERROR(_xlfn.STDEV.S(IF((OutputTable[GroupByKey]=OutputTable[[#This Row],[GroupByKey]]),(OutputTable[GroupByKey]=OutputTable[[#This Row],[GroupByKey]])*OutputTable[RecordedValue])),0)</f>
        <v>41.228561528560341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0" cm="1">
        <f t="array" ref="O20">MIN(IF((OutputTable[GroupByKey]=OutputTable[[#This Row],[GroupByKey]]),(OutputTable[GroupByKey]=OutputTable[[#This Row],[GroupByKey]])*OutputTable[RecordedValue]))</f>
        <v>596</v>
      </c>
      <c r="P20" cm="1">
        <f t="array" ref="P20">MAX(IF((OutputTable[GroupByKey]=OutputTable[[#This Row],[GroupByKey]]),(OutputTable[GroupByKey]=OutputTable[[#This Row],[GroupByKey]])*OutputTable[RecordedValue]))</f>
        <v>763</v>
      </c>
    </row>
    <row r="21" spans="1:16" x14ac:dyDescent="0.4">
      <c r="A21" t="s">
        <v>67</v>
      </c>
      <c r="B21" t="s">
        <v>69</v>
      </c>
      <c r="C21">
        <v>7</v>
      </c>
      <c r="D21" t="s">
        <v>93</v>
      </c>
      <c r="E21" t="s">
        <v>94</v>
      </c>
      <c r="F21" t="s">
        <v>82</v>
      </c>
      <c r="G21">
        <v>785</v>
      </c>
      <c r="H21">
        <v>0</v>
      </c>
      <c r="I21" t="str">
        <f>OutputTable[[#This Row],[ProjectName]]&amp;OutputTable[[#This Row],[Name]]&amp;OutputTable[[#This Row],[Type]]&amp;OutputTable[[#This Row],[Source]]</f>
        <v>Unnamed ProjectTourist.NumberInNumber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783.7</v>
      </c>
      <c r="L21" cm="1">
        <f t="array" ref="L21">IFERROR(_xlfn.STDEV.S(IF((OutputTable[GroupByKey]=OutputTable[[#This Row],[GroupByKey]]),(OutputTable[GroupByKey]=OutputTable[[#This Row],[GroupByKey]])*OutputTable[RecordedValue])),0)</f>
        <v>30.785797149374726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21" cm="1">
        <f t="array" ref="O21">MIN(IF((OutputTable[GroupByKey]=OutputTable[[#This Row],[GroupByKey]]),(OutputTable[GroupByKey]=OutputTable[[#This Row],[GroupByKey]])*OutputTable[RecordedValue]))</f>
        <v>715</v>
      </c>
      <c r="P21" cm="1">
        <f t="array" ref="P21">MAX(IF((OutputTable[GroupByKey]=OutputTable[[#This Row],[GroupByKey]]),(OutputTable[GroupByKey]=OutputTable[[#This Row],[GroupByKey]])*OutputTable[RecordedValue]))</f>
        <v>841</v>
      </c>
    </row>
    <row r="22" spans="1:16" x14ac:dyDescent="0.4">
      <c r="A22" t="s">
        <v>67</v>
      </c>
      <c r="B22" t="s">
        <v>69</v>
      </c>
      <c r="C22">
        <v>7</v>
      </c>
      <c r="D22" t="s">
        <v>95</v>
      </c>
      <c r="E22" t="s">
        <v>91</v>
      </c>
      <c r="F22" t="s">
        <v>82</v>
      </c>
      <c r="G22">
        <v>646</v>
      </c>
      <c r="H22">
        <v>0</v>
      </c>
      <c r="I22" t="str">
        <f>OutputTable[[#This Row],[ProjectName]]&amp;OutputTable[[#This Row],[Name]]&amp;OutputTable[[#This Row],[Type]]&amp;OutputTable[[#This Row],[Source]]</f>
        <v>Unnamed ProjectTourist.NumberOutNumber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680.04</v>
      </c>
      <c r="L22" cm="1">
        <f t="array" ref="L22">IFERROR(_xlfn.STDEV.S(IF((OutputTable[GroupByKey]=OutputTable[[#This Row],[GroupByKey]]),(OutputTable[GroupByKey]=OutputTable[[#This Row],[GroupByKey]])*OutputTable[RecordedValue])),0)</f>
        <v>41.228561528560341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2" cm="1">
        <f t="array" ref="O22">MIN(IF((OutputTable[GroupByKey]=OutputTable[[#This Row],[GroupByKey]]),(OutputTable[GroupByKey]=OutputTable[[#This Row],[GroupByKey]])*OutputTable[RecordedValue]))</f>
        <v>596</v>
      </c>
      <c r="P22" cm="1">
        <f t="array" ref="P22">MAX(IF((OutputTable[GroupByKey]=OutputTable[[#This Row],[GroupByKey]]),(OutputTable[GroupByKey]=OutputTable[[#This Row],[GroupByKey]])*OutputTable[RecordedValue]))</f>
        <v>763</v>
      </c>
    </row>
    <row r="23" spans="1:16" x14ac:dyDescent="0.4">
      <c r="A23" t="s">
        <v>67</v>
      </c>
      <c r="B23" t="s">
        <v>69</v>
      </c>
      <c r="C23">
        <v>8</v>
      </c>
      <c r="D23" t="s">
        <v>90</v>
      </c>
      <c r="E23" t="s">
        <v>91</v>
      </c>
      <c r="F23" t="s">
        <v>92</v>
      </c>
      <c r="G23">
        <v>604</v>
      </c>
      <c r="H23">
        <v>0</v>
      </c>
      <c r="I23" t="str">
        <f>OutputTable[[#This Row],[ProjectName]]&amp;OutputTable[[#This Row],[Name]]&amp;OutputTable[[#This Row],[Type]]&amp;OutputTable[[#This Row],[Source]]</f>
        <v>Unnamed ProjectSystem.NumberOutNumber OutSystem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680.04</v>
      </c>
      <c r="L23" cm="1">
        <f t="array" ref="L23">IFERROR(_xlfn.STDEV.S(IF((OutputTable[GroupByKey]=OutputTable[[#This Row],[GroupByKey]]),(OutputTable[GroupByKey]=OutputTable[[#This Row],[GroupByKey]])*OutputTable[RecordedValue])),0)</f>
        <v>41.228561528560341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3" cm="1">
        <f t="array" ref="O23">MIN(IF((OutputTable[GroupByKey]=OutputTable[[#This Row],[GroupByKey]]),(OutputTable[GroupByKey]=OutputTable[[#This Row],[GroupByKey]])*OutputTable[RecordedValue]))</f>
        <v>596</v>
      </c>
      <c r="P23" cm="1">
        <f t="array" ref="P23">MAX(IF((OutputTable[GroupByKey]=OutputTable[[#This Row],[GroupByKey]]),(OutputTable[GroupByKey]=OutputTable[[#This Row],[GroupByKey]])*OutputTable[RecordedValue]))</f>
        <v>763</v>
      </c>
    </row>
    <row r="24" spans="1:16" x14ac:dyDescent="0.4">
      <c r="A24" t="s">
        <v>67</v>
      </c>
      <c r="B24" t="s">
        <v>69</v>
      </c>
      <c r="C24">
        <v>8</v>
      </c>
      <c r="D24" t="s">
        <v>93</v>
      </c>
      <c r="E24" t="s">
        <v>94</v>
      </c>
      <c r="F24" t="s">
        <v>82</v>
      </c>
      <c r="G24">
        <v>715</v>
      </c>
      <c r="H24">
        <v>0</v>
      </c>
      <c r="I24" t="str">
        <f>OutputTable[[#This Row],[ProjectName]]&amp;OutputTable[[#This Row],[Name]]&amp;OutputTable[[#This Row],[Type]]&amp;OutputTable[[#This Row],[Source]]</f>
        <v>Unnamed ProjectTourist.NumberInNumber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783.7</v>
      </c>
      <c r="L24" cm="1">
        <f t="array" ref="L24">IFERROR(_xlfn.STDEV.S(IF((OutputTable[GroupByKey]=OutputTable[[#This Row],[GroupByKey]]),(OutputTable[GroupByKey]=OutputTable[[#This Row],[GroupByKey]])*OutputTable[RecordedValue])),0)</f>
        <v>30.785797149374726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24" cm="1">
        <f t="array" ref="O24">MIN(IF((OutputTable[GroupByKey]=OutputTable[[#This Row],[GroupByKey]]),(OutputTable[GroupByKey]=OutputTable[[#This Row],[GroupByKey]])*OutputTable[RecordedValue]))</f>
        <v>715</v>
      </c>
      <c r="P24" cm="1">
        <f t="array" ref="P24">MAX(IF((OutputTable[GroupByKey]=OutputTable[[#This Row],[GroupByKey]]),(OutputTable[GroupByKey]=OutputTable[[#This Row],[GroupByKey]])*OutputTable[RecordedValue]))</f>
        <v>841</v>
      </c>
    </row>
    <row r="25" spans="1:16" x14ac:dyDescent="0.4">
      <c r="A25" t="s">
        <v>67</v>
      </c>
      <c r="B25" t="s">
        <v>69</v>
      </c>
      <c r="C25">
        <v>8</v>
      </c>
      <c r="D25" t="s">
        <v>95</v>
      </c>
      <c r="E25" t="s">
        <v>91</v>
      </c>
      <c r="F25" t="s">
        <v>82</v>
      </c>
      <c r="G25">
        <v>604</v>
      </c>
      <c r="H25">
        <v>0</v>
      </c>
      <c r="I25" t="str">
        <f>OutputTable[[#This Row],[ProjectName]]&amp;OutputTable[[#This Row],[Name]]&amp;OutputTable[[#This Row],[Type]]&amp;OutputTable[[#This Row],[Source]]</f>
        <v>Unnamed ProjectTourist.NumberOutNumber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680.04</v>
      </c>
      <c r="L25" cm="1">
        <f t="array" ref="L25">IFERROR(_xlfn.STDEV.S(IF((OutputTable[GroupByKey]=OutputTable[[#This Row],[GroupByKey]]),(OutputTable[GroupByKey]=OutputTable[[#This Row],[GroupByKey]])*OutputTable[RecordedValue])),0)</f>
        <v>41.228561528560341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5" cm="1">
        <f t="array" ref="O25">MIN(IF((OutputTable[GroupByKey]=OutputTable[[#This Row],[GroupByKey]]),(OutputTable[GroupByKey]=OutputTable[[#This Row],[GroupByKey]])*OutputTable[RecordedValue]))</f>
        <v>596</v>
      </c>
      <c r="P25" cm="1">
        <f t="array" ref="P25">MAX(IF((OutputTable[GroupByKey]=OutputTable[[#This Row],[GroupByKey]]),(OutputTable[GroupByKey]=OutputTable[[#This Row],[GroupByKey]])*OutputTable[RecordedValue]))</f>
        <v>763</v>
      </c>
    </row>
    <row r="26" spans="1:16" x14ac:dyDescent="0.4">
      <c r="A26" t="s">
        <v>67</v>
      </c>
      <c r="B26" t="s">
        <v>69</v>
      </c>
      <c r="C26">
        <v>9</v>
      </c>
      <c r="D26" t="s">
        <v>90</v>
      </c>
      <c r="E26" t="s">
        <v>91</v>
      </c>
      <c r="F26" t="s">
        <v>92</v>
      </c>
      <c r="G26">
        <v>690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680.04</v>
      </c>
      <c r="L26" cm="1">
        <f t="array" ref="L26">IFERROR(_xlfn.STDEV.S(IF((OutputTable[GroupByKey]=OutputTable[[#This Row],[GroupByKey]]),(OutputTable[GroupByKey]=OutputTable[[#This Row],[GroupByKey]])*OutputTable[RecordedValue])),0)</f>
        <v>41.228561528560341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6" cm="1">
        <f t="array" ref="O26">MIN(IF((OutputTable[GroupByKey]=OutputTable[[#This Row],[GroupByKey]]),(OutputTable[GroupByKey]=OutputTable[[#This Row],[GroupByKey]])*OutputTable[RecordedValue]))</f>
        <v>596</v>
      </c>
      <c r="P26" cm="1">
        <f t="array" ref="P26">MAX(IF((OutputTable[GroupByKey]=OutputTable[[#This Row],[GroupByKey]]),(OutputTable[GroupByKey]=OutputTable[[#This Row],[GroupByKey]])*OutputTable[RecordedValue]))</f>
        <v>763</v>
      </c>
    </row>
    <row r="27" spans="1:16" x14ac:dyDescent="0.4">
      <c r="A27" t="s">
        <v>67</v>
      </c>
      <c r="B27" t="s">
        <v>69</v>
      </c>
      <c r="C27">
        <v>9</v>
      </c>
      <c r="D27" t="s">
        <v>93</v>
      </c>
      <c r="E27" t="s">
        <v>94</v>
      </c>
      <c r="F27" t="s">
        <v>82</v>
      </c>
      <c r="G27">
        <v>838</v>
      </c>
      <c r="H27">
        <v>0</v>
      </c>
      <c r="I27" t="str">
        <f>OutputTable[[#This Row],[ProjectName]]&amp;OutputTable[[#This Row],[Name]]&amp;OutputTable[[#This Row],[Type]]&amp;OutputTable[[#This Row],[Source]]</f>
        <v>Unnamed ProjectTourist.NumberInNumber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783.7</v>
      </c>
      <c r="L27" cm="1">
        <f t="array" ref="L27">IFERROR(_xlfn.STDEV.S(IF((OutputTable[GroupByKey]=OutputTable[[#This Row],[GroupByKey]]),(OutputTable[GroupByKey]=OutputTable[[#This Row],[GroupByKey]])*OutputTable[RecordedValue])),0)</f>
        <v>30.785797149374726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27" cm="1">
        <f t="array" ref="O27">MIN(IF((OutputTable[GroupByKey]=OutputTable[[#This Row],[GroupByKey]]),(OutputTable[GroupByKey]=OutputTable[[#This Row],[GroupByKey]])*OutputTable[RecordedValue]))</f>
        <v>715</v>
      </c>
      <c r="P27" cm="1">
        <f t="array" ref="P27">MAX(IF((OutputTable[GroupByKey]=OutputTable[[#This Row],[GroupByKey]]),(OutputTable[GroupByKey]=OutputTable[[#This Row],[GroupByKey]])*OutputTable[RecordedValue]))</f>
        <v>841</v>
      </c>
    </row>
    <row r="28" spans="1:16" x14ac:dyDescent="0.4">
      <c r="A28" t="s">
        <v>67</v>
      </c>
      <c r="B28" t="s">
        <v>69</v>
      </c>
      <c r="C28">
        <v>9</v>
      </c>
      <c r="D28" t="s">
        <v>95</v>
      </c>
      <c r="E28" t="s">
        <v>91</v>
      </c>
      <c r="F28" t="s">
        <v>82</v>
      </c>
      <c r="G28">
        <v>690</v>
      </c>
      <c r="H28">
        <v>0</v>
      </c>
      <c r="I28" t="str">
        <f>OutputTable[[#This Row],[ProjectName]]&amp;OutputTable[[#This Row],[Name]]&amp;OutputTable[[#This Row],[Type]]&amp;OutputTable[[#This Row],[Source]]</f>
        <v>Unnamed ProjectTourist.NumberOutNumber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680.04</v>
      </c>
      <c r="L28" cm="1">
        <f t="array" ref="L28">IFERROR(_xlfn.STDEV.S(IF((OutputTable[GroupByKey]=OutputTable[[#This Row],[GroupByKey]]),(OutputTable[GroupByKey]=OutputTable[[#This Row],[GroupByKey]])*OutputTable[RecordedValue])),0)</f>
        <v>41.228561528560341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8" cm="1">
        <f t="array" ref="O28">MIN(IF((OutputTable[GroupByKey]=OutputTable[[#This Row],[GroupByKey]]),(OutputTable[GroupByKey]=OutputTable[[#This Row],[GroupByKey]])*OutputTable[RecordedValue]))</f>
        <v>596</v>
      </c>
      <c r="P28" cm="1">
        <f t="array" ref="P28">MAX(IF((OutputTable[GroupByKey]=OutputTable[[#This Row],[GroupByKey]]),(OutputTable[GroupByKey]=OutputTable[[#This Row],[GroupByKey]])*OutputTable[RecordedValue]))</f>
        <v>763</v>
      </c>
    </row>
    <row r="29" spans="1:16" x14ac:dyDescent="0.4">
      <c r="A29" t="s">
        <v>67</v>
      </c>
      <c r="B29" t="s">
        <v>69</v>
      </c>
      <c r="C29">
        <v>10</v>
      </c>
      <c r="D29" t="s">
        <v>90</v>
      </c>
      <c r="E29" t="s">
        <v>91</v>
      </c>
      <c r="F29" t="s">
        <v>92</v>
      </c>
      <c r="G29">
        <v>684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680.04</v>
      </c>
      <c r="L29" cm="1">
        <f t="array" ref="L29">IFERROR(_xlfn.STDEV.S(IF((OutputTable[GroupByKey]=OutputTable[[#This Row],[GroupByKey]]),(OutputTable[GroupByKey]=OutputTable[[#This Row],[GroupByKey]])*OutputTable[RecordedValue])),0)</f>
        <v>41.228561528560341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29" cm="1">
        <f t="array" ref="O29">MIN(IF((OutputTable[GroupByKey]=OutputTable[[#This Row],[GroupByKey]]),(OutputTable[GroupByKey]=OutputTable[[#This Row],[GroupByKey]])*OutputTable[RecordedValue]))</f>
        <v>596</v>
      </c>
      <c r="P29" cm="1">
        <f t="array" ref="P29">MAX(IF((OutputTable[GroupByKey]=OutputTable[[#This Row],[GroupByKey]]),(OutputTable[GroupByKey]=OutputTable[[#This Row],[GroupByKey]])*OutputTable[RecordedValue]))</f>
        <v>763</v>
      </c>
    </row>
    <row r="30" spans="1:16" x14ac:dyDescent="0.4">
      <c r="A30" t="s">
        <v>67</v>
      </c>
      <c r="B30" t="s">
        <v>69</v>
      </c>
      <c r="C30">
        <v>10</v>
      </c>
      <c r="D30" t="s">
        <v>93</v>
      </c>
      <c r="E30" t="s">
        <v>94</v>
      </c>
      <c r="F30" t="s">
        <v>82</v>
      </c>
      <c r="G30">
        <v>814</v>
      </c>
      <c r="H30">
        <v>0</v>
      </c>
      <c r="I30" t="str">
        <f>OutputTable[[#This Row],[ProjectName]]&amp;OutputTable[[#This Row],[Name]]&amp;OutputTable[[#This Row],[Type]]&amp;OutputTable[[#This Row],[Source]]</f>
        <v>Unnamed ProjectTourist.NumberInNumber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783.7</v>
      </c>
      <c r="L30" cm="1">
        <f t="array" ref="L30">IFERROR(_xlfn.STDEV.S(IF((OutputTable[GroupByKey]=OutputTable[[#This Row],[GroupByKey]]),(OutputTable[GroupByKey]=OutputTable[[#This Row],[GroupByKey]])*OutputTable[RecordedValue])),0)</f>
        <v>30.785797149374726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30" cm="1">
        <f t="array" ref="O30">MIN(IF((OutputTable[GroupByKey]=OutputTable[[#This Row],[GroupByKey]]),(OutputTable[GroupByKey]=OutputTable[[#This Row],[GroupByKey]])*OutputTable[RecordedValue]))</f>
        <v>715</v>
      </c>
      <c r="P30" cm="1">
        <f t="array" ref="P30">MAX(IF((OutputTable[GroupByKey]=OutputTable[[#This Row],[GroupByKey]]),(OutputTable[GroupByKey]=OutputTable[[#This Row],[GroupByKey]])*OutputTable[RecordedValue]))</f>
        <v>841</v>
      </c>
    </row>
    <row r="31" spans="1:16" x14ac:dyDescent="0.4">
      <c r="A31" t="s">
        <v>67</v>
      </c>
      <c r="B31" t="s">
        <v>69</v>
      </c>
      <c r="C31">
        <v>10</v>
      </c>
      <c r="D31" t="s">
        <v>95</v>
      </c>
      <c r="E31" t="s">
        <v>91</v>
      </c>
      <c r="F31" t="s">
        <v>82</v>
      </c>
      <c r="G31">
        <v>684</v>
      </c>
      <c r="H31">
        <v>0</v>
      </c>
      <c r="I31" t="str">
        <f>OutputTable[[#This Row],[ProjectName]]&amp;OutputTable[[#This Row],[Name]]&amp;OutputTable[[#This Row],[Type]]&amp;OutputTable[[#This Row],[Source]]</f>
        <v>Unnamed ProjectTourist.NumberOutNumber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680.04</v>
      </c>
      <c r="L31" cm="1">
        <f t="array" ref="L31">IFERROR(_xlfn.STDEV.S(IF((OutputTable[GroupByKey]=OutputTable[[#This Row],[GroupByKey]]),(OutputTable[GroupByKey]=OutputTable[[#This Row],[GroupByKey]])*OutputTable[RecordedValue])),0)</f>
        <v>41.228561528560341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31" cm="1">
        <f t="array" ref="O31">MIN(IF((OutputTable[GroupByKey]=OutputTable[[#This Row],[GroupByKey]]),(OutputTable[GroupByKey]=OutputTable[[#This Row],[GroupByKey]])*OutputTable[RecordedValue]))</f>
        <v>596</v>
      </c>
      <c r="P31" cm="1">
        <f t="array" ref="P31">MAX(IF((OutputTable[GroupByKey]=OutputTable[[#This Row],[GroupByKey]]),(OutputTable[GroupByKey]=OutputTable[[#This Row],[GroupByKey]])*OutputTable[RecordedValue]))</f>
        <v>763</v>
      </c>
    </row>
    <row r="32" spans="1:16" x14ac:dyDescent="0.4">
      <c r="A32" t="s">
        <v>67</v>
      </c>
      <c r="B32" t="s">
        <v>69</v>
      </c>
      <c r="C32">
        <v>11</v>
      </c>
      <c r="D32" t="s">
        <v>90</v>
      </c>
      <c r="E32" t="s">
        <v>91</v>
      </c>
      <c r="F32" t="s">
        <v>92</v>
      </c>
      <c r="G32">
        <v>711</v>
      </c>
      <c r="H32">
        <v>0</v>
      </c>
      <c r="I32" t="str">
        <f>OutputTable[[#This Row],[ProjectName]]&amp;OutputTable[[#This Row],[Name]]&amp;OutputTable[[#This Row],[Type]]&amp;OutputTable[[#This Row],[Source]]</f>
        <v>Unnamed ProjectSystem.NumberOutNumber OutSystem</v>
      </c>
      <c r="J32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cm="1">
        <f t="array" ref="K32">IFERROR(AVERAGE(IF((OutputTable[GroupByKey]=OutputTable[[#This Row],[GroupByKey]]),(OutputTable[GroupByKey]=OutputTable[[#This Row],[GroupByKey]])*OutputTable[RecordedValue])),0)</f>
        <v>680.04</v>
      </c>
      <c r="L32" cm="1">
        <f t="array" ref="L32">IFERROR(_xlfn.STDEV.S(IF((OutputTable[GroupByKey]=OutputTable[[#This Row],[GroupByKey]]),(OutputTable[GroupByKey]=OutputTable[[#This Row],[GroupByKey]])*OutputTable[RecordedValue])),0)</f>
        <v>41.228561528560341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32" cm="1">
        <f t="array" ref="O32">MIN(IF((OutputTable[GroupByKey]=OutputTable[[#This Row],[GroupByKey]]),(OutputTable[GroupByKey]=OutputTable[[#This Row],[GroupByKey]])*OutputTable[RecordedValue]))</f>
        <v>596</v>
      </c>
      <c r="P32" cm="1">
        <f t="array" ref="P32">MAX(IF((OutputTable[GroupByKey]=OutputTable[[#This Row],[GroupByKey]]),(OutputTable[GroupByKey]=OutputTable[[#This Row],[GroupByKey]])*OutputTable[RecordedValue]))</f>
        <v>763</v>
      </c>
    </row>
    <row r="33" spans="1:16" x14ac:dyDescent="0.4">
      <c r="A33" t="s">
        <v>67</v>
      </c>
      <c r="B33" t="s">
        <v>69</v>
      </c>
      <c r="C33">
        <v>11</v>
      </c>
      <c r="D33" t="s">
        <v>93</v>
      </c>
      <c r="E33" t="s">
        <v>94</v>
      </c>
      <c r="F33" t="s">
        <v>82</v>
      </c>
      <c r="G33">
        <v>811</v>
      </c>
      <c r="H33">
        <v>0</v>
      </c>
      <c r="I33" t="str">
        <f>OutputTable[[#This Row],[ProjectName]]&amp;OutputTable[[#This Row],[Name]]&amp;OutputTable[[#This Row],[Type]]&amp;OutputTable[[#This Row],[Source]]</f>
        <v>Unnamed ProjectTourist.NumberInNumber InEntity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cm="1">
        <f t="array" ref="K33">IFERROR(AVERAGE(IF((OutputTable[GroupByKey]=OutputTable[[#This Row],[GroupByKey]]),(OutputTable[GroupByKey]=OutputTable[[#This Row],[GroupByKey]])*OutputTable[RecordedValue])),0)</f>
        <v>783.7</v>
      </c>
      <c r="L33" cm="1">
        <f t="array" ref="L33">IFERROR(_xlfn.STDEV.S(IF((OutputTable[GroupByKey]=OutputTable[[#This Row],[GroupByKey]]),(OutputTable[GroupByKey]=OutputTable[[#This Row],[GroupByKey]])*OutputTable[RecordedValue])),0)</f>
        <v>30.785797149374726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33" cm="1">
        <f t="array" ref="O33">MIN(IF((OutputTable[GroupByKey]=OutputTable[[#This Row],[GroupByKey]]),(OutputTable[GroupByKey]=OutputTable[[#This Row],[GroupByKey]])*OutputTable[RecordedValue]))</f>
        <v>715</v>
      </c>
      <c r="P33" cm="1">
        <f t="array" ref="P33">MAX(IF((OutputTable[GroupByKey]=OutputTable[[#This Row],[GroupByKey]]),(OutputTable[GroupByKey]=OutputTable[[#This Row],[GroupByKey]])*OutputTable[RecordedValue]))</f>
        <v>841</v>
      </c>
    </row>
    <row r="34" spans="1:16" x14ac:dyDescent="0.4">
      <c r="A34" t="s">
        <v>67</v>
      </c>
      <c r="B34" t="s">
        <v>69</v>
      </c>
      <c r="C34">
        <v>11</v>
      </c>
      <c r="D34" t="s">
        <v>95</v>
      </c>
      <c r="E34" t="s">
        <v>91</v>
      </c>
      <c r="F34" t="s">
        <v>82</v>
      </c>
      <c r="G34">
        <v>711</v>
      </c>
      <c r="H34">
        <v>0</v>
      </c>
      <c r="I34" t="str">
        <f>OutputTable[[#This Row],[ProjectName]]&amp;OutputTable[[#This Row],[Name]]&amp;OutputTable[[#This Row],[Type]]&amp;OutputTable[[#This Row],[Source]]</f>
        <v>Unnamed ProjectTourist.NumberOutNumber OutEntity</v>
      </c>
      <c r="J34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cm="1">
        <f t="array" ref="K34">IFERROR(AVERAGE(IF((OutputTable[GroupByKey]=OutputTable[[#This Row],[GroupByKey]]),(OutputTable[GroupByKey]=OutputTable[[#This Row],[GroupByKey]])*OutputTable[RecordedValue])),0)</f>
        <v>680.04</v>
      </c>
      <c r="L34" cm="1">
        <f t="array" ref="L34">IFERROR(_xlfn.STDEV.S(IF((OutputTable[GroupByKey]=OutputTable[[#This Row],[GroupByKey]]),(OutputTable[GroupByKey]=OutputTable[[#This Row],[GroupByKey]])*OutputTable[RecordedValue])),0)</f>
        <v>41.228561528560341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34" cm="1">
        <f t="array" ref="O34">MIN(IF((OutputTable[GroupByKey]=OutputTable[[#This Row],[GroupByKey]]),(OutputTable[GroupByKey]=OutputTable[[#This Row],[GroupByKey]])*OutputTable[RecordedValue]))</f>
        <v>596</v>
      </c>
      <c r="P34" cm="1">
        <f t="array" ref="P34">MAX(IF((OutputTable[GroupByKey]=OutputTable[[#This Row],[GroupByKey]]),(OutputTable[GroupByKey]=OutputTable[[#This Row],[GroupByKey]])*OutputTable[RecordedValue]))</f>
        <v>763</v>
      </c>
    </row>
    <row r="35" spans="1:16" x14ac:dyDescent="0.4">
      <c r="A35" t="s">
        <v>67</v>
      </c>
      <c r="B35" t="s">
        <v>69</v>
      </c>
      <c r="C35">
        <v>12</v>
      </c>
      <c r="D35" t="s">
        <v>90</v>
      </c>
      <c r="E35" t="s">
        <v>91</v>
      </c>
      <c r="F35" t="s">
        <v>92</v>
      </c>
      <c r="G35">
        <v>630</v>
      </c>
      <c r="H35">
        <v>0</v>
      </c>
      <c r="I35" t="str">
        <f>OutputTable[[#This Row],[ProjectName]]&amp;OutputTable[[#This Row],[Name]]&amp;OutputTable[[#This Row],[Type]]&amp;OutputTable[[#This Row],[Source]]</f>
        <v>Unnamed ProjectSystem.NumberOutNumber OutSystem</v>
      </c>
      <c r="J3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cm="1">
        <f t="array" ref="K35">IFERROR(AVERAGE(IF((OutputTable[GroupByKey]=OutputTable[[#This Row],[GroupByKey]]),(OutputTable[GroupByKey]=OutputTable[[#This Row],[GroupByKey]])*OutputTable[RecordedValue])),0)</f>
        <v>680.04</v>
      </c>
      <c r="L35" cm="1">
        <f t="array" ref="L35">IFERROR(_xlfn.STDEV.S(IF((OutputTable[GroupByKey]=OutputTable[[#This Row],[GroupByKey]]),(OutputTable[GroupByKey]=OutputTable[[#This Row],[GroupByKey]])*OutputTable[RecordedValue])),0)</f>
        <v>41.228561528560341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35" cm="1">
        <f t="array" ref="O35">MIN(IF((OutputTable[GroupByKey]=OutputTable[[#This Row],[GroupByKey]]),(OutputTable[GroupByKey]=OutputTable[[#This Row],[GroupByKey]])*OutputTable[RecordedValue]))</f>
        <v>596</v>
      </c>
      <c r="P35" cm="1">
        <f t="array" ref="P35">MAX(IF((OutputTable[GroupByKey]=OutputTable[[#This Row],[GroupByKey]]),(OutputTable[GroupByKey]=OutputTable[[#This Row],[GroupByKey]])*OutputTable[RecordedValue]))</f>
        <v>763</v>
      </c>
    </row>
    <row r="36" spans="1:16" x14ac:dyDescent="0.4">
      <c r="A36" t="s">
        <v>67</v>
      </c>
      <c r="B36" t="s">
        <v>69</v>
      </c>
      <c r="C36">
        <v>12</v>
      </c>
      <c r="D36" t="s">
        <v>93</v>
      </c>
      <c r="E36" t="s">
        <v>94</v>
      </c>
      <c r="F36" t="s">
        <v>82</v>
      </c>
      <c r="G36">
        <v>782</v>
      </c>
      <c r="H36">
        <v>0</v>
      </c>
      <c r="I36" t="str">
        <f>OutputTable[[#This Row],[ProjectName]]&amp;OutputTable[[#This Row],[Name]]&amp;OutputTable[[#This Row],[Type]]&amp;OutputTable[[#This Row],[Source]]</f>
        <v>Unnamed ProjectTourist.NumberInNumber InEntity</v>
      </c>
      <c r="J36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cm="1">
        <f t="array" ref="K36">IFERROR(AVERAGE(IF((OutputTable[GroupByKey]=OutputTable[[#This Row],[GroupByKey]]),(OutputTable[GroupByKey]=OutputTable[[#This Row],[GroupByKey]])*OutputTable[RecordedValue])),0)</f>
        <v>783.7</v>
      </c>
      <c r="L36" cm="1">
        <f t="array" ref="L36">IFERROR(_xlfn.STDEV.S(IF((OutputTable[GroupByKey]=OutputTable[[#This Row],[GroupByKey]]),(OutputTable[GroupByKey]=OutputTable[[#This Row],[GroupByKey]])*OutputTable[RecordedValue])),0)</f>
        <v>30.785797149374726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36" cm="1">
        <f t="array" ref="O36">MIN(IF((OutputTable[GroupByKey]=OutputTable[[#This Row],[GroupByKey]]),(OutputTable[GroupByKey]=OutputTable[[#This Row],[GroupByKey]])*OutputTable[RecordedValue]))</f>
        <v>715</v>
      </c>
      <c r="P36" cm="1">
        <f t="array" ref="P36">MAX(IF((OutputTable[GroupByKey]=OutputTable[[#This Row],[GroupByKey]]),(OutputTable[GroupByKey]=OutputTable[[#This Row],[GroupByKey]])*OutputTable[RecordedValue]))</f>
        <v>841</v>
      </c>
    </row>
    <row r="37" spans="1:16" x14ac:dyDescent="0.4">
      <c r="A37" t="s">
        <v>67</v>
      </c>
      <c r="B37" t="s">
        <v>69</v>
      </c>
      <c r="C37">
        <v>12</v>
      </c>
      <c r="D37" t="s">
        <v>95</v>
      </c>
      <c r="E37" t="s">
        <v>91</v>
      </c>
      <c r="F37" t="s">
        <v>82</v>
      </c>
      <c r="G37">
        <v>630</v>
      </c>
      <c r="H37">
        <v>0</v>
      </c>
      <c r="I37" t="str">
        <f>OutputTable[[#This Row],[ProjectName]]&amp;OutputTable[[#This Row],[Name]]&amp;OutputTable[[#This Row],[Type]]&amp;OutputTable[[#This Row],[Source]]</f>
        <v>Unnamed ProjectTourist.NumberOutNumber OutEntity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cm="1">
        <f t="array" ref="K37">IFERROR(AVERAGE(IF((OutputTable[GroupByKey]=OutputTable[[#This Row],[GroupByKey]]),(OutputTable[GroupByKey]=OutputTable[[#This Row],[GroupByKey]])*OutputTable[RecordedValue])),0)</f>
        <v>680.04</v>
      </c>
      <c r="L37" cm="1">
        <f t="array" ref="L37">IFERROR(_xlfn.STDEV.S(IF((OutputTable[GroupByKey]=OutputTable[[#This Row],[GroupByKey]]),(OutputTable[GroupByKey]=OutputTable[[#This Row],[GroupByKey]])*OutputTable[RecordedValue])),0)</f>
        <v>41.228561528560341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37" cm="1">
        <f t="array" ref="O37">MIN(IF((OutputTable[GroupByKey]=OutputTable[[#This Row],[GroupByKey]]),(OutputTable[GroupByKey]=OutputTable[[#This Row],[GroupByKey]])*OutputTable[RecordedValue]))</f>
        <v>596</v>
      </c>
      <c r="P37" cm="1">
        <f t="array" ref="P37">MAX(IF((OutputTable[GroupByKey]=OutputTable[[#This Row],[GroupByKey]]),(OutputTable[GroupByKey]=OutputTable[[#This Row],[GroupByKey]])*OutputTable[RecordedValue]))</f>
        <v>763</v>
      </c>
    </row>
    <row r="38" spans="1:16" x14ac:dyDescent="0.4">
      <c r="A38" t="s">
        <v>67</v>
      </c>
      <c r="B38" t="s">
        <v>69</v>
      </c>
      <c r="C38">
        <v>13</v>
      </c>
      <c r="D38" t="s">
        <v>90</v>
      </c>
      <c r="E38" t="s">
        <v>91</v>
      </c>
      <c r="F38" t="s">
        <v>92</v>
      </c>
      <c r="G38">
        <v>692</v>
      </c>
      <c r="H38">
        <v>0</v>
      </c>
      <c r="I38" t="str">
        <f>OutputTable[[#This Row],[ProjectName]]&amp;OutputTable[[#This Row],[Name]]&amp;OutputTable[[#This Row],[Type]]&amp;OutputTable[[#This Row],[Source]]</f>
        <v>Unnamed ProjectSystem.NumberOutNumber OutSystem</v>
      </c>
      <c r="J38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cm="1">
        <f t="array" ref="K38">IFERROR(AVERAGE(IF((OutputTable[GroupByKey]=OutputTable[[#This Row],[GroupByKey]]),(OutputTable[GroupByKey]=OutputTable[[#This Row],[GroupByKey]])*OutputTable[RecordedValue])),0)</f>
        <v>680.04</v>
      </c>
      <c r="L38" cm="1">
        <f t="array" ref="L38">IFERROR(_xlfn.STDEV.S(IF((OutputTable[GroupByKey]=OutputTable[[#This Row],[GroupByKey]]),(OutputTable[GroupByKey]=OutputTable[[#This Row],[GroupByKey]])*OutputTable[RecordedValue])),0)</f>
        <v>41.228561528560341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38" cm="1">
        <f t="array" ref="O38">MIN(IF((OutputTable[GroupByKey]=OutputTable[[#This Row],[GroupByKey]]),(OutputTable[GroupByKey]=OutputTable[[#This Row],[GroupByKey]])*OutputTable[RecordedValue]))</f>
        <v>596</v>
      </c>
      <c r="P38" cm="1">
        <f t="array" ref="P38">MAX(IF((OutputTable[GroupByKey]=OutputTable[[#This Row],[GroupByKey]]),(OutputTable[GroupByKey]=OutputTable[[#This Row],[GroupByKey]])*OutputTable[RecordedValue]))</f>
        <v>763</v>
      </c>
    </row>
    <row r="39" spans="1:16" x14ac:dyDescent="0.4">
      <c r="A39" t="s">
        <v>67</v>
      </c>
      <c r="B39" t="s">
        <v>69</v>
      </c>
      <c r="C39">
        <v>13</v>
      </c>
      <c r="D39" t="s">
        <v>93</v>
      </c>
      <c r="E39" t="s">
        <v>94</v>
      </c>
      <c r="F39" t="s">
        <v>82</v>
      </c>
      <c r="G39">
        <v>798</v>
      </c>
      <c r="H39">
        <v>0</v>
      </c>
      <c r="I39" t="str">
        <f>OutputTable[[#This Row],[ProjectName]]&amp;OutputTable[[#This Row],[Name]]&amp;OutputTable[[#This Row],[Type]]&amp;OutputTable[[#This Row],[Source]]</f>
        <v>Unnamed ProjectTourist.NumberInNumber InEntity</v>
      </c>
      <c r="J39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cm="1">
        <f t="array" ref="K39">IFERROR(AVERAGE(IF((OutputTable[GroupByKey]=OutputTable[[#This Row],[GroupByKey]]),(OutputTable[GroupByKey]=OutputTable[[#This Row],[GroupByKey]])*OutputTable[RecordedValue])),0)</f>
        <v>783.7</v>
      </c>
      <c r="L39" cm="1">
        <f t="array" ref="L39">IFERROR(_xlfn.STDEV.S(IF((OutputTable[GroupByKey]=OutputTable[[#This Row],[GroupByKey]]),(OutputTable[GroupByKey]=OutputTable[[#This Row],[GroupByKey]])*OutputTable[RecordedValue])),0)</f>
        <v>30.785797149374726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39" cm="1">
        <f t="array" ref="O39">MIN(IF((OutputTable[GroupByKey]=OutputTable[[#This Row],[GroupByKey]]),(OutputTable[GroupByKey]=OutputTable[[#This Row],[GroupByKey]])*OutputTable[RecordedValue]))</f>
        <v>715</v>
      </c>
      <c r="P39" cm="1">
        <f t="array" ref="P39">MAX(IF((OutputTable[GroupByKey]=OutputTable[[#This Row],[GroupByKey]]),(OutputTable[GroupByKey]=OutputTable[[#This Row],[GroupByKey]])*OutputTable[RecordedValue]))</f>
        <v>841</v>
      </c>
    </row>
    <row r="40" spans="1:16" x14ac:dyDescent="0.4">
      <c r="A40" t="s">
        <v>67</v>
      </c>
      <c r="B40" t="s">
        <v>69</v>
      </c>
      <c r="C40">
        <v>13</v>
      </c>
      <c r="D40" t="s">
        <v>95</v>
      </c>
      <c r="E40" t="s">
        <v>91</v>
      </c>
      <c r="F40" t="s">
        <v>82</v>
      </c>
      <c r="G40">
        <v>692</v>
      </c>
      <c r="H40">
        <v>0</v>
      </c>
      <c r="I40" t="str">
        <f>OutputTable[[#This Row],[ProjectName]]&amp;OutputTable[[#This Row],[Name]]&amp;OutputTable[[#This Row],[Type]]&amp;OutputTable[[#This Row],[Source]]</f>
        <v>Unnamed ProjectTourist.NumberOutNumber OutEntity</v>
      </c>
      <c r="J40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cm="1">
        <f t="array" ref="K40">IFERROR(AVERAGE(IF((OutputTable[GroupByKey]=OutputTable[[#This Row],[GroupByKey]]),(OutputTable[GroupByKey]=OutputTable[[#This Row],[GroupByKey]])*OutputTable[RecordedValue])),0)</f>
        <v>680.04</v>
      </c>
      <c r="L40" cm="1">
        <f t="array" ref="L40">IFERROR(_xlfn.STDEV.S(IF((OutputTable[GroupByKey]=OutputTable[[#This Row],[GroupByKey]]),(OutputTable[GroupByKey]=OutputTable[[#This Row],[GroupByKey]])*OutputTable[RecordedValue])),0)</f>
        <v>41.228561528560341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0" cm="1">
        <f t="array" ref="O40">MIN(IF((OutputTable[GroupByKey]=OutputTable[[#This Row],[GroupByKey]]),(OutputTable[GroupByKey]=OutputTable[[#This Row],[GroupByKey]])*OutputTable[RecordedValue]))</f>
        <v>596</v>
      </c>
      <c r="P40" cm="1">
        <f t="array" ref="P40">MAX(IF((OutputTable[GroupByKey]=OutputTable[[#This Row],[GroupByKey]]),(OutputTable[GroupByKey]=OutputTable[[#This Row],[GroupByKey]])*OutputTable[RecordedValue]))</f>
        <v>763</v>
      </c>
    </row>
    <row r="41" spans="1:16" x14ac:dyDescent="0.4">
      <c r="A41" t="s">
        <v>67</v>
      </c>
      <c r="B41" t="s">
        <v>69</v>
      </c>
      <c r="C41">
        <v>14</v>
      </c>
      <c r="D41" t="s">
        <v>90</v>
      </c>
      <c r="E41" t="s">
        <v>91</v>
      </c>
      <c r="F41" t="s">
        <v>92</v>
      </c>
      <c r="G41">
        <v>657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cm="1">
        <f t="array" ref="K41">IFERROR(AVERAGE(IF((OutputTable[GroupByKey]=OutputTable[[#This Row],[GroupByKey]]),(OutputTable[GroupByKey]=OutputTable[[#This Row],[GroupByKey]])*OutputTable[RecordedValue])),0)</f>
        <v>680.04</v>
      </c>
      <c r="L41" cm="1">
        <f t="array" ref="L41">IFERROR(_xlfn.STDEV.S(IF((OutputTable[GroupByKey]=OutputTable[[#This Row],[GroupByKey]]),(OutputTable[GroupByKey]=OutputTable[[#This Row],[GroupByKey]])*OutputTable[RecordedValue])),0)</f>
        <v>41.228561528560341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1" cm="1">
        <f t="array" ref="O41">MIN(IF((OutputTable[GroupByKey]=OutputTable[[#This Row],[GroupByKey]]),(OutputTable[GroupByKey]=OutputTable[[#This Row],[GroupByKey]])*OutputTable[RecordedValue]))</f>
        <v>596</v>
      </c>
      <c r="P41" cm="1">
        <f t="array" ref="P41">MAX(IF((OutputTable[GroupByKey]=OutputTable[[#This Row],[GroupByKey]]),(OutputTable[GroupByKey]=OutputTable[[#This Row],[GroupByKey]])*OutputTable[RecordedValue]))</f>
        <v>763</v>
      </c>
    </row>
    <row r="42" spans="1:16" x14ac:dyDescent="0.4">
      <c r="A42" t="s">
        <v>67</v>
      </c>
      <c r="B42" t="s">
        <v>69</v>
      </c>
      <c r="C42">
        <v>14</v>
      </c>
      <c r="D42" t="s">
        <v>93</v>
      </c>
      <c r="E42" t="s">
        <v>94</v>
      </c>
      <c r="F42" t="s">
        <v>82</v>
      </c>
      <c r="G42">
        <v>745</v>
      </c>
      <c r="H42">
        <v>0</v>
      </c>
      <c r="I42" t="str">
        <f>OutputTable[[#This Row],[ProjectName]]&amp;OutputTable[[#This Row],[Name]]&amp;OutputTable[[#This Row],[Type]]&amp;OutputTable[[#This Row],[Source]]</f>
        <v>Unnamed ProjectTourist.NumberInNumber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cm="1">
        <f t="array" ref="K42">IFERROR(AVERAGE(IF((OutputTable[GroupByKey]=OutputTable[[#This Row],[GroupByKey]]),(OutputTable[GroupByKey]=OutputTable[[#This Row],[GroupByKey]])*OutputTable[RecordedValue])),0)</f>
        <v>783.7</v>
      </c>
      <c r="L42" cm="1">
        <f t="array" ref="L42">IFERROR(_xlfn.STDEV.S(IF((OutputTable[GroupByKey]=OutputTable[[#This Row],[GroupByKey]]),(OutputTable[GroupByKey]=OutputTable[[#This Row],[GroupByKey]])*OutputTable[RecordedValue])),0)</f>
        <v>30.785797149374726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42" cm="1">
        <f t="array" ref="O42">MIN(IF((OutputTable[GroupByKey]=OutputTable[[#This Row],[GroupByKey]]),(OutputTable[GroupByKey]=OutputTable[[#This Row],[GroupByKey]])*OutputTable[RecordedValue]))</f>
        <v>715</v>
      </c>
      <c r="P42" cm="1">
        <f t="array" ref="P42">MAX(IF((OutputTable[GroupByKey]=OutputTable[[#This Row],[GroupByKey]]),(OutputTable[GroupByKey]=OutputTable[[#This Row],[GroupByKey]])*OutputTable[RecordedValue]))</f>
        <v>841</v>
      </c>
    </row>
    <row r="43" spans="1:16" x14ac:dyDescent="0.4">
      <c r="A43" t="s">
        <v>67</v>
      </c>
      <c r="B43" t="s">
        <v>69</v>
      </c>
      <c r="C43">
        <v>14</v>
      </c>
      <c r="D43" t="s">
        <v>95</v>
      </c>
      <c r="E43" t="s">
        <v>91</v>
      </c>
      <c r="F43" t="s">
        <v>82</v>
      </c>
      <c r="G43">
        <v>657</v>
      </c>
      <c r="H43">
        <v>0</v>
      </c>
      <c r="I43" t="str">
        <f>OutputTable[[#This Row],[ProjectName]]&amp;OutputTable[[#This Row],[Name]]&amp;OutputTable[[#This Row],[Type]]&amp;OutputTable[[#This Row],[Source]]</f>
        <v>Unnamed ProjectTourist.NumberOutNumber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cm="1">
        <f t="array" ref="K43">IFERROR(AVERAGE(IF((OutputTable[GroupByKey]=OutputTable[[#This Row],[GroupByKey]]),(OutputTable[GroupByKey]=OutputTable[[#This Row],[GroupByKey]])*OutputTable[RecordedValue])),0)</f>
        <v>680.04</v>
      </c>
      <c r="L43" cm="1">
        <f t="array" ref="L43">IFERROR(_xlfn.STDEV.S(IF((OutputTable[GroupByKey]=OutputTable[[#This Row],[GroupByKey]]),(OutputTable[GroupByKey]=OutputTable[[#This Row],[GroupByKey]])*OutputTable[RecordedValue])),0)</f>
        <v>41.228561528560341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3" cm="1">
        <f t="array" ref="O43">MIN(IF((OutputTable[GroupByKey]=OutputTable[[#This Row],[GroupByKey]]),(OutputTable[GroupByKey]=OutputTable[[#This Row],[GroupByKey]])*OutputTable[RecordedValue]))</f>
        <v>596</v>
      </c>
      <c r="P43" cm="1">
        <f t="array" ref="P43">MAX(IF((OutputTable[GroupByKey]=OutputTable[[#This Row],[GroupByKey]]),(OutputTable[GroupByKey]=OutputTable[[#This Row],[GroupByKey]])*OutputTable[RecordedValue]))</f>
        <v>763</v>
      </c>
    </row>
    <row r="44" spans="1:16" x14ac:dyDescent="0.4">
      <c r="A44" t="s">
        <v>67</v>
      </c>
      <c r="B44" t="s">
        <v>69</v>
      </c>
      <c r="C44">
        <v>15</v>
      </c>
      <c r="D44" t="s">
        <v>90</v>
      </c>
      <c r="E44" t="s">
        <v>91</v>
      </c>
      <c r="F44" t="s">
        <v>92</v>
      </c>
      <c r="G44">
        <v>720</v>
      </c>
      <c r="H44">
        <v>0</v>
      </c>
      <c r="I44" t="str">
        <f>OutputTable[[#This Row],[ProjectName]]&amp;OutputTable[[#This Row],[Name]]&amp;OutputTable[[#This Row],[Type]]&amp;OutputTable[[#This Row],[Source]]</f>
        <v>Unnamed ProjectSystem.NumberOutNumber OutSystem</v>
      </c>
      <c r="J44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cm="1">
        <f t="array" ref="K44">IFERROR(AVERAGE(IF((OutputTable[GroupByKey]=OutputTable[[#This Row],[GroupByKey]]),(OutputTable[GroupByKey]=OutputTable[[#This Row],[GroupByKey]])*OutputTable[RecordedValue])),0)</f>
        <v>680.04</v>
      </c>
      <c r="L44" cm="1">
        <f t="array" ref="L44">IFERROR(_xlfn.STDEV.S(IF((OutputTable[GroupByKey]=OutputTable[[#This Row],[GroupByKey]]),(OutputTable[GroupByKey]=OutputTable[[#This Row],[GroupByKey]])*OutputTable[RecordedValue])),0)</f>
        <v>41.228561528560341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4" cm="1">
        <f t="array" ref="O44">MIN(IF((OutputTable[GroupByKey]=OutputTable[[#This Row],[GroupByKey]]),(OutputTable[GroupByKey]=OutputTable[[#This Row],[GroupByKey]])*OutputTable[RecordedValue]))</f>
        <v>596</v>
      </c>
      <c r="P44" cm="1">
        <f t="array" ref="P44">MAX(IF((OutputTable[GroupByKey]=OutputTable[[#This Row],[GroupByKey]]),(OutputTable[GroupByKey]=OutputTable[[#This Row],[GroupByKey]])*OutputTable[RecordedValue]))</f>
        <v>763</v>
      </c>
    </row>
    <row r="45" spans="1:16" x14ac:dyDescent="0.4">
      <c r="A45" t="s">
        <v>67</v>
      </c>
      <c r="B45" t="s">
        <v>69</v>
      </c>
      <c r="C45">
        <v>15</v>
      </c>
      <c r="D45" t="s">
        <v>93</v>
      </c>
      <c r="E45" t="s">
        <v>94</v>
      </c>
      <c r="F45" t="s">
        <v>82</v>
      </c>
      <c r="G45">
        <v>775</v>
      </c>
      <c r="H45">
        <v>0</v>
      </c>
      <c r="I45" t="str">
        <f>OutputTable[[#This Row],[ProjectName]]&amp;OutputTable[[#This Row],[Name]]&amp;OutputTable[[#This Row],[Type]]&amp;OutputTable[[#This Row],[Source]]</f>
        <v>Unnamed ProjectTourist.NumberInNumber InEntity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cm="1">
        <f t="array" ref="K45">IFERROR(AVERAGE(IF((OutputTable[GroupByKey]=OutputTable[[#This Row],[GroupByKey]]),(OutputTable[GroupByKey]=OutputTable[[#This Row],[GroupByKey]])*OutputTable[RecordedValue])),0)</f>
        <v>783.7</v>
      </c>
      <c r="L45" cm="1">
        <f t="array" ref="L45">IFERROR(_xlfn.STDEV.S(IF((OutputTable[GroupByKey]=OutputTable[[#This Row],[GroupByKey]]),(OutputTable[GroupByKey]=OutputTable[[#This Row],[GroupByKey]])*OutputTable[RecordedValue])),0)</f>
        <v>30.785797149374726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45" cm="1">
        <f t="array" ref="O45">MIN(IF((OutputTable[GroupByKey]=OutputTable[[#This Row],[GroupByKey]]),(OutputTable[GroupByKey]=OutputTable[[#This Row],[GroupByKey]])*OutputTable[RecordedValue]))</f>
        <v>715</v>
      </c>
      <c r="P45" cm="1">
        <f t="array" ref="P45">MAX(IF((OutputTable[GroupByKey]=OutputTable[[#This Row],[GroupByKey]]),(OutputTable[GroupByKey]=OutputTable[[#This Row],[GroupByKey]])*OutputTable[RecordedValue]))</f>
        <v>841</v>
      </c>
    </row>
    <row r="46" spans="1:16" x14ac:dyDescent="0.4">
      <c r="A46" t="s">
        <v>67</v>
      </c>
      <c r="B46" t="s">
        <v>69</v>
      </c>
      <c r="C46">
        <v>15</v>
      </c>
      <c r="D46" t="s">
        <v>95</v>
      </c>
      <c r="E46" t="s">
        <v>91</v>
      </c>
      <c r="F46" t="s">
        <v>82</v>
      </c>
      <c r="G46">
        <v>720</v>
      </c>
      <c r="H46">
        <v>0</v>
      </c>
      <c r="I46" t="str">
        <f>OutputTable[[#This Row],[ProjectName]]&amp;OutputTable[[#This Row],[Name]]&amp;OutputTable[[#This Row],[Type]]&amp;OutputTable[[#This Row],[Source]]</f>
        <v>Unnamed ProjectTourist.NumberOutNumber OutEntity</v>
      </c>
      <c r="J46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cm="1">
        <f t="array" ref="K46">IFERROR(AVERAGE(IF((OutputTable[GroupByKey]=OutputTable[[#This Row],[GroupByKey]]),(OutputTable[GroupByKey]=OutputTable[[#This Row],[GroupByKey]])*OutputTable[RecordedValue])),0)</f>
        <v>680.04</v>
      </c>
      <c r="L46" cm="1">
        <f t="array" ref="L46">IFERROR(_xlfn.STDEV.S(IF((OutputTable[GroupByKey]=OutputTable[[#This Row],[GroupByKey]]),(OutputTable[GroupByKey]=OutputTable[[#This Row],[GroupByKey]])*OutputTable[RecordedValue])),0)</f>
        <v>41.228561528560341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6" cm="1">
        <f t="array" ref="O46">MIN(IF((OutputTable[GroupByKey]=OutputTable[[#This Row],[GroupByKey]]),(OutputTable[GroupByKey]=OutputTable[[#This Row],[GroupByKey]])*OutputTable[RecordedValue]))</f>
        <v>596</v>
      </c>
      <c r="P46" cm="1">
        <f t="array" ref="P46">MAX(IF((OutputTable[GroupByKey]=OutputTable[[#This Row],[GroupByKey]]),(OutputTable[GroupByKey]=OutputTable[[#This Row],[GroupByKey]])*OutputTable[RecordedValue]))</f>
        <v>763</v>
      </c>
    </row>
    <row r="47" spans="1:16" x14ac:dyDescent="0.4">
      <c r="A47" t="s">
        <v>67</v>
      </c>
      <c r="B47" t="s">
        <v>69</v>
      </c>
      <c r="C47">
        <v>16</v>
      </c>
      <c r="D47" t="s">
        <v>90</v>
      </c>
      <c r="E47" t="s">
        <v>91</v>
      </c>
      <c r="F47" t="s">
        <v>92</v>
      </c>
      <c r="G47">
        <v>615</v>
      </c>
      <c r="H47">
        <v>0</v>
      </c>
      <c r="I47" t="str">
        <f>OutputTable[[#This Row],[ProjectName]]&amp;OutputTable[[#This Row],[Name]]&amp;OutputTable[[#This Row],[Type]]&amp;OutputTable[[#This Row],[Source]]</f>
        <v>Unnamed ProjectSystem.NumberOutNumber OutSystem</v>
      </c>
      <c r="J47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cm="1">
        <f t="array" ref="K47">IFERROR(AVERAGE(IF((OutputTable[GroupByKey]=OutputTable[[#This Row],[GroupByKey]]),(OutputTable[GroupByKey]=OutputTable[[#This Row],[GroupByKey]])*OutputTable[RecordedValue])),0)</f>
        <v>680.04</v>
      </c>
      <c r="L47" cm="1">
        <f t="array" ref="L47">IFERROR(_xlfn.STDEV.S(IF((OutputTable[GroupByKey]=OutputTable[[#This Row],[GroupByKey]]),(OutputTable[GroupByKey]=OutputTable[[#This Row],[GroupByKey]])*OutputTable[RecordedValue])),0)</f>
        <v>41.228561528560341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7" cm="1">
        <f t="array" ref="O47">MIN(IF((OutputTable[GroupByKey]=OutputTable[[#This Row],[GroupByKey]]),(OutputTable[GroupByKey]=OutputTable[[#This Row],[GroupByKey]])*OutputTable[RecordedValue]))</f>
        <v>596</v>
      </c>
      <c r="P47" cm="1">
        <f t="array" ref="P47">MAX(IF((OutputTable[GroupByKey]=OutputTable[[#This Row],[GroupByKey]]),(OutputTable[GroupByKey]=OutputTable[[#This Row],[GroupByKey]])*OutputTable[RecordedValue]))</f>
        <v>763</v>
      </c>
    </row>
    <row r="48" spans="1:16" x14ac:dyDescent="0.4">
      <c r="A48" t="s">
        <v>67</v>
      </c>
      <c r="B48" t="s">
        <v>69</v>
      </c>
      <c r="C48">
        <v>16</v>
      </c>
      <c r="D48" t="s">
        <v>93</v>
      </c>
      <c r="E48" t="s">
        <v>94</v>
      </c>
      <c r="F48" t="s">
        <v>82</v>
      </c>
      <c r="G48">
        <v>748</v>
      </c>
      <c r="H48">
        <v>0</v>
      </c>
      <c r="I48" t="str">
        <f>OutputTable[[#This Row],[ProjectName]]&amp;OutputTable[[#This Row],[Name]]&amp;OutputTable[[#This Row],[Type]]&amp;OutputTable[[#This Row],[Source]]</f>
        <v>Unnamed ProjectTourist.NumberInNumber InEntity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cm="1">
        <f t="array" ref="K48">IFERROR(AVERAGE(IF((OutputTable[GroupByKey]=OutputTable[[#This Row],[GroupByKey]]),(OutputTable[GroupByKey]=OutputTable[[#This Row],[GroupByKey]])*OutputTable[RecordedValue])),0)</f>
        <v>783.7</v>
      </c>
      <c r="L48" cm="1">
        <f t="array" ref="L48">IFERROR(_xlfn.STDEV.S(IF((OutputTable[GroupByKey]=OutputTable[[#This Row],[GroupByKey]]),(OutputTable[GroupByKey]=OutputTable[[#This Row],[GroupByKey]])*OutputTable[RecordedValue])),0)</f>
        <v>30.785797149374726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48" cm="1">
        <f t="array" ref="O48">MIN(IF((OutputTable[GroupByKey]=OutputTable[[#This Row],[GroupByKey]]),(OutputTable[GroupByKey]=OutputTable[[#This Row],[GroupByKey]])*OutputTable[RecordedValue]))</f>
        <v>715</v>
      </c>
      <c r="P48" cm="1">
        <f t="array" ref="P48">MAX(IF((OutputTable[GroupByKey]=OutputTable[[#This Row],[GroupByKey]]),(OutputTable[GroupByKey]=OutputTable[[#This Row],[GroupByKey]])*OutputTable[RecordedValue]))</f>
        <v>841</v>
      </c>
    </row>
    <row r="49" spans="1:16" x14ac:dyDescent="0.4">
      <c r="A49" t="s">
        <v>67</v>
      </c>
      <c r="B49" t="s">
        <v>69</v>
      </c>
      <c r="C49">
        <v>16</v>
      </c>
      <c r="D49" t="s">
        <v>95</v>
      </c>
      <c r="E49" t="s">
        <v>91</v>
      </c>
      <c r="F49" t="s">
        <v>82</v>
      </c>
      <c r="G49">
        <v>615</v>
      </c>
      <c r="H49">
        <v>0</v>
      </c>
      <c r="I49" t="str">
        <f>OutputTable[[#This Row],[ProjectName]]&amp;OutputTable[[#This Row],[Name]]&amp;OutputTable[[#This Row],[Type]]&amp;OutputTable[[#This Row],[Source]]</f>
        <v>Unnamed ProjectTourist.NumberOutNumber OutEntity</v>
      </c>
      <c r="J49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cm="1">
        <f t="array" ref="K49">IFERROR(AVERAGE(IF((OutputTable[GroupByKey]=OutputTable[[#This Row],[GroupByKey]]),(OutputTable[GroupByKey]=OutputTable[[#This Row],[GroupByKey]])*OutputTable[RecordedValue])),0)</f>
        <v>680.04</v>
      </c>
      <c r="L49" cm="1">
        <f t="array" ref="L49">IFERROR(_xlfn.STDEV.S(IF((OutputTable[GroupByKey]=OutputTable[[#This Row],[GroupByKey]]),(OutputTable[GroupByKey]=OutputTable[[#This Row],[GroupByKey]])*OutputTable[RecordedValue])),0)</f>
        <v>41.228561528560341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49" cm="1">
        <f t="array" ref="O49">MIN(IF((OutputTable[GroupByKey]=OutputTable[[#This Row],[GroupByKey]]),(OutputTable[GroupByKey]=OutputTable[[#This Row],[GroupByKey]])*OutputTable[RecordedValue]))</f>
        <v>596</v>
      </c>
      <c r="P49" cm="1">
        <f t="array" ref="P49">MAX(IF((OutputTable[GroupByKey]=OutputTable[[#This Row],[GroupByKey]]),(OutputTable[GroupByKey]=OutputTable[[#This Row],[GroupByKey]])*OutputTable[RecordedValue]))</f>
        <v>763</v>
      </c>
    </row>
    <row r="50" spans="1:16" x14ac:dyDescent="0.4">
      <c r="A50" t="s">
        <v>67</v>
      </c>
      <c r="B50" t="s">
        <v>69</v>
      </c>
      <c r="C50">
        <v>17</v>
      </c>
      <c r="D50" t="s">
        <v>90</v>
      </c>
      <c r="E50" t="s">
        <v>91</v>
      </c>
      <c r="F50" t="s">
        <v>92</v>
      </c>
      <c r="G50">
        <v>725</v>
      </c>
      <c r="H50">
        <v>0</v>
      </c>
      <c r="I50" t="str">
        <f>OutputTable[[#This Row],[ProjectName]]&amp;OutputTable[[#This Row],[Name]]&amp;OutputTable[[#This Row],[Type]]&amp;OutputTable[[#This Row],[Source]]</f>
        <v>Unnamed ProjectSystem.NumberOutNumber OutSystem</v>
      </c>
      <c r="J50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cm="1">
        <f t="array" ref="K50">IFERROR(AVERAGE(IF((OutputTable[GroupByKey]=OutputTable[[#This Row],[GroupByKey]]),(OutputTable[GroupByKey]=OutputTable[[#This Row],[GroupByKey]])*OutputTable[RecordedValue])),0)</f>
        <v>680.04</v>
      </c>
      <c r="L50" cm="1">
        <f t="array" ref="L50">IFERROR(_xlfn.STDEV.S(IF((OutputTable[GroupByKey]=OutputTable[[#This Row],[GroupByKey]]),(OutputTable[GroupByKey]=OutputTable[[#This Row],[GroupByKey]])*OutputTable[RecordedValue])),0)</f>
        <v>41.228561528560341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0" cm="1">
        <f t="array" ref="O50">MIN(IF((OutputTable[GroupByKey]=OutputTable[[#This Row],[GroupByKey]]),(OutputTable[GroupByKey]=OutputTable[[#This Row],[GroupByKey]])*OutputTable[RecordedValue]))</f>
        <v>596</v>
      </c>
      <c r="P50" cm="1">
        <f t="array" ref="P50">MAX(IF((OutputTable[GroupByKey]=OutputTable[[#This Row],[GroupByKey]]),(OutputTable[GroupByKey]=OutputTable[[#This Row],[GroupByKey]])*OutputTable[RecordedValue]))</f>
        <v>763</v>
      </c>
    </row>
    <row r="51" spans="1:16" x14ac:dyDescent="0.4">
      <c r="A51" t="s">
        <v>67</v>
      </c>
      <c r="B51" t="s">
        <v>69</v>
      </c>
      <c r="C51">
        <v>17</v>
      </c>
      <c r="D51" t="s">
        <v>93</v>
      </c>
      <c r="E51" t="s">
        <v>94</v>
      </c>
      <c r="F51" t="s">
        <v>82</v>
      </c>
      <c r="G51">
        <v>805</v>
      </c>
      <c r="H51">
        <v>0</v>
      </c>
      <c r="I51" t="str">
        <f>OutputTable[[#This Row],[ProjectName]]&amp;OutputTable[[#This Row],[Name]]&amp;OutputTable[[#This Row],[Type]]&amp;OutputTable[[#This Row],[Source]]</f>
        <v>Unnamed ProjectTourist.NumberInNumber InEntity</v>
      </c>
      <c r="J51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cm="1">
        <f t="array" ref="K51">IFERROR(AVERAGE(IF((OutputTable[GroupByKey]=OutputTable[[#This Row],[GroupByKey]]),(OutputTable[GroupByKey]=OutputTable[[#This Row],[GroupByKey]])*OutputTable[RecordedValue])),0)</f>
        <v>783.7</v>
      </c>
      <c r="L51" cm="1">
        <f t="array" ref="L51">IFERROR(_xlfn.STDEV.S(IF((OutputTable[GroupByKey]=OutputTable[[#This Row],[GroupByKey]]),(OutputTable[GroupByKey]=OutputTable[[#This Row],[GroupByKey]])*OutputTable[RecordedValue])),0)</f>
        <v>30.785797149374726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51" cm="1">
        <f t="array" ref="O51">MIN(IF((OutputTable[GroupByKey]=OutputTable[[#This Row],[GroupByKey]]),(OutputTable[GroupByKey]=OutputTable[[#This Row],[GroupByKey]])*OutputTable[RecordedValue]))</f>
        <v>715</v>
      </c>
      <c r="P51" cm="1">
        <f t="array" ref="P51">MAX(IF((OutputTable[GroupByKey]=OutputTable[[#This Row],[GroupByKey]]),(OutputTable[GroupByKey]=OutputTable[[#This Row],[GroupByKey]])*OutputTable[RecordedValue]))</f>
        <v>841</v>
      </c>
    </row>
    <row r="52" spans="1:16" x14ac:dyDescent="0.4">
      <c r="A52" t="s">
        <v>67</v>
      </c>
      <c r="B52" t="s">
        <v>69</v>
      </c>
      <c r="C52">
        <v>17</v>
      </c>
      <c r="D52" t="s">
        <v>95</v>
      </c>
      <c r="E52" t="s">
        <v>91</v>
      </c>
      <c r="F52" t="s">
        <v>82</v>
      </c>
      <c r="G52">
        <v>725</v>
      </c>
      <c r="H52">
        <v>0</v>
      </c>
      <c r="I52" t="str">
        <f>OutputTable[[#This Row],[ProjectName]]&amp;OutputTable[[#This Row],[Name]]&amp;OutputTable[[#This Row],[Type]]&amp;OutputTable[[#This Row],[Source]]</f>
        <v>Unnamed ProjectTourist.NumberOutNumber OutEntity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cm="1">
        <f t="array" ref="K52">IFERROR(AVERAGE(IF((OutputTable[GroupByKey]=OutputTable[[#This Row],[GroupByKey]]),(OutputTable[GroupByKey]=OutputTable[[#This Row],[GroupByKey]])*OutputTable[RecordedValue])),0)</f>
        <v>680.04</v>
      </c>
      <c r="L52" cm="1">
        <f t="array" ref="L52">IFERROR(_xlfn.STDEV.S(IF((OutputTable[GroupByKey]=OutputTable[[#This Row],[GroupByKey]]),(OutputTable[GroupByKey]=OutputTable[[#This Row],[GroupByKey]])*OutputTable[RecordedValue])),0)</f>
        <v>41.228561528560341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2" cm="1">
        <f t="array" ref="O52">MIN(IF((OutputTable[GroupByKey]=OutputTable[[#This Row],[GroupByKey]]),(OutputTable[GroupByKey]=OutputTable[[#This Row],[GroupByKey]])*OutputTable[RecordedValue]))</f>
        <v>596</v>
      </c>
      <c r="P52" cm="1">
        <f t="array" ref="P52">MAX(IF((OutputTable[GroupByKey]=OutputTable[[#This Row],[GroupByKey]]),(OutputTable[GroupByKey]=OutputTable[[#This Row],[GroupByKey]])*OutputTable[RecordedValue]))</f>
        <v>763</v>
      </c>
    </row>
    <row r="53" spans="1:16" x14ac:dyDescent="0.4">
      <c r="A53" t="s">
        <v>67</v>
      </c>
      <c r="B53" t="s">
        <v>69</v>
      </c>
      <c r="C53">
        <v>18</v>
      </c>
      <c r="D53" t="s">
        <v>90</v>
      </c>
      <c r="E53" t="s">
        <v>91</v>
      </c>
      <c r="F53" t="s">
        <v>92</v>
      </c>
      <c r="G53">
        <v>678</v>
      </c>
      <c r="H53">
        <v>0</v>
      </c>
      <c r="I53" t="str">
        <f>OutputTable[[#This Row],[ProjectName]]&amp;OutputTable[[#This Row],[Name]]&amp;OutputTable[[#This Row],[Type]]&amp;OutputTable[[#This Row],[Source]]</f>
        <v>Unnamed ProjectSystem.NumberOutNumber OutSystem</v>
      </c>
      <c r="J53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cm="1">
        <f t="array" ref="K53">IFERROR(AVERAGE(IF((OutputTable[GroupByKey]=OutputTable[[#This Row],[GroupByKey]]),(OutputTable[GroupByKey]=OutputTable[[#This Row],[GroupByKey]])*OutputTable[RecordedValue])),0)</f>
        <v>680.04</v>
      </c>
      <c r="L53" cm="1">
        <f t="array" ref="L53">IFERROR(_xlfn.STDEV.S(IF((OutputTable[GroupByKey]=OutputTable[[#This Row],[GroupByKey]]),(OutputTable[GroupByKey]=OutputTable[[#This Row],[GroupByKey]])*OutputTable[RecordedValue])),0)</f>
        <v>41.228561528560341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3" cm="1">
        <f t="array" ref="O53">MIN(IF((OutputTable[GroupByKey]=OutputTable[[#This Row],[GroupByKey]]),(OutputTable[GroupByKey]=OutputTable[[#This Row],[GroupByKey]])*OutputTable[RecordedValue]))</f>
        <v>596</v>
      </c>
      <c r="P53" cm="1">
        <f t="array" ref="P53">MAX(IF((OutputTable[GroupByKey]=OutputTable[[#This Row],[GroupByKey]]),(OutputTable[GroupByKey]=OutputTable[[#This Row],[GroupByKey]])*OutputTable[RecordedValue]))</f>
        <v>763</v>
      </c>
    </row>
    <row r="54" spans="1:16" x14ac:dyDescent="0.4">
      <c r="A54" t="s">
        <v>67</v>
      </c>
      <c r="B54" t="s">
        <v>69</v>
      </c>
      <c r="C54">
        <v>18</v>
      </c>
      <c r="D54" t="s">
        <v>93</v>
      </c>
      <c r="E54" t="s">
        <v>94</v>
      </c>
      <c r="F54" t="s">
        <v>82</v>
      </c>
      <c r="G54">
        <v>810</v>
      </c>
      <c r="H54">
        <v>0</v>
      </c>
      <c r="I54" t="str">
        <f>OutputTable[[#This Row],[ProjectName]]&amp;OutputTable[[#This Row],[Name]]&amp;OutputTable[[#This Row],[Type]]&amp;OutputTable[[#This Row],[Source]]</f>
        <v>Unnamed ProjectTourist.NumberInNumber InEntity</v>
      </c>
      <c r="J54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cm="1">
        <f t="array" ref="K54">IFERROR(AVERAGE(IF((OutputTable[GroupByKey]=OutputTable[[#This Row],[GroupByKey]]),(OutputTable[GroupByKey]=OutputTable[[#This Row],[GroupByKey]])*OutputTable[RecordedValue])),0)</f>
        <v>783.7</v>
      </c>
      <c r="L54" cm="1">
        <f t="array" ref="L54">IFERROR(_xlfn.STDEV.S(IF((OutputTable[GroupByKey]=OutputTable[[#This Row],[GroupByKey]]),(OutputTable[GroupByKey]=OutputTable[[#This Row],[GroupByKey]])*OutputTable[RecordedValue])),0)</f>
        <v>30.785797149374726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54" cm="1">
        <f t="array" ref="O54">MIN(IF((OutputTable[GroupByKey]=OutputTable[[#This Row],[GroupByKey]]),(OutputTable[GroupByKey]=OutputTable[[#This Row],[GroupByKey]])*OutputTable[RecordedValue]))</f>
        <v>715</v>
      </c>
      <c r="P54" cm="1">
        <f t="array" ref="P54">MAX(IF((OutputTable[GroupByKey]=OutputTable[[#This Row],[GroupByKey]]),(OutputTable[GroupByKey]=OutputTable[[#This Row],[GroupByKey]])*OutputTable[RecordedValue]))</f>
        <v>841</v>
      </c>
    </row>
    <row r="55" spans="1:16" x14ac:dyDescent="0.4">
      <c r="A55" t="s">
        <v>67</v>
      </c>
      <c r="B55" t="s">
        <v>69</v>
      </c>
      <c r="C55">
        <v>18</v>
      </c>
      <c r="D55" t="s">
        <v>95</v>
      </c>
      <c r="E55" t="s">
        <v>91</v>
      </c>
      <c r="F55" t="s">
        <v>82</v>
      </c>
      <c r="G55">
        <v>678</v>
      </c>
      <c r="H55">
        <v>0</v>
      </c>
      <c r="I55" t="str">
        <f>OutputTable[[#This Row],[ProjectName]]&amp;OutputTable[[#This Row],[Name]]&amp;OutputTable[[#This Row],[Type]]&amp;OutputTable[[#This Row],[Source]]</f>
        <v>Unnamed ProjectTourist.NumberOutNumber OutEntity</v>
      </c>
      <c r="J5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cm="1">
        <f t="array" ref="K55">IFERROR(AVERAGE(IF((OutputTable[GroupByKey]=OutputTable[[#This Row],[GroupByKey]]),(OutputTable[GroupByKey]=OutputTable[[#This Row],[GroupByKey]])*OutputTable[RecordedValue])),0)</f>
        <v>680.04</v>
      </c>
      <c r="L55" cm="1">
        <f t="array" ref="L55">IFERROR(_xlfn.STDEV.S(IF((OutputTable[GroupByKey]=OutputTable[[#This Row],[GroupByKey]]),(OutputTable[GroupByKey]=OutputTable[[#This Row],[GroupByKey]])*OutputTable[RecordedValue])),0)</f>
        <v>41.228561528560341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5" cm="1">
        <f t="array" ref="O55">MIN(IF((OutputTable[GroupByKey]=OutputTable[[#This Row],[GroupByKey]]),(OutputTable[GroupByKey]=OutputTable[[#This Row],[GroupByKey]])*OutputTable[RecordedValue]))</f>
        <v>596</v>
      </c>
      <c r="P55" cm="1">
        <f t="array" ref="P55">MAX(IF((OutputTable[GroupByKey]=OutputTable[[#This Row],[GroupByKey]]),(OutputTable[GroupByKey]=OutputTable[[#This Row],[GroupByKey]])*OutputTable[RecordedValue]))</f>
        <v>763</v>
      </c>
    </row>
    <row r="56" spans="1:16" x14ac:dyDescent="0.4">
      <c r="A56" t="s">
        <v>67</v>
      </c>
      <c r="B56" t="s">
        <v>69</v>
      </c>
      <c r="C56">
        <v>19</v>
      </c>
      <c r="D56" t="s">
        <v>90</v>
      </c>
      <c r="E56" t="s">
        <v>91</v>
      </c>
      <c r="F56" t="s">
        <v>92</v>
      </c>
      <c r="G56">
        <v>703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cm="1">
        <f t="array" ref="K56">IFERROR(AVERAGE(IF((OutputTable[GroupByKey]=OutputTable[[#This Row],[GroupByKey]]),(OutputTable[GroupByKey]=OutputTable[[#This Row],[GroupByKey]])*OutputTable[RecordedValue])),0)</f>
        <v>680.04</v>
      </c>
      <c r="L56" cm="1">
        <f t="array" ref="L56">IFERROR(_xlfn.STDEV.S(IF((OutputTable[GroupByKey]=OutputTable[[#This Row],[GroupByKey]]),(OutputTable[GroupByKey]=OutputTable[[#This Row],[GroupByKey]])*OutputTable[RecordedValue])),0)</f>
        <v>41.228561528560341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6" cm="1">
        <f t="array" ref="O56">MIN(IF((OutputTable[GroupByKey]=OutputTable[[#This Row],[GroupByKey]]),(OutputTable[GroupByKey]=OutputTable[[#This Row],[GroupByKey]])*OutputTable[RecordedValue]))</f>
        <v>596</v>
      </c>
      <c r="P56" cm="1">
        <f t="array" ref="P56">MAX(IF((OutputTable[GroupByKey]=OutputTable[[#This Row],[GroupByKey]]),(OutputTable[GroupByKey]=OutputTable[[#This Row],[GroupByKey]])*OutputTable[RecordedValue]))</f>
        <v>763</v>
      </c>
    </row>
    <row r="57" spans="1:16" x14ac:dyDescent="0.4">
      <c r="A57" t="s">
        <v>67</v>
      </c>
      <c r="B57" t="s">
        <v>69</v>
      </c>
      <c r="C57">
        <v>19</v>
      </c>
      <c r="D57" t="s">
        <v>93</v>
      </c>
      <c r="E57" t="s">
        <v>94</v>
      </c>
      <c r="F57" t="s">
        <v>82</v>
      </c>
      <c r="G57">
        <v>780</v>
      </c>
      <c r="H57">
        <v>0</v>
      </c>
      <c r="I57" t="str">
        <f>OutputTable[[#This Row],[ProjectName]]&amp;OutputTable[[#This Row],[Name]]&amp;OutputTable[[#This Row],[Type]]&amp;OutputTable[[#This Row],[Source]]</f>
        <v>Unnamed ProjectTourist.NumberInNumber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cm="1">
        <f t="array" ref="K57">IFERROR(AVERAGE(IF((OutputTable[GroupByKey]=OutputTable[[#This Row],[GroupByKey]]),(OutputTable[GroupByKey]=OutputTable[[#This Row],[GroupByKey]])*OutputTable[RecordedValue])),0)</f>
        <v>783.7</v>
      </c>
      <c r="L57" cm="1">
        <f t="array" ref="L57">IFERROR(_xlfn.STDEV.S(IF((OutputTable[GroupByKey]=OutputTable[[#This Row],[GroupByKey]]),(OutputTable[GroupByKey]=OutputTable[[#This Row],[GroupByKey]])*OutputTable[RecordedValue])),0)</f>
        <v>30.785797149374726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57" cm="1">
        <f t="array" ref="O57">MIN(IF((OutputTable[GroupByKey]=OutputTable[[#This Row],[GroupByKey]]),(OutputTable[GroupByKey]=OutputTable[[#This Row],[GroupByKey]])*OutputTable[RecordedValue]))</f>
        <v>715</v>
      </c>
      <c r="P57" cm="1">
        <f t="array" ref="P57">MAX(IF((OutputTable[GroupByKey]=OutputTable[[#This Row],[GroupByKey]]),(OutputTable[GroupByKey]=OutputTable[[#This Row],[GroupByKey]])*OutputTable[RecordedValue]))</f>
        <v>841</v>
      </c>
    </row>
    <row r="58" spans="1:16" x14ac:dyDescent="0.4">
      <c r="A58" t="s">
        <v>67</v>
      </c>
      <c r="B58" t="s">
        <v>69</v>
      </c>
      <c r="C58">
        <v>19</v>
      </c>
      <c r="D58" t="s">
        <v>95</v>
      </c>
      <c r="E58" t="s">
        <v>91</v>
      </c>
      <c r="F58" t="s">
        <v>82</v>
      </c>
      <c r="G58">
        <v>703</v>
      </c>
      <c r="H58">
        <v>0</v>
      </c>
      <c r="I58" t="str">
        <f>OutputTable[[#This Row],[ProjectName]]&amp;OutputTable[[#This Row],[Name]]&amp;OutputTable[[#This Row],[Type]]&amp;OutputTable[[#This Row],[Source]]</f>
        <v>Unnamed ProjectTourist.NumberOutNumber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cm="1">
        <f t="array" ref="K58">IFERROR(AVERAGE(IF((OutputTable[GroupByKey]=OutputTable[[#This Row],[GroupByKey]]),(OutputTable[GroupByKey]=OutputTable[[#This Row],[GroupByKey]])*OutputTable[RecordedValue])),0)</f>
        <v>680.04</v>
      </c>
      <c r="L58" cm="1">
        <f t="array" ref="L58">IFERROR(_xlfn.STDEV.S(IF((OutputTable[GroupByKey]=OutputTable[[#This Row],[GroupByKey]]),(OutputTable[GroupByKey]=OutputTable[[#This Row],[GroupByKey]])*OutputTable[RecordedValue])),0)</f>
        <v>41.228561528560341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8" cm="1">
        <f t="array" ref="O58">MIN(IF((OutputTable[GroupByKey]=OutputTable[[#This Row],[GroupByKey]]),(OutputTable[GroupByKey]=OutputTable[[#This Row],[GroupByKey]])*OutputTable[RecordedValue]))</f>
        <v>596</v>
      </c>
      <c r="P58" cm="1">
        <f t="array" ref="P58">MAX(IF((OutputTable[GroupByKey]=OutputTable[[#This Row],[GroupByKey]]),(OutputTable[GroupByKey]=OutputTable[[#This Row],[GroupByKey]])*OutputTable[RecordedValue]))</f>
        <v>763</v>
      </c>
    </row>
    <row r="59" spans="1:16" x14ac:dyDescent="0.4">
      <c r="A59" t="s">
        <v>67</v>
      </c>
      <c r="B59" t="s">
        <v>69</v>
      </c>
      <c r="C59">
        <v>20</v>
      </c>
      <c r="D59" t="s">
        <v>90</v>
      </c>
      <c r="E59" t="s">
        <v>91</v>
      </c>
      <c r="F59" t="s">
        <v>92</v>
      </c>
      <c r="G59">
        <v>739</v>
      </c>
      <c r="H59">
        <v>0</v>
      </c>
      <c r="I59" t="str">
        <f>OutputTable[[#This Row],[ProjectName]]&amp;OutputTable[[#This Row],[Name]]&amp;OutputTable[[#This Row],[Type]]&amp;OutputTable[[#This Row],[Source]]</f>
        <v>Unnamed ProjectSystem.NumberOutNumber OutSystem</v>
      </c>
      <c r="J59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cm="1">
        <f t="array" ref="K59">IFERROR(AVERAGE(IF((OutputTable[GroupByKey]=OutputTable[[#This Row],[GroupByKey]]),(OutputTable[GroupByKey]=OutputTable[[#This Row],[GroupByKey]])*OutputTable[RecordedValue])),0)</f>
        <v>680.04</v>
      </c>
      <c r="L59" cm="1">
        <f t="array" ref="L59">IFERROR(_xlfn.STDEV.S(IF((OutputTable[GroupByKey]=OutputTable[[#This Row],[GroupByKey]]),(OutputTable[GroupByKey]=OutputTable[[#This Row],[GroupByKey]])*OutputTable[RecordedValue])),0)</f>
        <v>41.228561528560341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59" cm="1">
        <f t="array" ref="O59">MIN(IF((OutputTable[GroupByKey]=OutputTable[[#This Row],[GroupByKey]]),(OutputTable[GroupByKey]=OutputTable[[#This Row],[GroupByKey]])*OutputTable[RecordedValue]))</f>
        <v>596</v>
      </c>
      <c r="P59" cm="1">
        <f t="array" ref="P59">MAX(IF((OutputTable[GroupByKey]=OutputTable[[#This Row],[GroupByKey]]),(OutputTable[GroupByKey]=OutputTable[[#This Row],[GroupByKey]])*OutputTable[RecordedValue]))</f>
        <v>763</v>
      </c>
    </row>
    <row r="60" spans="1:16" x14ac:dyDescent="0.4">
      <c r="A60" t="s">
        <v>67</v>
      </c>
      <c r="B60" t="s">
        <v>69</v>
      </c>
      <c r="C60">
        <v>20</v>
      </c>
      <c r="D60" t="s">
        <v>93</v>
      </c>
      <c r="E60" t="s">
        <v>94</v>
      </c>
      <c r="F60" t="s">
        <v>82</v>
      </c>
      <c r="G60">
        <v>814</v>
      </c>
      <c r="H60">
        <v>0</v>
      </c>
      <c r="I60" t="str">
        <f>OutputTable[[#This Row],[ProjectName]]&amp;OutputTable[[#This Row],[Name]]&amp;OutputTable[[#This Row],[Type]]&amp;OutputTable[[#This Row],[Source]]</f>
        <v>Unnamed ProjectTourist.NumberInNumber InEntity</v>
      </c>
      <c r="J60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cm="1">
        <f t="array" ref="K60">IFERROR(AVERAGE(IF((OutputTable[GroupByKey]=OutputTable[[#This Row],[GroupByKey]]),(OutputTable[GroupByKey]=OutputTable[[#This Row],[GroupByKey]])*OutputTable[RecordedValue])),0)</f>
        <v>783.7</v>
      </c>
      <c r="L60" cm="1">
        <f t="array" ref="L60">IFERROR(_xlfn.STDEV.S(IF((OutputTable[GroupByKey]=OutputTable[[#This Row],[GroupByKey]]),(OutputTable[GroupByKey]=OutputTable[[#This Row],[GroupByKey]])*OutputTable[RecordedValue])),0)</f>
        <v>30.785797149374726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60" cm="1">
        <f t="array" ref="O60">MIN(IF((OutputTable[GroupByKey]=OutputTable[[#This Row],[GroupByKey]]),(OutputTable[GroupByKey]=OutputTable[[#This Row],[GroupByKey]])*OutputTable[RecordedValue]))</f>
        <v>715</v>
      </c>
      <c r="P60" cm="1">
        <f t="array" ref="P60">MAX(IF((OutputTable[GroupByKey]=OutputTable[[#This Row],[GroupByKey]]),(OutputTable[GroupByKey]=OutputTable[[#This Row],[GroupByKey]])*OutputTable[RecordedValue]))</f>
        <v>841</v>
      </c>
    </row>
    <row r="61" spans="1:16" x14ac:dyDescent="0.4">
      <c r="A61" t="s">
        <v>67</v>
      </c>
      <c r="B61" t="s">
        <v>69</v>
      </c>
      <c r="C61">
        <v>20</v>
      </c>
      <c r="D61" t="s">
        <v>95</v>
      </c>
      <c r="E61" t="s">
        <v>91</v>
      </c>
      <c r="F61" t="s">
        <v>82</v>
      </c>
      <c r="G61">
        <v>739</v>
      </c>
      <c r="H61">
        <v>0</v>
      </c>
      <c r="I61" t="str">
        <f>OutputTable[[#This Row],[ProjectName]]&amp;OutputTable[[#This Row],[Name]]&amp;OutputTable[[#This Row],[Type]]&amp;OutputTable[[#This Row],[Source]]</f>
        <v>Unnamed ProjectTourist.NumberOutNumber OutEntity</v>
      </c>
      <c r="J61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cm="1">
        <f t="array" ref="K61">IFERROR(AVERAGE(IF((OutputTable[GroupByKey]=OutputTable[[#This Row],[GroupByKey]]),(OutputTable[GroupByKey]=OutputTable[[#This Row],[GroupByKey]])*OutputTable[RecordedValue])),0)</f>
        <v>680.04</v>
      </c>
      <c r="L61" cm="1">
        <f t="array" ref="L61">IFERROR(_xlfn.STDEV.S(IF((OutputTable[GroupByKey]=OutputTable[[#This Row],[GroupByKey]]),(OutputTable[GroupByKey]=OutputTable[[#This Row],[GroupByKey]])*OutputTable[RecordedValue])),0)</f>
        <v>41.228561528560341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61" cm="1">
        <f t="array" ref="O61">MIN(IF((OutputTable[GroupByKey]=OutputTable[[#This Row],[GroupByKey]]),(OutputTable[GroupByKey]=OutputTable[[#This Row],[GroupByKey]])*OutputTable[RecordedValue]))</f>
        <v>596</v>
      </c>
      <c r="P61" cm="1">
        <f t="array" ref="P61">MAX(IF((OutputTable[GroupByKey]=OutputTable[[#This Row],[GroupByKey]]),(OutputTable[GroupByKey]=OutputTable[[#This Row],[GroupByKey]])*OutputTable[RecordedValue]))</f>
        <v>763</v>
      </c>
    </row>
    <row r="62" spans="1:16" x14ac:dyDescent="0.4">
      <c r="A62" t="s">
        <v>67</v>
      </c>
      <c r="B62" t="s">
        <v>69</v>
      </c>
      <c r="C62">
        <v>21</v>
      </c>
      <c r="D62" t="s">
        <v>90</v>
      </c>
      <c r="E62" t="s">
        <v>91</v>
      </c>
      <c r="F62" t="s">
        <v>92</v>
      </c>
      <c r="G62">
        <v>668</v>
      </c>
      <c r="H62">
        <v>0</v>
      </c>
      <c r="I62" t="str">
        <f>OutputTable[[#This Row],[ProjectName]]&amp;OutputTable[[#This Row],[Name]]&amp;OutputTable[[#This Row],[Type]]&amp;OutputTable[[#This Row],[Source]]</f>
        <v>Unnamed ProjectSystem.NumberOutNumber OutSystem</v>
      </c>
      <c r="J62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cm="1">
        <f t="array" ref="K62">IFERROR(AVERAGE(IF((OutputTable[GroupByKey]=OutputTable[[#This Row],[GroupByKey]]),(OutputTable[GroupByKey]=OutputTable[[#This Row],[GroupByKey]])*OutputTable[RecordedValue])),0)</f>
        <v>680.04</v>
      </c>
      <c r="L62" cm="1">
        <f t="array" ref="L62">IFERROR(_xlfn.STDEV.S(IF((OutputTable[GroupByKey]=OutputTable[[#This Row],[GroupByKey]]),(OutputTable[GroupByKey]=OutputTable[[#This Row],[GroupByKey]])*OutputTable[RecordedValue])),0)</f>
        <v>41.228561528560341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62" cm="1">
        <f t="array" ref="O62">MIN(IF((OutputTable[GroupByKey]=OutputTable[[#This Row],[GroupByKey]]),(OutputTable[GroupByKey]=OutputTable[[#This Row],[GroupByKey]])*OutputTable[RecordedValue]))</f>
        <v>596</v>
      </c>
      <c r="P62" cm="1">
        <f t="array" ref="P62">MAX(IF((OutputTable[GroupByKey]=OutputTable[[#This Row],[GroupByKey]]),(OutputTable[GroupByKey]=OutputTable[[#This Row],[GroupByKey]])*OutputTable[RecordedValue]))</f>
        <v>763</v>
      </c>
    </row>
    <row r="63" spans="1:16" x14ac:dyDescent="0.4">
      <c r="A63" t="s">
        <v>67</v>
      </c>
      <c r="B63" t="s">
        <v>69</v>
      </c>
      <c r="C63">
        <v>21</v>
      </c>
      <c r="D63" t="s">
        <v>93</v>
      </c>
      <c r="E63" t="s">
        <v>94</v>
      </c>
      <c r="F63" t="s">
        <v>82</v>
      </c>
      <c r="G63">
        <v>793</v>
      </c>
      <c r="H63">
        <v>0</v>
      </c>
      <c r="I63" t="str">
        <f>OutputTable[[#This Row],[ProjectName]]&amp;OutputTable[[#This Row],[Name]]&amp;OutputTable[[#This Row],[Type]]&amp;OutputTable[[#This Row],[Source]]</f>
        <v>Unnamed ProjectTourist.NumberInNumber InEntity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cm="1">
        <f t="array" ref="K63">IFERROR(AVERAGE(IF((OutputTable[GroupByKey]=OutputTable[[#This Row],[GroupByKey]]),(OutputTable[GroupByKey]=OutputTable[[#This Row],[GroupByKey]])*OutputTable[RecordedValue])),0)</f>
        <v>783.7</v>
      </c>
      <c r="L63" cm="1">
        <f t="array" ref="L63">IFERROR(_xlfn.STDEV.S(IF((OutputTable[GroupByKey]=OutputTable[[#This Row],[GroupByKey]]),(OutputTable[GroupByKey]=OutputTable[[#This Row],[GroupByKey]])*OutputTable[RecordedValue])),0)</f>
        <v>30.785797149374726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63" cm="1">
        <f t="array" ref="O63">MIN(IF((OutputTable[GroupByKey]=OutputTable[[#This Row],[GroupByKey]]),(OutputTable[GroupByKey]=OutputTable[[#This Row],[GroupByKey]])*OutputTable[RecordedValue]))</f>
        <v>715</v>
      </c>
      <c r="P63" cm="1">
        <f t="array" ref="P63">MAX(IF((OutputTable[GroupByKey]=OutputTable[[#This Row],[GroupByKey]]),(OutputTable[GroupByKey]=OutputTable[[#This Row],[GroupByKey]])*OutputTable[RecordedValue]))</f>
        <v>841</v>
      </c>
    </row>
    <row r="64" spans="1:16" x14ac:dyDescent="0.4">
      <c r="A64" t="s">
        <v>67</v>
      </c>
      <c r="B64" t="s">
        <v>69</v>
      </c>
      <c r="C64">
        <v>21</v>
      </c>
      <c r="D64" t="s">
        <v>95</v>
      </c>
      <c r="E64" t="s">
        <v>91</v>
      </c>
      <c r="F64" t="s">
        <v>82</v>
      </c>
      <c r="G64">
        <v>668</v>
      </c>
      <c r="H64">
        <v>0</v>
      </c>
      <c r="I64" t="str">
        <f>OutputTable[[#This Row],[ProjectName]]&amp;OutputTable[[#This Row],[Name]]&amp;OutputTable[[#This Row],[Type]]&amp;OutputTable[[#This Row],[Source]]</f>
        <v>Unnamed ProjectTourist.NumberOutNumber OutEntity</v>
      </c>
      <c r="J64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cm="1">
        <f t="array" ref="K64">IFERROR(AVERAGE(IF((OutputTable[GroupByKey]=OutputTable[[#This Row],[GroupByKey]]),(OutputTable[GroupByKey]=OutputTable[[#This Row],[GroupByKey]])*OutputTable[RecordedValue])),0)</f>
        <v>680.04</v>
      </c>
      <c r="L64" cm="1">
        <f t="array" ref="L64">IFERROR(_xlfn.STDEV.S(IF((OutputTable[GroupByKey]=OutputTable[[#This Row],[GroupByKey]]),(OutputTable[GroupByKey]=OutputTable[[#This Row],[GroupByKey]])*OutputTable[RecordedValue])),0)</f>
        <v>41.228561528560341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64" cm="1">
        <f t="array" ref="O64">MIN(IF((OutputTable[GroupByKey]=OutputTable[[#This Row],[GroupByKey]]),(OutputTable[GroupByKey]=OutputTable[[#This Row],[GroupByKey]])*OutputTable[RecordedValue]))</f>
        <v>596</v>
      </c>
      <c r="P64" cm="1">
        <f t="array" ref="P64">MAX(IF((OutputTable[GroupByKey]=OutputTable[[#This Row],[GroupByKey]]),(OutputTable[GroupByKey]=OutputTable[[#This Row],[GroupByKey]])*OutputTable[RecordedValue]))</f>
        <v>763</v>
      </c>
    </row>
    <row r="65" spans="1:16" x14ac:dyDescent="0.4">
      <c r="A65" t="s">
        <v>67</v>
      </c>
      <c r="B65" t="s">
        <v>69</v>
      </c>
      <c r="C65">
        <v>22</v>
      </c>
      <c r="D65" t="s">
        <v>90</v>
      </c>
      <c r="E65" t="s">
        <v>91</v>
      </c>
      <c r="F65" t="s">
        <v>92</v>
      </c>
      <c r="G65">
        <v>656</v>
      </c>
      <c r="H65">
        <v>0</v>
      </c>
      <c r="I65" t="str">
        <f>OutputTable[[#This Row],[ProjectName]]&amp;OutputTable[[#This Row],[Name]]&amp;OutputTable[[#This Row],[Type]]&amp;OutputTable[[#This Row],[Source]]</f>
        <v>Unnamed ProjectSystem.NumberOutNumber OutSystem</v>
      </c>
      <c r="J6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cm="1">
        <f t="array" ref="K65">IFERROR(AVERAGE(IF((OutputTable[GroupByKey]=OutputTable[[#This Row],[GroupByKey]]),(OutputTable[GroupByKey]=OutputTable[[#This Row],[GroupByKey]])*OutputTable[RecordedValue])),0)</f>
        <v>680.04</v>
      </c>
      <c r="L65" cm="1">
        <f t="array" ref="L65">IFERROR(_xlfn.STDEV.S(IF((OutputTable[GroupByKey]=OutputTable[[#This Row],[GroupByKey]]),(OutputTable[GroupByKey]=OutputTable[[#This Row],[GroupByKey]])*OutputTable[RecordedValue])),0)</f>
        <v>41.228561528560341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65" cm="1">
        <f t="array" ref="O65">MIN(IF((OutputTable[GroupByKey]=OutputTable[[#This Row],[GroupByKey]]),(OutputTable[GroupByKey]=OutputTable[[#This Row],[GroupByKey]])*OutputTable[RecordedValue]))</f>
        <v>596</v>
      </c>
      <c r="P65" cm="1">
        <f t="array" ref="P65">MAX(IF((OutputTable[GroupByKey]=OutputTable[[#This Row],[GroupByKey]]),(OutputTable[GroupByKey]=OutputTable[[#This Row],[GroupByKey]])*OutputTable[RecordedValue]))</f>
        <v>763</v>
      </c>
    </row>
    <row r="66" spans="1:16" x14ac:dyDescent="0.4">
      <c r="A66" t="s">
        <v>67</v>
      </c>
      <c r="B66" t="s">
        <v>69</v>
      </c>
      <c r="C66">
        <v>22</v>
      </c>
      <c r="D66" t="s">
        <v>93</v>
      </c>
      <c r="E66" t="s">
        <v>94</v>
      </c>
      <c r="F66" t="s">
        <v>82</v>
      </c>
      <c r="G66">
        <v>750</v>
      </c>
      <c r="H66">
        <v>0</v>
      </c>
      <c r="I66" t="str">
        <f>OutputTable[[#This Row],[ProjectName]]&amp;OutputTable[[#This Row],[Name]]&amp;OutputTable[[#This Row],[Type]]&amp;OutputTable[[#This Row],[Source]]</f>
        <v>Unnamed ProjectTourist.NumberInNumber InEntity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cm="1">
        <f t="array" ref="K66">IFERROR(AVERAGE(IF((OutputTable[GroupByKey]=OutputTable[[#This Row],[GroupByKey]]),(OutputTable[GroupByKey]=OutputTable[[#This Row],[GroupByKey]])*OutputTable[RecordedValue])),0)</f>
        <v>783.7</v>
      </c>
      <c r="L66" cm="1">
        <f t="array" ref="L66">IFERROR(_xlfn.STDEV.S(IF((OutputTable[GroupByKey]=OutputTable[[#This Row],[GroupByKey]]),(OutputTable[GroupByKey]=OutputTable[[#This Row],[GroupByKey]])*OutputTable[RecordedValue])),0)</f>
        <v>30.785797149374726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66" cm="1">
        <f t="array" ref="O66">MIN(IF((OutputTable[GroupByKey]=OutputTable[[#This Row],[GroupByKey]]),(OutputTable[GroupByKey]=OutputTable[[#This Row],[GroupByKey]])*OutputTable[RecordedValue]))</f>
        <v>715</v>
      </c>
      <c r="P66" cm="1">
        <f t="array" ref="P66">MAX(IF((OutputTable[GroupByKey]=OutputTable[[#This Row],[GroupByKey]]),(OutputTable[GroupByKey]=OutputTable[[#This Row],[GroupByKey]])*OutputTable[RecordedValue]))</f>
        <v>841</v>
      </c>
    </row>
    <row r="67" spans="1:16" x14ac:dyDescent="0.4">
      <c r="A67" t="s">
        <v>67</v>
      </c>
      <c r="B67" t="s">
        <v>69</v>
      </c>
      <c r="C67">
        <v>22</v>
      </c>
      <c r="D67" t="s">
        <v>95</v>
      </c>
      <c r="E67" t="s">
        <v>91</v>
      </c>
      <c r="F67" t="s">
        <v>82</v>
      </c>
      <c r="G67">
        <v>656</v>
      </c>
      <c r="H67">
        <v>0</v>
      </c>
      <c r="I67" t="str">
        <f>OutputTable[[#This Row],[ProjectName]]&amp;OutputTable[[#This Row],[Name]]&amp;OutputTable[[#This Row],[Type]]&amp;OutputTable[[#This Row],[Source]]</f>
        <v>Unnamed ProjectTourist.NumberOutNumber OutEntity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cm="1">
        <f t="array" ref="K67">IFERROR(AVERAGE(IF((OutputTable[GroupByKey]=OutputTable[[#This Row],[GroupByKey]]),(OutputTable[GroupByKey]=OutputTable[[#This Row],[GroupByKey]])*OutputTable[RecordedValue])),0)</f>
        <v>680.04</v>
      </c>
      <c r="L67" cm="1">
        <f t="array" ref="L67">IFERROR(_xlfn.STDEV.S(IF((OutputTable[GroupByKey]=OutputTable[[#This Row],[GroupByKey]]),(OutputTable[GroupByKey]=OutputTable[[#This Row],[GroupByKey]])*OutputTable[RecordedValue])),0)</f>
        <v>41.228561528560341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67" cm="1">
        <f t="array" ref="O67">MIN(IF((OutputTable[GroupByKey]=OutputTable[[#This Row],[GroupByKey]]),(OutputTable[GroupByKey]=OutputTable[[#This Row],[GroupByKey]])*OutputTable[RecordedValue]))</f>
        <v>596</v>
      </c>
      <c r="P67" cm="1">
        <f t="array" ref="P67">MAX(IF((OutputTable[GroupByKey]=OutputTable[[#This Row],[GroupByKey]]),(OutputTable[GroupByKey]=OutputTable[[#This Row],[GroupByKey]])*OutputTable[RecordedValue]))</f>
        <v>763</v>
      </c>
    </row>
    <row r="68" spans="1:16" x14ac:dyDescent="0.4">
      <c r="A68" t="s">
        <v>67</v>
      </c>
      <c r="B68" t="s">
        <v>69</v>
      </c>
      <c r="C68">
        <v>23</v>
      </c>
      <c r="D68" t="s">
        <v>90</v>
      </c>
      <c r="E68" t="s">
        <v>91</v>
      </c>
      <c r="F68" t="s">
        <v>92</v>
      </c>
      <c r="G68">
        <v>702</v>
      </c>
      <c r="H68">
        <v>0</v>
      </c>
      <c r="I68" t="str">
        <f>OutputTable[[#This Row],[ProjectName]]&amp;OutputTable[[#This Row],[Name]]&amp;OutputTable[[#This Row],[Type]]&amp;OutputTable[[#This Row],[Source]]</f>
        <v>Unnamed ProjectSystem.NumberOutNumber OutSystem</v>
      </c>
      <c r="J68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cm="1">
        <f t="array" ref="K68">IFERROR(AVERAGE(IF((OutputTable[GroupByKey]=OutputTable[[#This Row],[GroupByKey]]),(OutputTable[GroupByKey]=OutputTable[[#This Row],[GroupByKey]])*OutputTable[RecordedValue])),0)</f>
        <v>680.04</v>
      </c>
      <c r="L68" cm="1">
        <f t="array" ref="L68">IFERROR(_xlfn.STDEV.S(IF((OutputTable[GroupByKey]=OutputTable[[#This Row],[GroupByKey]]),(OutputTable[GroupByKey]=OutputTable[[#This Row],[GroupByKey]])*OutputTable[RecordedValue])),0)</f>
        <v>41.228561528560341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68" cm="1">
        <f t="array" ref="O68">MIN(IF((OutputTable[GroupByKey]=OutputTable[[#This Row],[GroupByKey]]),(OutputTable[GroupByKey]=OutputTable[[#This Row],[GroupByKey]])*OutputTable[RecordedValue]))</f>
        <v>596</v>
      </c>
      <c r="P68" cm="1">
        <f t="array" ref="P68">MAX(IF((OutputTable[GroupByKey]=OutputTable[[#This Row],[GroupByKey]]),(OutputTable[GroupByKey]=OutputTable[[#This Row],[GroupByKey]])*OutputTable[RecordedValue]))</f>
        <v>763</v>
      </c>
    </row>
    <row r="69" spans="1:16" x14ac:dyDescent="0.4">
      <c r="A69" t="s">
        <v>67</v>
      </c>
      <c r="B69" t="s">
        <v>69</v>
      </c>
      <c r="C69">
        <v>23</v>
      </c>
      <c r="D69" t="s">
        <v>93</v>
      </c>
      <c r="E69" t="s">
        <v>94</v>
      </c>
      <c r="F69" t="s">
        <v>82</v>
      </c>
      <c r="G69">
        <v>782</v>
      </c>
      <c r="H69">
        <v>0</v>
      </c>
      <c r="I69" t="str">
        <f>OutputTable[[#This Row],[ProjectName]]&amp;OutputTable[[#This Row],[Name]]&amp;OutputTable[[#This Row],[Type]]&amp;OutputTable[[#This Row],[Source]]</f>
        <v>Unnamed ProjectTourist.NumberInNumber InEntity</v>
      </c>
      <c r="J69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cm="1">
        <f t="array" ref="K69">IFERROR(AVERAGE(IF((OutputTable[GroupByKey]=OutputTable[[#This Row],[GroupByKey]]),(OutputTable[GroupByKey]=OutputTable[[#This Row],[GroupByKey]])*OutputTable[RecordedValue])),0)</f>
        <v>783.7</v>
      </c>
      <c r="L69" cm="1">
        <f t="array" ref="L69">IFERROR(_xlfn.STDEV.S(IF((OutputTable[GroupByKey]=OutputTable[[#This Row],[GroupByKey]]),(OutputTable[GroupByKey]=OutputTable[[#This Row],[GroupByKey]])*OutputTable[RecordedValue])),0)</f>
        <v>30.785797149374726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69" cm="1">
        <f t="array" ref="O69">MIN(IF((OutputTable[GroupByKey]=OutputTable[[#This Row],[GroupByKey]]),(OutputTable[GroupByKey]=OutputTable[[#This Row],[GroupByKey]])*OutputTable[RecordedValue]))</f>
        <v>715</v>
      </c>
      <c r="P69" cm="1">
        <f t="array" ref="P69">MAX(IF((OutputTable[GroupByKey]=OutputTable[[#This Row],[GroupByKey]]),(OutputTable[GroupByKey]=OutputTable[[#This Row],[GroupByKey]])*OutputTable[RecordedValue]))</f>
        <v>841</v>
      </c>
    </row>
    <row r="70" spans="1:16" x14ac:dyDescent="0.4">
      <c r="A70" t="s">
        <v>67</v>
      </c>
      <c r="B70" t="s">
        <v>69</v>
      </c>
      <c r="C70">
        <v>23</v>
      </c>
      <c r="D70" t="s">
        <v>95</v>
      </c>
      <c r="E70" t="s">
        <v>91</v>
      </c>
      <c r="F70" t="s">
        <v>82</v>
      </c>
      <c r="G70">
        <v>702</v>
      </c>
      <c r="H70">
        <v>0</v>
      </c>
      <c r="I70" t="str">
        <f>OutputTable[[#This Row],[ProjectName]]&amp;OutputTable[[#This Row],[Name]]&amp;OutputTable[[#This Row],[Type]]&amp;OutputTable[[#This Row],[Source]]</f>
        <v>Unnamed ProjectTourist.NumberOutNumber OutEntity</v>
      </c>
      <c r="J70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cm="1">
        <f t="array" ref="K70">IFERROR(AVERAGE(IF((OutputTable[GroupByKey]=OutputTable[[#This Row],[GroupByKey]]),(OutputTable[GroupByKey]=OutputTable[[#This Row],[GroupByKey]])*OutputTable[RecordedValue])),0)</f>
        <v>680.04</v>
      </c>
      <c r="L70" cm="1">
        <f t="array" ref="L70">IFERROR(_xlfn.STDEV.S(IF((OutputTable[GroupByKey]=OutputTable[[#This Row],[GroupByKey]]),(OutputTable[GroupByKey]=OutputTable[[#This Row],[GroupByKey]])*OutputTable[RecordedValue])),0)</f>
        <v>41.228561528560341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0" cm="1">
        <f t="array" ref="O70">MIN(IF((OutputTable[GroupByKey]=OutputTable[[#This Row],[GroupByKey]]),(OutputTable[GroupByKey]=OutputTable[[#This Row],[GroupByKey]])*OutputTable[RecordedValue]))</f>
        <v>596</v>
      </c>
      <c r="P70" cm="1">
        <f t="array" ref="P70">MAX(IF((OutputTable[GroupByKey]=OutputTable[[#This Row],[GroupByKey]]),(OutputTable[GroupByKey]=OutputTable[[#This Row],[GroupByKey]])*OutputTable[RecordedValue]))</f>
        <v>763</v>
      </c>
    </row>
    <row r="71" spans="1:16" x14ac:dyDescent="0.4">
      <c r="A71" t="s">
        <v>67</v>
      </c>
      <c r="B71" t="s">
        <v>69</v>
      </c>
      <c r="C71">
        <v>24</v>
      </c>
      <c r="D71" t="s">
        <v>90</v>
      </c>
      <c r="E71" t="s">
        <v>91</v>
      </c>
      <c r="F71" t="s">
        <v>92</v>
      </c>
      <c r="G71">
        <v>714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cm="1">
        <f t="array" ref="K71">IFERROR(AVERAGE(IF((OutputTable[GroupByKey]=OutputTable[[#This Row],[GroupByKey]]),(OutputTable[GroupByKey]=OutputTable[[#This Row],[GroupByKey]])*OutputTable[RecordedValue])),0)</f>
        <v>680.04</v>
      </c>
      <c r="L71" cm="1">
        <f t="array" ref="L71">IFERROR(_xlfn.STDEV.S(IF((OutputTable[GroupByKey]=OutputTable[[#This Row],[GroupByKey]]),(OutputTable[GroupByKey]=OutputTable[[#This Row],[GroupByKey]])*OutputTable[RecordedValue])),0)</f>
        <v>41.228561528560341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1" cm="1">
        <f t="array" ref="O71">MIN(IF((OutputTable[GroupByKey]=OutputTable[[#This Row],[GroupByKey]]),(OutputTable[GroupByKey]=OutputTable[[#This Row],[GroupByKey]])*OutputTable[RecordedValue]))</f>
        <v>596</v>
      </c>
      <c r="P71" cm="1">
        <f t="array" ref="P71">MAX(IF((OutputTable[GroupByKey]=OutputTable[[#This Row],[GroupByKey]]),(OutputTable[GroupByKey]=OutputTable[[#This Row],[GroupByKey]])*OutputTable[RecordedValue]))</f>
        <v>763</v>
      </c>
    </row>
    <row r="72" spans="1:16" x14ac:dyDescent="0.4">
      <c r="A72" t="s">
        <v>67</v>
      </c>
      <c r="B72" t="s">
        <v>69</v>
      </c>
      <c r="C72">
        <v>24</v>
      </c>
      <c r="D72" t="s">
        <v>93</v>
      </c>
      <c r="E72" t="s">
        <v>94</v>
      </c>
      <c r="F72" t="s">
        <v>82</v>
      </c>
      <c r="G72">
        <v>819</v>
      </c>
      <c r="H72">
        <v>0</v>
      </c>
      <c r="I72" t="str">
        <f>OutputTable[[#This Row],[ProjectName]]&amp;OutputTable[[#This Row],[Name]]&amp;OutputTable[[#This Row],[Type]]&amp;OutputTable[[#This Row],[Source]]</f>
        <v>Unnamed ProjectTourist.NumberInNumber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cm="1">
        <f t="array" ref="K72">IFERROR(AVERAGE(IF((OutputTable[GroupByKey]=OutputTable[[#This Row],[GroupByKey]]),(OutputTable[GroupByKey]=OutputTable[[#This Row],[GroupByKey]])*OutputTable[RecordedValue])),0)</f>
        <v>783.7</v>
      </c>
      <c r="L72" cm="1">
        <f t="array" ref="L72">IFERROR(_xlfn.STDEV.S(IF((OutputTable[GroupByKey]=OutputTable[[#This Row],[GroupByKey]]),(OutputTable[GroupByKey]=OutputTable[[#This Row],[GroupByKey]])*OutputTable[RecordedValue])),0)</f>
        <v>30.785797149374726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72" cm="1">
        <f t="array" ref="O72">MIN(IF((OutputTable[GroupByKey]=OutputTable[[#This Row],[GroupByKey]]),(OutputTable[GroupByKey]=OutputTable[[#This Row],[GroupByKey]])*OutputTable[RecordedValue]))</f>
        <v>715</v>
      </c>
      <c r="P72" cm="1">
        <f t="array" ref="P72">MAX(IF((OutputTable[GroupByKey]=OutputTable[[#This Row],[GroupByKey]]),(OutputTable[GroupByKey]=OutputTable[[#This Row],[GroupByKey]])*OutputTable[RecordedValue]))</f>
        <v>841</v>
      </c>
    </row>
    <row r="73" spans="1:16" x14ac:dyDescent="0.4">
      <c r="A73" t="s">
        <v>67</v>
      </c>
      <c r="B73" t="s">
        <v>69</v>
      </c>
      <c r="C73">
        <v>24</v>
      </c>
      <c r="D73" t="s">
        <v>95</v>
      </c>
      <c r="E73" t="s">
        <v>91</v>
      </c>
      <c r="F73" t="s">
        <v>82</v>
      </c>
      <c r="G73">
        <v>714</v>
      </c>
      <c r="H73">
        <v>0</v>
      </c>
      <c r="I73" t="str">
        <f>OutputTable[[#This Row],[ProjectName]]&amp;OutputTable[[#This Row],[Name]]&amp;OutputTable[[#This Row],[Type]]&amp;OutputTable[[#This Row],[Source]]</f>
        <v>Unnamed ProjectTourist.NumberOutNumber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cm="1">
        <f t="array" ref="K73">IFERROR(AVERAGE(IF((OutputTable[GroupByKey]=OutputTable[[#This Row],[GroupByKey]]),(OutputTable[GroupByKey]=OutputTable[[#This Row],[GroupByKey]])*OutputTable[RecordedValue])),0)</f>
        <v>680.04</v>
      </c>
      <c r="L73" cm="1">
        <f t="array" ref="L73">IFERROR(_xlfn.STDEV.S(IF((OutputTable[GroupByKey]=OutputTable[[#This Row],[GroupByKey]]),(OutputTable[GroupByKey]=OutputTable[[#This Row],[GroupByKey]])*OutputTable[RecordedValue])),0)</f>
        <v>41.228561528560341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3" cm="1">
        <f t="array" ref="O73">MIN(IF((OutputTable[GroupByKey]=OutputTable[[#This Row],[GroupByKey]]),(OutputTable[GroupByKey]=OutputTable[[#This Row],[GroupByKey]])*OutputTable[RecordedValue]))</f>
        <v>596</v>
      </c>
      <c r="P73" cm="1">
        <f t="array" ref="P73">MAX(IF((OutputTable[GroupByKey]=OutputTable[[#This Row],[GroupByKey]]),(OutputTable[GroupByKey]=OutputTable[[#This Row],[GroupByKey]])*OutputTable[RecordedValue]))</f>
        <v>763</v>
      </c>
    </row>
    <row r="74" spans="1:16" x14ac:dyDescent="0.4">
      <c r="A74" t="s">
        <v>67</v>
      </c>
      <c r="B74" t="s">
        <v>69</v>
      </c>
      <c r="C74">
        <v>25</v>
      </c>
      <c r="D74" t="s">
        <v>90</v>
      </c>
      <c r="E74" t="s">
        <v>91</v>
      </c>
      <c r="F74" t="s">
        <v>92</v>
      </c>
      <c r="G74">
        <v>763</v>
      </c>
      <c r="H74">
        <v>0</v>
      </c>
      <c r="I74" t="str">
        <f>OutputTable[[#This Row],[ProjectName]]&amp;OutputTable[[#This Row],[Name]]&amp;OutputTable[[#This Row],[Type]]&amp;OutputTable[[#This Row],[Source]]</f>
        <v>Unnamed ProjectSystem.NumberOutNumber OutSystem</v>
      </c>
      <c r="J74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cm="1">
        <f t="array" ref="K74">IFERROR(AVERAGE(IF((OutputTable[GroupByKey]=OutputTable[[#This Row],[GroupByKey]]),(OutputTable[GroupByKey]=OutputTable[[#This Row],[GroupByKey]])*OutputTable[RecordedValue])),0)</f>
        <v>680.04</v>
      </c>
      <c r="L74" cm="1">
        <f t="array" ref="L74">IFERROR(_xlfn.STDEV.S(IF((OutputTable[GroupByKey]=OutputTable[[#This Row],[GroupByKey]]),(OutputTable[GroupByKey]=OutputTable[[#This Row],[GroupByKey]])*OutputTable[RecordedValue])),0)</f>
        <v>41.228561528560341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4" cm="1">
        <f t="array" ref="O74">MIN(IF((OutputTable[GroupByKey]=OutputTable[[#This Row],[GroupByKey]]),(OutputTable[GroupByKey]=OutputTable[[#This Row],[GroupByKey]])*OutputTable[RecordedValue]))</f>
        <v>596</v>
      </c>
      <c r="P74" cm="1">
        <f t="array" ref="P74">MAX(IF((OutputTable[GroupByKey]=OutputTable[[#This Row],[GroupByKey]]),(OutputTable[GroupByKey]=OutputTable[[#This Row],[GroupByKey]])*OutputTable[RecordedValue]))</f>
        <v>763</v>
      </c>
    </row>
    <row r="75" spans="1:16" x14ac:dyDescent="0.4">
      <c r="A75" t="s">
        <v>67</v>
      </c>
      <c r="B75" t="s">
        <v>69</v>
      </c>
      <c r="C75">
        <v>25</v>
      </c>
      <c r="D75" t="s">
        <v>93</v>
      </c>
      <c r="E75" t="s">
        <v>94</v>
      </c>
      <c r="F75" t="s">
        <v>82</v>
      </c>
      <c r="G75">
        <v>841</v>
      </c>
      <c r="H75">
        <v>0</v>
      </c>
      <c r="I75" t="str">
        <f>OutputTable[[#This Row],[ProjectName]]&amp;OutputTable[[#This Row],[Name]]&amp;OutputTable[[#This Row],[Type]]&amp;OutputTable[[#This Row],[Source]]</f>
        <v>Unnamed ProjectTourist.NumberInNumber InEntity</v>
      </c>
      <c r="J7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cm="1">
        <f t="array" ref="K75">IFERROR(AVERAGE(IF((OutputTable[GroupByKey]=OutputTable[[#This Row],[GroupByKey]]),(OutputTable[GroupByKey]=OutputTable[[#This Row],[GroupByKey]])*OutputTable[RecordedValue])),0)</f>
        <v>783.7</v>
      </c>
      <c r="L75" cm="1">
        <f t="array" ref="L75">IFERROR(_xlfn.STDEV.S(IF((OutputTable[GroupByKey]=OutputTable[[#This Row],[GroupByKey]]),(OutputTable[GroupByKey]=OutputTable[[#This Row],[GroupByKey]])*OutputTable[RecordedValue])),0)</f>
        <v>30.785797149374726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75" cm="1">
        <f t="array" ref="O75">MIN(IF((OutputTable[GroupByKey]=OutputTable[[#This Row],[GroupByKey]]),(OutputTable[GroupByKey]=OutputTable[[#This Row],[GroupByKey]])*OutputTable[RecordedValue]))</f>
        <v>715</v>
      </c>
      <c r="P75" cm="1">
        <f t="array" ref="P75">MAX(IF((OutputTable[GroupByKey]=OutputTable[[#This Row],[GroupByKey]]),(OutputTable[GroupByKey]=OutputTable[[#This Row],[GroupByKey]])*OutputTable[RecordedValue]))</f>
        <v>841</v>
      </c>
    </row>
    <row r="76" spans="1:16" x14ac:dyDescent="0.4">
      <c r="A76" t="s">
        <v>67</v>
      </c>
      <c r="B76" t="s">
        <v>69</v>
      </c>
      <c r="C76">
        <v>25</v>
      </c>
      <c r="D76" t="s">
        <v>95</v>
      </c>
      <c r="E76" t="s">
        <v>91</v>
      </c>
      <c r="F76" t="s">
        <v>82</v>
      </c>
      <c r="G76">
        <v>763</v>
      </c>
      <c r="H76">
        <v>0</v>
      </c>
      <c r="I76" t="str">
        <f>OutputTable[[#This Row],[ProjectName]]&amp;OutputTable[[#This Row],[Name]]&amp;OutputTable[[#This Row],[Type]]&amp;OutputTable[[#This Row],[Source]]</f>
        <v>Unnamed ProjectTourist.NumberOutNumber OutEntity</v>
      </c>
      <c r="J76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cm="1">
        <f t="array" ref="K76">IFERROR(AVERAGE(IF((OutputTable[GroupByKey]=OutputTable[[#This Row],[GroupByKey]]),(OutputTable[GroupByKey]=OutputTable[[#This Row],[GroupByKey]])*OutputTable[RecordedValue])),0)</f>
        <v>680.04</v>
      </c>
      <c r="L76" cm="1">
        <f t="array" ref="L76">IFERROR(_xlfn.STDEV.S(IF((OutputTable[GroupByKey]=OutputTable[[#This Row],[GroupByKey]]),(OutputTable[GroupByKey]=OutputTable[[#This Row],[GroupByKey]])*OutputTable[RecordedValue])),0)</f>
        <v>41.228561528560341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6" cm="1">
        <f t="array" ref="O76">MIN(IF((OutputTable[GroupByKey]=OutputTable[[#This Row],[GroupByKey]]),(OutputTable[GroupByKey]=OutputTable[[#This Row],[GroupByKey]])*OutputTable[RecordedValue]))</f>
        <v>596</v>
      </c>
      <c r="P76" cm="1">
        <f t="array" ref="P76">MAX(IF((OutputTable[GroupByKey]=OutputTable[[#This Row],[GroupByKey]]),(OutputTable[GroupByKey]=OutputTable[[#This Row],[GroupByKey]])*OutputTable[RecordedValue]))</f>
        <v>763</v>
      </c>
    </row>
    <row r="77" spans="1:16" x14ac:dyDescent="0.4">
      <c r="A77" t="s">
        <v>67</v>
      </c>
      <c r="B77" t="s">
        <v>69</v>
      </c>
      <c r="C77">
        <v>26</v>
      </c>
      <c r="D77" t="s">
        <v>90</v>
      </c>
      <c r="E77" t="s">
        <v>91</v>
      </c>
      <c r="F77" t="s">
        <v>92</v>
      </c>
      <c r="G77">
        <v>635</v>
      </c>
      <c r="H77">
        <v>0</v>
      </c>
      <c r="I77" t="str">
        <f>OutputTable[[#This Row],[ProjectName]]&amp;OutputTable[[#This Row],[Name]]&amp;OutputTable[[#This Row],[Type]]&amp;OutputTable[[#This Row],[Source]]</f>
        <v>Unnamed ProjectSystem.NumberOutNumber OutSystem</v>
      </c>
      <c r="J77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cm="1">
        <f t="array" ref="K77">IFERROR(AVERAGE(IF((OutputTable[GroupByKey]=OutputTable[[#This Row],[GroupByKey]]),(OutputTable[GroupByKey]=OutputTable[[#This Row],[GroupByKey]])*OutputTable[RecordedValue])),0)</f>
        <v>680.04</v>
      </c>
      <c r="L77" cm="1">
        <f t="array" ref="L77">IFERROR(_xlfn.STDEV.S(IF((OutputTable[GroupByKey]=OutputTable[[#This Row],[GroupByKey]]),(OutputTable[GroupByKey]=OutputTable[[#This Row],[GroupByKey]])*OutputTable[RecordedValue])),0)</f>
        <v>41.228561528560341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7" cm="1">
        <f t="array" ref="O77">MIN(IF((OutputTable[GroupByKey]=OutputTable[[#This Row],[GroupByKey]]),(OutputTable[GroupByKey]=OutputTable[[#This Row],[GroupByKey]])*OutputTable[RecordedValue]))</f>
        <v>596</v>
      </c>
      <c r="P77" cm="1">
        <f t="array" ref="P77">MAX(IF((OutputTable[GroupByKey]=OutputTable[[#This Row],[GroupByKey]]),(OutputTable[GroupByKey]=OutputTable[[#This Row],[GroupByKey]])*OutputTable[RecordedValue]))</f>
        <v>763</v>
      </c>
    </row>
    <row r="78" spans="1:16" x14ac:dyDescent="0.4">
      <c r="A78" t="s">
        <v>67</v>
      </c>
      <c r="B78" t="s">
        <v>69</v>
      </c>
      <c r="C78">
        <v>26</v>
      </c>
      <c r="D78" t="s">
        <v>93</v>
      </c>
      <c r="E78" t="s">
        <v>94</v>
      </c>
      <c r="F78" t="s">
        <v>82</v>
      </c>
      <c r="G78">
        <v>779</v>
      </c>
      <c r="H78">
        <v>0</v>
      </c>
      <c r="I78" t="str">
        <f>OutputTable[[#This Row],[ProjectName]]&amp;OutputTable[[#This Row],[Name]]&amp;OutputTable[[#This Row],[Type]]&amp;OutputTable[[#This Row],[Source]]</f>
        <v>Unnamed ProjectTourist.NumberInNumber InEntity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cm="1">
        <f t="array" ref="K78">IFERROR(AVERAGE(IF((OutputTable[GroupByKey]=OutputTable[[#This Row],[GroupByKey]]),(OutputTable[GroupByKey]=OutputTable[[#This Row],[GroupByKey]])*OutputTable[RecordedValue])),0)</f>
        <v>783.7</v>
      </c>
      <c r="L78" cm="1">
        <f t="array" ref="L78">IFERROR(_xlfn.STDEV.S(IF((OutputTable[GroupByKey]=OutputTable[[#This Row],[GroupByKey]]),(OutputTable[GroupByKey]=OutputTable[[#This Row],[GroupByKey]])*OutputTable[RecordedValue])),0)</f>
        <v>30.785797149374726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78" cm="1">
        <f t="array" ref="O78">MIN(IF((OutputTable[GroupByKey]=OutputTable[[#This Row],[GroupByKey]]),(OutputTable[GroupByKey]=OutputTable[[#This Row],[GroupByKey]])*OutputTable[RecordedValue]))</f>
        <v>715</v>
      </c>
      <c r="P78" cm="1">
        <f t="array" ref="P78">MAX(IF((OutputTable[GroupByKey]=OutputTable[[#This Row],[GroupByKey]]),(OutputTable[GroupByKey]=OutputTable[[#This Row],[GroupByKey]])*OutputTable[RecordedValue]))</f>
        <v>841</v>
      </c>
    </row>
    <row r="79" spans="1:16" x14ac:dyDescent="0.4">
      <c r="A79" t="s">
        <v>67</v>
      </c>
      <c r="B79" t="s">
        <v>69</v>
      </c>
      <c r="C79">
        <v>26</v>
      </c>
      <c r="D79" t="s">
        <v>95</v>
      </c>
      <c r="E79" t="s">
        <v>91</v>
      </c>
      <c r="F79" t="s">
        <v>82</v>
      </c>
      <c r="G79">
        <v>635</v>
      </c>
      <c r="H79">
        <v>0</v>
      </c>
      <c r="I79" t="str">
        <f>OutputTable[[#This Row],[ProjectName]]&amp;OutputTable[[#This Row],[Name]]&amp;OutputTable[[#This Row],[Type]]&amp;OutputTable[[#This Row],[Source]]</f>
        <v>Unnamed ProjectTourist.NumberOutNumber OutEntity</v>
      </c>
      <c r="J79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cm="1">
        <f t="array" ref="K79">IFERROR(AVERAGE(IF((OutputTable[GroupByKey]=OutputTable[[#This Row],[GroupByKey]]),(OutputTable[GroupByKey]=OutputTable[[#This Row],[GroupByKey]])*OutputTable[RecordedValue])),0)</f>
        <v>680.04</v>
      </c>
      <c r="L79" cm="1">
        <f t="array" ref="L79">IFERROR(_xlfn.STDEV.S(IF((OutputTable[GroupByKey]=OutputTable[[#This Row],[GroupByKey]]),(OutputTable[GroupByKey]=OutputTable[[#This Row],[GroupByKey]])*OutputTable[RecordedValue])),0)</f>
        <v>41.228561528560341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79" cm="1">
        <f t="array" ref="O79">MIN(IF((OutputTable[GroupByKey]=OutputTable[[#This Row],[GroupByKey]]),(OutputTable[GroupByKey]=OutputTable[[#This Row],[GroupByKey]])*OutputTable[RecordedValue]))</f>
        <v>596</v>
      </c>
      <c r="P79" cm="1">
        <f t="array" ref="P79">MAX(IF((OutputTable[GroupByKey]=OutputTable[[#This Row],[GroupByKey]]),(OutputTable[GroupByKey]=OutputTable[[#This Row],[GroupByKey]])*OutputTable[RecordedValue]))</f>
        <v>763</v>
      </c>
    </row>
    <row r="80" spans="1:16" x14ac:dyDescent="0.4">
      <c r="A80" t="s">
        <v>67</v>
      </c>
      <c r="B80" t="s">
        <v>69</v>
      </c>
      <c r="C80">
        <v>27</v>
      </c>
      <c r="D80" t="s">
        <v>90</v>
      </c>
      <c r="E80" t="s">
        <v>91</v>
      </c>
      <c r="F80" t="s">
        <v>92</v>
      </c>
      <c r="G80">
        <v>687</v>
      </c>
      <c r="H80">
        <v>0</v>
      </c>
      <c r="I80" t="str">
        <f>OutputTable[[#This Row],[ProjectName]]&amp;OutputTable[[#This Row],[Name]]&amp;OutputTable[[#This Row],[Type]]&amp;OutputTable[[#This Row],[Source]]</f>
        <v>Unnamed ProjectSystem.NumberOutNumber OutSystem</v>
      </c>
      <c r="J80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cm="1">
        <f t="array" ref="K80">IFERROR(AVERAGE(IF((OutputTable[GroupByKey]=OutputTable[[#This Row],[GroupByKey]]),(OutputTable[GroupByKey]=OutputTable[[#This Row],[GroupByKey]])*OutputTable[RecordedValue])),0)</f>
        <v>680.04</v>
      </c>
      <c r="L80" cm="1">
        <f t="array" ref="L80">IFERROR(_xlfn.STDEV.S(IF((OutputTable[GroupByKey]=OutputTable[[#This Row],[GroupByKey]]),(OutputTable[GroupByKey]=OutputTable[[#This Row],[GroupByKey]])*OutputTable[RecordedValue])),0)</f>
        <v>41.228561528560341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0" cm="1">
        <f t="array" ref="O80">MIN(IF((OutputTable[GroupByKey]=OutputTable[[#This Row],[GroupByKey]]),(OutputTable[GroupByKey]=OutputTable[[#This Row],[GroupByKey]])*OutputTable[RecordedValue]))</f>
        <v>596</v>
      </c>
      <c r="P80" cm="1">
        <f t="array" ref="P80">MAX(IF((OutputTable[GroupByKey]=OutputTable[[#This Row],[GroupByKey]]),(OutputTable[GroupByKey]=OutputTable[[#This Row],[GroupByKey]])*OutputTable[RecordedValue]))</f>
        <v>763</v>
      </c>
    </row>
    <row r="81" spans="1:16" x14ac:dyDescent="0.4">
      <c r="A81" t="s">
        <v>67</v>
      </c>
      <c r="B81" t="s">
        <v>69</v>
      </c>
      <c r="C81">
        <v>27</v>
      </c>
      <c r="D81" t="s">
        <v>93</v>
      </c>
      <c r="E81" t="s">
        <v>94</v>
      </c>
      <c r="F81" t="s">
        <v>82</v>
      </c>
      <c r="G81">
        <v>741</v>
      </c>
      <c r="H81">
        <v>0</v>
      </c>
      <c r="I81" t="str">
        <f>OutputTable[[#This Row],[ProjectName]]&amp;OutputTable[[#This Row],[Name]]&amp;OutputTable[[#This Row],[Type]]&amp;OutputTable[[#This Row],[Source]]</f>
        <v>Unnamed ProjectTourist.NumberInNumber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cm="1">
        <f t="array" ref="K81">IFERROR(AVERAGE(IF((OutputTable[GroupByKey]=OutputTable[[#This Row],[GroupByKey]]),(OutputTable[GroupByKey]=OutputTable[[#This Row],[GroupByKey]])*OutputTable[RecordedValue])),0)</f>
        <v>783.7</v>
      </c>
      <c r="L81" cm="1">
        <f t="array" ref="L81">IFERROR(_xlfn.STDEV.S(IF((OutputTable[GroupByKey]=OutputTable[[#This Row],[GroupByKey]]),(OutputTable[GroupByKey]=OutputTable[[#This Row],[GroupByKey]])*OutputTable[RecordedValue])),0)</f>
        <v>30.785797149374726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81" cm="1">
        <f t="array" ref="O81">MIN(IF((OutputTable[GroupByKey]=OutputTable[[#This Row],[GroupByKey]]),(OutputTable[GroupByKey]=OutputTable[[#This Row],[GroupByKey]])*OutputTable[RecordedValue]))</f>
        <v>715</v>
      </c>
      <c r="P81" cm="1">
        <f t="array" ref="P81">MAX(IF((OutputTable[GroupByKey]=OutputTable[[#This Row],[GroupByKey]]),(OutputTable[GroupByKey]=OutputTable[[#This Row],[GroupByKey]])*OutputTable[RecordedValue]))</f>
        <v>841</v>
      </c>
    </row>
    <row r="82" spans="1:16" x14ac:dyDescent="0.4">
      <c r="A82" t="s">
        <v>67</v>
      </c>
      <c r="B82" t="s">
        <v>69</v>
      </c>
      <c r="C82">
        <v>27</v>
      </c>
      <c r="D82" t="s">
        <v>95</v>
      </c>
      <c r="E82" t="s">
        <v>91</v>
      </c>
      <c r="F82" t="s">
        <v>82</v>
      </c>
      <c r="G82">
        <v>687</v>
      </c>
      <c r="H82">
        <v>0</v>
      </c>
      <c r="I82" t="str">
        <f>OutputTable[[#This Row],[ProjectName]]&amp;OutputTable[[#This Row],[Name]]&amp;OutputTable[[#This Row],[Type]]&amp;OutputTable[[#This Row],[Source]]</f>
        <v>Unnamed ProjectTourist.NumberOutNumber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cm="1">
        <f t="array" ref="K82">IFERROR(AVERAGE(IF((OutputTable[GroupByKey]=OutputTable[[#This Row],[GroupByKey]]),(OutputTable[GroupByKey]=OutputTable[[#This Row],[GroupByKey]])*OutputTable[RecordedValue])),0)</f>
        <v>680.04</v>
      </c>
      <c r="L82" cm="1">
        <f t="array" ref="L82">IFERROR(_xlfn.STDEV.S(IF((OutputTable[GroupByKey]=OutputTable[[#This Row],[GroupByKey]]),(OutputTable[GroupByKey]=OutputTable[[#This Row],[GroupByKey]])*OutputTable[RecordedValue])),0)</f>
        <v>41.228561528560341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2" cm="1">
        <f t="array" ref="O82">MIN(IF((OutputTable[GroupByKey]=OutputTable[[#This Row],[GroupByKey]]),(OutputTable[GroupByKey]=OutputTable[[#This Row],[GroupByKey]])*OutputTable[RecordedValue]))</f>
        <v>596</v>
      </c>
      <c r="P82" cm="1">
        <f t="array" ref="P82">MAX(IF((OutputTable[GroupByKey]=OutputTable[[#This Row],[GroupByKey]]),(OutputTable[GroupByKey]=OutputTable[[#This Row],[GroupByKey]])*OutputTable[RecordedValue]))</f>
        <v>763</v>
      </c>
    </row>
    <row r="83" spans="1:16" x14ac:dyDescent="0.4">
      <c r="A83" t="s">
        <v>67</v>
      </c>
      <c r="B83" t="s">
        <v>69</v>
      </c>
      <c r="C83">
        <v>28</v>
      </c>
      <c r="D83" t="s">
        <v>90</v>
      </c>
      <c r="E83" t="s">
        <v>91</v>
      </c>
      <c r="F83" t="s">
        <v>92</v>
      </c>
      <c r="G83">
        <v>619</v>
      </c>
      <c r="H83">
        <v>0</v>
      </c>
      <c r="I83" t="str">
        <f>OutputTable[[#This Row],[ProjectName]]&amp;OutputTable[[#This Row],[Name]]&amp;OutputTable[[#This Row],[Type]]&amp;OutputTable[[#This Row],[Source]]</f>
        <v>Unnamed ProjectSystem.NumberOutNumber OutSystem</v>
      </c>
      <c r="J83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cm="1">
        <f t="array" ref="K83">IFERROR(AVERAGE(IF((OutputTable[GroupByKey]=OutputTable[[#This Row],[GroupByKey]]),(OutputTable[GroupByKey]=OutputTable[[#This Row],[GroupByKey]])*OutputTable[RecordedValue])),0)</f>
        <v>680.04</v>
      </c>
      <c r="L83" cm="1">
        <f t="array" ref="L83">IFERROR(_xlfn.STDEV.S(IF((OutputTable[GroupByKey]=OutputTable[[#This Row],[GroupByKey]]),(OutputTable[GroupByKey]=OutputTable[[#This Row],[GroupByKey]])*OutputTable[RecordedValue])),0)</f>
        <v>41.228561528560341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3" cm="1">
        <f t="array" ref="O83">MIN(IF((OutputTable[GroupByKey]=OutputTable[[#This Row],[GroupByKey]]),(OutputTable[GroupByKey]=OutputTable[[#This Row],[GroupByKey]])*OutputTable[RecordedValue]))</f>
        <v>596</v>
      </c>
      <c r="P83" cm="1">
        <f t="array" ref="P83">MAX(IF((OutputTable[GroupByKey]=OutputTable[[#This Row],[GroupByKey]]),(OutputTable[GroupByKey]=OutputTable[[#This Row],[GroupByKey]])*OutputTable[RecordedValue]))</f>
        <v>763</v>
      </c>
    </row>
    <row r="84" spans="1:16" x14ac:dyDescent="0.4">
      <c r="A84" t="s">
        <v>67</v>
      </c>
      <c r="B84" t="s">
        <v>69</v>
      </c>
      <c r="C84">
        <v>28</v>
      </c>
      <c r="D84" t="s">
        <v>93</v>
      </c>
      <c r="E84" t="s">
        <v>94</v>
      </c>
      <c r="F84" t="s">
        <v>82</v>
      </c>
      <c r="G84">
        <v>738</v>
      </c>
      <c r="H84">
        <v>0</v>
      </c>
      <c r="I84" t="str">
        <f>OutputTable[[#This Row],[ProjectName]]&amp;OutputTable[[#This Row],[Name]]&amp;OutputTable[[#This Row],[Type]]&amp;OutputTable[[#This Row],[Source]]</f>
        <v>Unnamed ProjectTourist.NumberInNumber InEntity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cm="1">
        <f t="array" ref="K84">IFERROR(AVERAGE(IF((OutputTable[GroupByKey]=OutputTable[[#This Row],[GroupByKey]]),(OutputTable[GroupByKey]=OutputTable[[#This Row],[GroupByKey]])*OutputTable[RecordedValue])),0)</f>
        <v>783.7</v>
      </c>
      <c r="L84" cm="1">
        <f t="array" ref="L84">IFERROR(_xlfn.STDEV.S(IF((OutputTable[GroupByKey]=OutputTable[[#This Row],[GroupByKey]]),(OutputTable[GroupByKey]=OutputTable[[#This Row],[GroupByKey]])*OutputTable[RecordedValue])),0)</f>
        <v>30.785797149374726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84" cm="1">
        <f t="array" ref="O84">MIN(IF((OutputTable[GroupByKey]=OutputTable[[#This Row],[GroupByKey]]),(OutputTable[GroupByKey]=OutputTable[[#This Row],[GroupByKey]])*OutputTable[RecordedValue]))</f>
        <v>715</v>
      </c>
      <c r="P84" cm="1">
        <f t="array" ref="P84">MAX(IF((OutputTable[GroupByKey]=OutputTable[[#This Row],[GroupByKey]]),(OutputTable[GroupByKey]=OutputTable[[#This Row],[GroupByKey]])*OutputTable[RecordedValue]))</f>
        <v>841</v>
      </c>
    </row>
    <row r="85" spans="1:16" x14ac:dyDescent="0.4">
      <c r="A85" t="s">
        <v>67</v>
      </c>
      <c r="B85" t="s">
        <v>69</v>
      </c>
      <c r="C85">
        <v>28</v>
      </c>
      <c r="D85" t="s">
        <v>95</v>
      </c>
      <c r="E85" t="s">
        <v>91</v>
      </c>
      <c r="F85" t="s">
        <v>82</v>
      </c>
      <c r="G85">
        <v>619</v>
      </c>
      <c r="H85">
        <v>0</v>
      </c>
      <c r="I85" t="str">
        <f>OutputTable[[#This Row],[ProjectName]]&amp;OutputTable[[#This Row],[Name]]&amp;OutputTable[[#This Row],[Type]]&amp;OutputTable[[#This Row],[Source]]</f>
        <v>Unnamed ProjectTourist.NumberOutNumber OutEntity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cm="1">
        <f t="array" ref="K85">IFERROR(AVERAGE(IF((OutputTable[GroupByKey]=OutputTable[[#This Row],[GroupByKey]]),(OutputTable[GroupByKey]=OutputTable[[#This Row],[GroupByKey]])*OutputTable[RecordedValue])),0)</f>
        <v>680.04</v>
      </c>
      <c r="L85" cm="1">
        <f t="array" ref="L85">IFERROR(_xlfn.STDEV.S(IF((OutputTable[GroupByKey]=OutputTable[[#This Row],[GroupByKey]]),(OutputTable[GroupByKey]=OutputTable[[#This Row],[GroupByKey]])*OutputTable[RecordedValue])),0)</f>
        <v>41.228561528560341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5" cm="1">
        <f t="array" ref="O85">MIN(IF((OutputTable[GroupByKey]=OutputTable[[#This Row],[GroupByKey]]),(OutputTable[GroupByKey]=OutputTable[[#This Row],[GroupByKey]])*OutputTable[RecordedValue]))</f>
        <v>596</v>
      </c>
      <c r="P85" cm="1">
        <f t="array" ref="P85">MAX(IF((OutputTable[GroupByKey]=OutputTable[[#This Row],[GroupByKey]]),(OutputTable[GroupByKey]=OutputTable[[#This Row],[GroupByKey]])*OutputTable[RecordedValue]))</f>
        <v>763</v>
      </c>
    </row>
    <row r="86" spans="1:16" x14ac:dyDescent="0.4">
      <c r="A86" t="s">
        <v>67</v>
      </c>
      <c r="B86" t="s">
        <v>69</v>
      </c>
      <c r="C86">
        <v>29</v>
      </c>
      <c r="D86" t="s">
        <v>90</v>
      </c>
      <c r="E86" t="s">
        <v>91</v>
      </c>
      <c r="F86" t="s">
        <v>92</v>
      </c>
      <c r="G86">
        <v>720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cm="1">
        <f t="array" ref="K86">IFERROR(AVERAGE(IF((OutputTable[GroupByKey]=OutputTable[[#This Row],[GroupByKey]]),(OutputTable[GroupByKey]=OutputTable[[#This Row],[GroupByKey]])*OutputTable[RecordedValue])),0)</f>
        <v>680.04</v>
      </c>
      <c r="L86" cm="1">
        <f t="array" ref="L86">IFERROR(_xlfn.STDEV.S(IF((OutputTable[GroupByKey]=OutputTable[[#This Row],[GroupByKey]]),(OutputTable[GroupByKey]=OutputTable[[#This Row],[GroupByKey]])*OutputTable[RecordedValue])),0)</f>
        <v>41.228561528560341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6" cm="1">
        <f t="array" ref="O86">MIN(IF((OutputTable[GroupByKey]=OutputTable[[#This Row],[GroupByKey]]),(OutputTable[GroupByKey]=OutputTable[[#This Row],[GroupByKey]])*OutputTable[RecordedValue]))</f>
        <v>596</v>
      </c>
      <c r="P86" cm="1">
        <f t="array" ref="P86">MAX(IF((OutputTable[GroupByKey]=OutputTable[[#This Row],[GroupByKey]]),(OutputTable[GroupByKey]=OutputTable[[#This Row],[GroupByKey]])*OutputTable[RecordedValue]))</f>
        <v>763</v>
      </c>
    </row>
    <row r="87" spans="1:16" x14ac:dyDescent="0.4">
      <c r="A87" t="s">
        <v>67</v>
      </c>
      <c r="B87" t="s">
        <v>69</v>
      </c>
      <c r="C87">
        <v>29</v>
      </c>
      <c r="D87" t="s">
        <v>93</v>
      </c>
      <c r="E87" t="s">
        <v>94</v>
      </c>
      <c r="F87" t="s">
        <v>82</v>
      </c>
      <c r="G87">
        <v>808</v>
      </c>
      <c r="H87">
        <v>0</v>
      </c>
      <c r="I87" t="str">
        <f>OutputTable[[#This Row],[ProjectName]]&amp;OutputTable[[#This Row],[Name]]&amp;OutputTable[[#This Row],[Type]]&amp;OutputTable[[#This Row],[Source]]</f>
        <v>Unnamed ProjectTourist.NumberInNumber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cm="1">
        <f t="array" ref="K87">IFERROR(AVERAGE(IF((OutputTable[GroupByKey]=OutputTable[[#This Row],[GroupByKey]]),(OutputTable[GroupByKey]=OutputTable[[#This Row],[GroupByKey]])*OutputTable[RecordedValue])),0)</f>
        <v>783.7</v>
      </c>
      <c r="L87" cm="1">
        <f t="array" ref="L87">IFERROR(_xlfn.STDEV.S(IF((OutputTable[GroupByKey]=OutputTable[[#This Row],[GroupByKey]]),(OutputTable[GroupByKey]=OutputTable[[#This Row],[GroupByKey]])*OutputTable[RecordedValue])),0)</f>
        <v>30.785797149374726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87" cm="1">
        <f t="array" ref="O87">MIN(IF((OutputTable[GroupByKey]=OutputTable[[#This Row],[GroupByKey]]),(OutputTable[GroupByKey]=OutputTable[[#This Row],[GroupByKey]])*OutputTable[RecordedValue]))</f>
        <v>715</v>
      </c>
      <c r="P87" cm="1">
        <f t="array" ref="P87">MAX(IF((OutputTable[GroupByKey]=OutputTable[[#This Row],[GroupByKey]]),(OutputTable[GroupByKey]=OutputTable[[#This Row],[GroupByKey]])*OutputTable[RecordedValue]))</f>
        <v>841</v>
      </c>
    </row>
    <row r="88" spans="1:16" x14ac:dyDescent="0.4">
      <c r="A88" t="s">
        <v>67</v>
      </c>
      <c r="B88" t="s">
        <v>69</v>
      </c>
      <c r="C88">
        <v>29</v>
      </c>
      <c r="D88" t="s">
        <v>95</v>
      </c>
      <c r="E88" t="s">
        <v>91</v>
      </c>
      <c r="F88" t="s">
        <v>82</v>
      </c>
      <c r="G88">
        <v>720</v>
      </c>
      <c r="H88">
        <v>0</v>
      </c>
      <c r="I88" t="str">
        <f>OutputTable[[#This Row],[ProjectName]]&amp;OutputTable[[#This Row],[Name]]&amp;OutputTable[[#This Row],[Type]]&amp;OutputTable[[#This Row],[Source]]</f>
        <v>Unnamed ProjectTourist.NumberOutNumber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cm="1">
        <f t="array" ref="K88">IFERROR(AVERAGE(IF((OutputTable[GroupByKey]=OutputTable[[#This Row],[GroupByKey]]),(OutputTable[GroupByKey]=OutputTable[[#This Row],[GroupByKey]])*OutputTable[RecordedValue])),0)</f>
        <v>680.04</v>
      </c>
      <c r="L88" cm="1">
        <f t="array" ref="L88">IFERROR(_xlfn.STDEV.S(IF((OutputTable[GroupByKey]=OutputTable[[#This Row],[GroupByKey]]),(OutputTable[GroupByKey]=OutputTable[[#This Row],[GroupByKey]])*OutputTable[RecordedValue])),0)</f>
        <v>41.228561528560341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8" cm="1">
        <f t="array" ref="O88">MIN(IF((OutputTable[GroupByKey]=OutputTable[[#This Row],[GroupByKey]]),(OutputTable[GroupByKey]=OutputTable[[#This Row],[GroupByKey]])*OutputTable[RecordedValue]))</f>
        <v>596</v>
      </c>
      <c r="P88" cm="1">
        <f t="array" ref="P88">MAX(IF((OutputTable[GroupByKey]=OutputTable[[#This Row],[GroupByKey]]),(OutputTable[GroupByKey]=OutputTable[[#This Row],[GroupByKey]])*OutputTable[RecordedValue]))</f>
        <v>763</v>
      </c>
    </row>
    <row r="89" spans="1:16" x14ac:dyDescent="0.4">
      <c r="A89" t="s">
        <v>67</v>
      </c>
      <c r="B89" t="s">
        <v>69</v>
      </c>
      <c r="C89">
        <v>30</v>
      </c>
      <c r="D89" t="s">
        <v>90</v>
      </c>
      <c r="E89" t="s">
        <v>91</v>
      </c>
      <c r="F89" t="s">
        <v>92</v>
      </c>
      <c r="G89">
        <v>665</v>
      </c>
      <c r="H89">
        <v>0</v>
      </c>
      <c r="I89" t="str">
        <f>OutputTable[[#This Row],[ProjectName]]&amp;OutputTable[[#This Row],[Name]]&amp;OutputTable[[#This Row],[Type]]&amp;OutputTable[[#This Row],[Source]]</f>
        <v>Unnamed ProjectSystem.NumberOutNumber OutSystem</v>
      </c>
      <c r="J89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cm="1">
        <f t="array" ref="K89">IFERROR(AVERAGE(IF((OutputTable[GroupByKey]=OutputTable[[#This Row],[GroupByKey]]),(OutputTable[GroupByKey]=OutputTable[[#This Row],[GroupByKey]])*OutputTable[RecordedValue])),0)</f>
        <v>680.04</v>
      </c>
      <c r="L89" cm="1">
        <f t="array" ref="L89">IFERROR(_xlfn.STDEV.S(IF((OutputTable[GroupByKey]=OutputTable[[#This Row],[GroupByKey]]),(OutputTable[GroupByKey]=OutputTable[[#This Row],[GroupByKey]])*OutputTable[RecordedValue])),0)</f>
        <v>41.228561528560341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89" cm="1">
        <f t="array" ref="O89">MIN(IF((OutputTable[GroupByKey]=OutputTable[[#This Row],[GroupByKey]]),(OutputTable[GroupByKey]=OutputTable[[#This Row],[GroupByKey]])*OutputTable[RecordedValue]))</f>
        <v>596</v>
      </c>
      <c r="P89" cm="1">
        <f t="array" ref="P89">MAX(IF((OutputTable[GroupByKey]=OutputTable[[#This Row],[GroupByKey]]),(OutputTable[GroupByKey]=OutputTable[[#This Row],[GroupByKey]])*OutputTable[RecordedValue]))</f>
        <v>763</v>
      </c>
    </row>
    <row r="90" spans="1:16" x14ac:dyDescent="0.4">
      <c r="A90" t="s">
        <v>67</v>
      </c>
      <c r="B90" t="s">
        <v>69</v>
      </c>
      <c r="C90">
        <v>30</v>
      </c>
      <c r="D90" t="s">
        <v>93</v>
      </c>
      <c r="E90" t="s">
        <v>94</v>
      </c>
      <c r="F90" t="s">
        <v>82</v>
      </c>
      <c r="G90">
        <v>779</v>
      </c>
      <c r="H90">
        <v>0</v>
      </c>
      <c r="I90" t="str">
        <f>OutputTable[[#This Row],[ProjectName]]&amp;OutputTable[[#This Row],[Name]]&amp;OutputTable[[#This Row],[Type]]&amp;OutputTable[[#This Row],[Source]]</f>
        <v>Unnamed ProjectTourist.NumberInNumber InEntity</v>
      </c>
      <c r="J90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cm="1">
        <f t="array" ref="K90">IFERROR(AVERAGE(IF((OutputTable[GroupByKey]=OutputTable[[#This Row],[GroupByKey]]),(OutputTable[GroupByKey]=OutputTable[[#This Row],[GroupByKey]])*OutputTable[RecordedValue])),0)</f>
        <v>783.7</v>
      </c>
      <c r="L90" cm="1">
        <f t="array" ref="L90">IFERROR(_xlfn.STDEV.S(IF((OutputTable[GroupByKey]=OutputTable[[#This Row],[GroupByKey]]),(OutputTable[GroupByKey]=OutputTable[[#This Row],[GroupByKey]])*OutputTable[RecordedValue])),0)</f>
        <v>30.785797149374726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90" cm="1">
        <f t="array" ref="O90">MIN(IF((OutputTable[GroupByKey]=OutputTable[[#This Row],[GroupByKey]]),(OutputTable[GroupByKey]=OutputTable[[#This Row],[GroupByKey]])*OutputTable[RecordedValue]))</f>
        <v>715</v>
      </c>
      <c r="P90" cm="1">
        <f t="array" ref="P90">MAX(IF((OutputTable[GroupByKey]=OutputTable[[#This Row],[GroupByKey]]),(OutputTable[GroupByKey]=OutputTable[[#This Row],[GroupByKey]])*OutputTable[RecordedValue]))</f>
        <v>841</v>
      </c>
    </row>
    <row r="91" spans="1:16" x14ac:dyDescent="0.4">
      <c r="A91" t="s">
        <v>67</v>
      </c>
      <c r="B91" t="s">
        <v>69</v>
      </c>
      <c r="C91">
        <v>30</v>
      </c>
      <c r="D91" t="s">
        <v>95</v>
      </c>
      <c r="E91" t="s">
        <v>91</v>
      </c>
      <c r="F91" t="s">
        <v>82</v>
      </c>
      <c r="G91">
        <v>665</v>
      </c>
      <c r="H91">
        <v>0</v>
      </c>
      <c r="I91" t="str">
        <f>OutputTable[[#This Row],[ProjectName]]&amp;OutputTable[[#This Row],[Name]]&amp;OutputTable[[#This Row],[Type]]&amp;OutputTable[[#This Row],[Source]]</f>
        <v>Unnamed ProjectTourist.NumberOutNumber OutEntity</v>
      </c>
      <c r="J91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cm="1">
        <f t="array" ref="K91">IFERROR(AVERAGE(IF((OutputTable[GroupByKey]=OutputTable[[#This Row],[GroupByKey]]),(OutputTable[GroupByKey]=OutputTable[[#This Row],[GroupByKey]])*OutputTable[RecordedValue])),0)</f>
        <v>680.04</v>
      </c>
      <c r="L91" cm="1">
        <f t="array" ref="L91">IFERROR(_xlfn.STDEV.S(IF((OutputTable[GroupByKey]=OutputTable[[#This Row],[GroupByKey]]),(OutputTable[GroupByKey]=OutputTable[[#This Row],[GroupByKey]])*OutputTable[RecordedValue])),0)</f>
        <v>41.228561528560341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91" cm="1">
        <f t="array" ref="O91">MIN(IF((OutputTable[GroupByKey]=OutputTable[[#This Row],[GroupByKey]]),(OutputTable[GroupByKey]=OutputTable[[#This Row],[GroupByKey]])*OutputTable[RecordedValue]))</f>
        <v>596</v>
      </c>
      <c r="P91" cm="1">
        <f t="array" ref="P91">MAX(IF((OutputTable[GroupByKey]=OutputTable[[#This Row],[GroupByKey]]),(OutputTable[GroupByKey]=OutputTable[[#This Row],[GroupByKey]])*OutputTable[RecordedValue]))</f>
        <v>763</v>
      </c>
    </row>
    <row r="92" spans="1:16" x14ac:dyDescent="0.4">
      <c r="A92" t="s">
        <v>67</v>
      </c>
      <c r="B92" t="s">
        <v>69</v>
      </c>
      <c r="C92">
        <v>31</v>
      </c>
      <c r="D92" t="s">
        <v>90</v>
      </c>
      <c r="E92" t="s">
        <v>91</v>
      </c>
      <c r="F92" t="s">
        <v>92</v>
      </c>
      <c r="G92">
        <v>711</v>
      </c>
      <c r="H92">
        <v>0</v>
      </c>
      <c r="I92" t="str">
        <f>OutputTable[[#This Row],[ProjectName]]&amp;OutputTable[[#This Row],[Name]]&amp;OutputTable[[#This Row],[Type]]&amp;OutputTable[[#This Row],[Source]]</f>
        <v>Unnamed ProjectSystem.NumberOutNumber OutSystem</v>
      </c>
      <c r="J92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cm="1">
        <f t="array" ref="K92">IFERROR(AVERAGE(IF((OutputTable[GroupByKey]=OutputTable[[#This Row],[GroupByKey]]),(OutputTable[GroupByKey]=OutputTable[[#This Row],[GroupByKey]])*OutputTable[RecordedValue])),0)</f>
        <v>680.04</v>
      </c>
      <c r="L92" cm="1">
        <f t="array" ref="L92">IFERROR(_xlfn.STDEV.S(IF((OutputTable[GroupByKey]=OutputTable[[#This Row],[GroupByKey]]),(OutputTable[GroupByKey]=OutputTable[[#This Row],[GroupByKey]])*OutputTable[RecordedValue])),0)</f>
        <v>41.228561528560341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92" cm="1">
        <f t="array" ref="O92">MIN(IF((OutputTable[GroupByKey]=OutputTable[[#This Row],[GroupByKey]]),(OutputTable[GroupByKey]=OutputTable[[#This Row],[GroupByKey]])*OutputTable[RecordedValue]))</f>
        <v>596</v>
      </c>
      <c r="P92" cm="1">
        <f t="array" ref="P92">MAX(IF((OutputTable[GroupByKey]=OutputTable[[#This Row],[GroupByKey]]),(OutputTable[GroupByKey]=OutputTable[[#This Row],[GroupByKey]])*OutputTable[RecordedValue]))</f>
        <v>763</v>
      </c>
    </row>
    <row r="93" spans="1:16" x14ac:dyDescent="0.4">
      <c r="A93" t="s">
        <v>67</v>
      </c>
      <c r="B93" t="s">
        <v>69</v>
      </c>
      <c r="C93">
        <v>31</v>
      </c>
      <c r="D93" t="s">
        <v>93</v>
      </c>
      <c r="E93" t="s">
        <v>94</v>
      </c>
      <c r="F93" t="s">
        <v>82</v>
      </c>
      <c r="G93">
        <v>797</v>
      </c>
      <c r="H93">
        <v>0</v>
      </c>
      <c r="I93" t="str">
        <f>OutputTable[[#This Row],[ProjectName]]&amp;OutputTable[[#This Row],[Name]]&amp;OutputTable[[#This Row],[Type]]&amp;OutputTable[[#This Row],[Source]]</f>
        <v>Unnamed ProjectTourist.NumberInNumber InEntity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cm="1">
        <f t="array" ref="K93">IFERROR(AVERAGE(IF((OutputTable[GroupByKey]=OutputTable[[#This Row],[GroupByKey]]),(OutputTable[GroupByKey]=OutputTable[[#This Row],[GroupByKey]])*OutputTable[RecordedValue])),0)</f>
        <v>783.7</v>
      </c>
      <c r="L93" cm="1">
        <f t="array" ref="L93">IFERROR(_xlfn.STDEV.S(IF((OutputTable[GroupByKey]=OutputTable[[#This Row],[GroupByKey]]),(OutputTable[GroupByKey]=OutputTable[[#This Row],[GroupByKey]])*OutputTable[RecordedValue])),0)</f>
        <v>30.785797149374726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93" cm="1">
        <f t="array" ref="O93">MIN(IF((OutputTable[GroupByKey]=OutputTable[[#This Row],[GroupByKey]]),(OutputTable[GroupByKey]=OutputTable[[#This Row],[GroupByKey]])*OutputTable[RecordedValue]))</f>
        <v>715</v>
      </c>
      <c r="P93" cm="1">
        <f t="array" ref="P93">MAX(IF((OutputTable[GroupByKey]=OutputTable[[#This Row],[GroupByKey]]),(OutputTable[GroupByKey]=OutputTable[[#This Row],[GroupByKey]])*OutputTable[RecordedValue]))</f>
        <v>841</v>
      </c>
    </row>
    <row r="94" spans="1:16" x14ac:dyDescent="0.4">
      <c r="A94" t="s">
        <v>67</v>
      </c>
      <c r="B94" t="s">
        <v>69</v>
      </c>
      <c r="C94">
        <v>31</v>
      </c>
      <c r="D94" t="s">
        <v>95</v>
      </c>
      <c r="E94" t="s">
        <v>91</v>
      </c>
      <c r="F94" t="s">
        <v>82</v>
      </c>
      <c r="G94">
        <v>711</v>
      </c>
      <c r="H94">
        <v>0</v>
      </c>
      <c r="I94" t="str">
        <f>OutputTable[[#This Row],[ProjectName]]&amp;OutputTable[[#This Row],[Name]]&amp;OutputTable[[#This Row],[Type]]&amp;OutputTable[[#This Row],[Source]]</f>
        <v>Unnamed ProjectTourist.NumberOutNumber OutEntity</v>
      </c>
      <c r="J94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cm="1">
        <f t="array" ref="K94">IFERROR(AVERAGE(IF((OutputTable[GroupByKey]=OutputTable[[#This Row],[GroupByKey]]),(OutputTable[GroupByKey]=OutputTable[[#This Row],[GroupByKey]])*OutputTable[RecordedValue])),0)</f>
        <v>680.04</v>
      </c>
      <c r="L94" cm="1">
        <f t="array" ref="L94">IFERROR(_xlfn.STDEV.S(IF((OutputTable[GroupByKey]=OutputTable[[#This Row],[GroupByKey]]),(OutputTable[GroupByKey]=OutputTable[[#This Row],[GroupByKey]])*OutputTable[RecordedValue])),0)</f>
        <v>41.228561528560341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94" cm="1">
        <f t="array" ref="O94">MIN(IF((OutputTable[GroupByKey]=OutputTable[[#This Row],[GroupByKey]]),(OutputTable[GroupByKey]=OutputTable[[#This Row],[GroupByKey]])*OutputTable[RecordedValue]))</f>
        <v>596</v>
      </c>
      <c r="P94" cm="1">
        <f t="array" ref="P94">MAX(IF((OutputTable[GroupByKey]=OutputTable[[#This Row],[GroupByKey]]),(OutputTable[GroupByKey]=OutputTable[[#This Row],[GroupByKey]])*OutputTable[RecordedValue]))</f>
        <v>763</v>
      </c>
    </row>
    <row r="95" spans="1:16" x14ac:dyDescent="0.4">
      <c r="A95" t="s">
        <v>67</v>
      </c>
      <c r="B95" t="s">
        <v>69</v>
      </c>
      <c r="C95">
        <v>32</v>
      </c>
      <c r="D95" t="s">
        <v>90</v>
      </c>
      <c r="E95" t="s">
        <v>91</v>
      </c>
      <c r="F95" t="s">
        <v>92</v>
      </c>
      <c r="G95">
        <v>661</v>
      </c>
      <c r="H95">
        <v>0</v>
      </c>
      <c r="I95" t="str">
        <f>OutputTable[[#This Row],[ProjectName]]&amp;OutputTable[[#This Row],[Name]]&amp;OutputTable[[#This Row],[Type]]&amp;OutputTable[[#This Row],[Source]]</f>
        <v>Unnamed ProjectSystem.NumberOutNumber OutSystem</v>
      </c>
      <c r="J9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cm="1">
        <f t="array" ref="K95">IFERROR(AVERAGE(IF((OutputTable[GroupByKey]=OutputTable[[#This Row],[GroupByKey]]),(OutputTable[GroupByKey]=OutputTable[[#This Row],[GroupByKey]])*OutputTable[RecordedValue])),0)</f>
        <v>680.04</v>
      </c>
      <c r="L95" cm="1">
        <f t="array" ref="L95">IFERROR(_xlfn.STDEV.S(IF((OutputTable[GroupByKey]=OutputTable[[#This Row],[GroupByKey]]),(OutputTable[GroupByKey]=OutputTable[[#This Row],[GroupByKey]])*OutputTable[RecordedValue])),0)</f>
        <v>41.228561528560341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95" cm="1">
        <f t="array" ref="O95">MIN(IF((OutputTable[GroupByKey]=OutputTable[[#This Row],[GroupByKey]]),(OutputTable[GroupByKey]=OutputTable[[#This Row],[GroupByKey]])*OutputTable[RecordedValue]))</f>
        <v>596</v>
      </c>
      <c r="P95" cm="1">
        <f t="array" ref="P95">MAX(IF((OutputTable[GroupByKey]=OutputTable[[#This Row],[GroupByKey]]),(OutputTable[GroupByKey]=OutputTable[[#This Row],[GroupByKey]])*OutputTable[RecordedValue]))</f>
        <v>763</v>
      </c>
    </row>
    <row r="96" spans="1:16" x14ac:dyDescent="0.4">
      <c r="A96" t="s">
        <v>67</v>
      </c>
      <c r="B96" t="s">
        <v>69</v>
      </c>
      <c r="C96">
        <v>32</v>
      </c>
      <c r="D96" t="s">
        <v>93</v>
      </c>
      <c r="E96" t="s">
        <v>94</v>
      </c>
      <c r="F96" t="s">
        <v>82</v>
      </c>
      <c r="G96">
        <v>776</v>
      </c>
      <c r="H96">
        <v>0</v>
      </c>
      <c r="I96" t="str">
        <f>OutputTable[[#This Row],[ProjectName]]&amp;OutputTable[[#This Row],[Name]]&amp;OutputTable[[#This Row],[Type]]&amp;OutputTable[[#This Row],[Source]]</f>
        <v>Unnamed ProjectTourist.NumberInNumber InEntity</v>
      </c>
      <c r="J96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cm="1">
        <f t="array" ref="K96">IFERROR(AVERAGE(IF((OutputTable[GroupByKey]=OutputTable[[#This Row],[GroupByKey]]),(OutputTable[GroupByKey]=OutputTable[[#This Row],[GroupByKey]])*OutputTable[RecordedValue])),0)</f>
        <v>783.7</v>
      </c>
      <c r="L96" cm="1">
        <f t="array" ref="L96">IFERROR(_xlfn.STDEV.S(IF((OutputTable[GroupByKey]=OutputTable[[#This Row],[GroupByKey]]),(OutputTable[GroupByKey]=OutputTable[[#This Row],[GroupByKey]])*OutputTable[RecordedValue])),0)</f>
        <v>30.785797149374726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96" cm="1">
        <f t="array" ref="O96">MIN(IF((OutputTable[GroupByKey]=OutputTable[[#This Row],[GroupByKey]]),(OutputTable[GroupByKey]=OutputTable[[#This Row],[GroupByKey]])*OutputTable[RecordedValue]))</f>
        <v>715</v>
      </c>
      <c r="P96" cm="1">
        <f t="array" ref="P96">MAX(IF((OutputTable[GroupByKey]=OutputTable[[#This Row],[GroupByKey]]),(OutputTable[GroupByKey]=OutputTable[[#This Row],[GroupByKey]])*OutputTable[RecordedValue]))</f>
        <v>841</v>
      </c>
    </row>
    <row r="97" spans="1:16" x14ac:dyDescent="0.4">
      <c r="A97" t="s">
        <v>67</v>
      </c>
      <c r="B97" t="s">
        <v>69</v>
      </c>
      <c r="C97">
        <v>32</v>
      </c>
      <c r="D97" t="s">
        <v>95</v>
      </c>
      <c r="E97" t="s">
        <v>91</v>
      </c>
      <c r="F97" t="s">
        <v>82</v>
      </c>
      <c r="G97">
        <v>661</v>
      </c>
      <c r="H97">
        <v>0</v>
      </c>
      <c r="I97" t="str">
        <f>OutputTable[[#This Row],[ProjectName]]&amp;OutputTable[[#This Row],[Name]]&amp;OutputTable[[#This Row],[Type]]&amp;OutputTable[[#This Row],[Source]]</f>
        <v>Unnamed ProjectTourist.NumberOutNumber OutEntity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cm="1">
        <f t="array" ref="K97">IFERROR(AVERAGE(IF((OutputTable[GroupByKey]=OutputTable[[#This Row],[GroupByKey]]),(OutputTable[GroupByKey]=OutputTable[[#This Row],[GroupByKey]])*OutputTable[RecordedValue])),0)</f>
        <v>680.04</v>
      </c>
      <c r="L97" cm="1">
        <f t="array" ref="L97">IFERROR(_xlfn.STDEV.S(IF((OutputTable[GroupByKey]=OutputTable[[#This Row],[GroupByKey]]),(OutputTable[GroupByKey]=OutputTable[[#This Row],[GroupByKey]])*OutputTable[RecordedValue])),0)</f>
        <v>41.228561528560341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97" cm="1">
        <f t="array" ref="O97">MIN(IF((OutputTable[GroupByKey]=OutputTable[[#This Row],[GroupByKey]]),(OutputTable[GroupByKey]=OutputTable[[#This Row],[GroupByKey]])*OutputTable[RecordedValue]))</f>
        <v>596</v>
      </c>
      <c r="P97" cm="1">
        <f t="array" ref="P97">MAX(IF((OutputTable[GroupByKey]=OutputTable[[#This Row],[GroupByKey]]),(OutputTable[GroupByKey]=OutputTable[[#This Row],[GroupByKey]])*OutputTable[RecordedValue]))</f>
        <v>763</v>
      </c>
    </row>
    <row r="98" spans="1:16" x14ac:dyDescent="0.4">
      <c r="A98" t="s">
        <v>67</v>
      </c>
      <c r="B98" t="s">
        <v>69</v>
      </c>
      <c r="C98">
        <v>33</v>
      </c>
      <c r="D98" t="s">
        <v>90</v>
      </c>
      <c r="E98" t="s">
        <v>91</v>
      </c>
      <c r="F98" t="s">
        <v>92</v>
      </c>
      <c r="G98">
        <v>706</v>
      </c>
      <c r="H98">
        <v>0</v>
      </c>
      <c r="I98" t="str">
        <f>OutputTable[[#This Row],[ProjectName]]&amp;OutputTable[[#This Row],[Name]]&amp;OutputTable[[#This Row],[Type]]&amp;OutputTable[[#This Row],[Source]]</f>
        <v>Unnamed ProjectSystem.NumberOutNumber OutSystem</v>
      </c>
      <c r="J98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cm="1">
        <f t="array" ref="K98">IFERROR(AVERAGE(IF((OutputTable[GroupByKey]=OutputTable[[#This Row],[GroupByKey]]),(OutputTable[GroupByKey]=OutputTable[[#This Row],[GroupByKey]])*OutputTable[RecordedValue])),0)</f>
        <v>680.04</v>
      </c>
      <c r="L98" cm="1">
        <f t="array" ref="L98">IFERROR(_xlfn.STDEV.S(IF((OutputTable[GroupByKey]=OutputTable[[#This Row],[GroupByKey]]),(OutputTable[GroupByKey]=OutputTable[[#This Row],[GroupByKey]])*OutputTable[RecordedValue])),0)</f>
        <v>41.228561528560341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98" cm="1">
        <f t="array" ref="O98">MIN(IF((OutputTable[GroupByKey]=OutputTable[[#This Row],[GroupByKey]]),(OutputTable[GroupByKey]=OutputTable[[#This Row],[GroupByKey]])*OutputTable[RecordedValue]))</f>
        <v>596</v>
      </c>
      <c r="P98" cm="1">
        <f t="array" ref="P98">MAX(IF((OutputTable[GroupByKey]=OutputTable[[#This Row],[GroupByKey]]),(OutputTable[GroupByKey]=OutputTable[[#This Row],[GroupByKey]])*OutputTable[RecordedValue]))</f>
        <v>763</v>
      </c>
    </row>
    <row r="99" spans="1:16" x14ac:dyDescent="0.4">
      <c r="A99" t="s">
        <v>67</v>
      </c>
      <c r="B99" t="s">
        <v>69</v>
      </c>
      <c r="C99">
        <v>33</v>
      </c>
      <c r="D99" t="s">
        <v>93</v>
      </c>
      <c r="E99" t="s">
        <v>94</v>
      </c>
      <c r="F99" t="s">
        <v>82</v>
      </c>
      <c r="G99">
        <v>784</v>
      </c>
      <c r="H99">
        <v>0</v>
      </c>
      <c r="I99" t="str">
        <f>OutputTable[[#This Row],[ProjectName]]&amp;OutputTable[[#This Row],[Name]]&amp;OutputTable[[#This Row],[Type]]&amp;OutputTable[[#This Row],[Source]]</f>
        <v>Unnamed ProjectTourist.NumberInNumber InEntity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cm="1">
        <f t="array" ref="K99">IFERROR(AVERAGE(IF((OutputTable[GroupByKey]=OutputTable[[#This Row],[GroupByKey]]),(OutputTable[GroupByKey]=OutputTable[[#This Row],[GroupByKey]])*OutputTable[RecordedValue])),0)</f>
        <v>783.7</v>
      </c>
      <c r="L99" cm="1">
        <f t="array" ref="L99">IFERROR(_xlfn.STDEV.S(IF((OutputTable[GroupByKey]=OutputTable[[#This Row],[GroupByKey]]),(OutputTable[GroupByKey]=OutputTable[[#This Row],[GroupByKey]])*OutputTable[RecordedValue])),0)</f>
        <v>30.785797149374726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99" cm="1">
        <f t="array" ref="O99">MIN(IF((OutputTable[GroupByKey]=OutputTable[[#This Row],[GroupByKey]]),(OutputTable[GroupByKey]=OutputTable[[#This Row],[GroupByKey]])*OutputTable[RecordedValue]))</f>
        <v>715</v>
      </c>
      <c r="P99" cm="1">
        <f t="array" ref="P99">MAX(IF((OutputTable[GroupByKey]=OutputTable[[#This Row],[GroupByKey]]),(OutputTable[GroupByKey]=OutputTable[[#This Row],[GroupByKey]])*OutputTable[RecordedValue]))</f>
        <v>841</v>
      </c>
    </row>
    <row r="100" spans="1:16" x14ac:dyDescent="0.4">
      <c r="A100" t="s">
        <v>67</v>
      </c>
      <c r="B100" t="s">
        <v>69</v>
      </c>
      <c r="C100">
        <v>33</v>
      </c>
      <c r="D100" t="s">
        <v>95</v>
      </c>
      <c r="E100" t="s">
        <v>91</v>
      </c>
      <c r="F100" t="s">
        <v>82</v>
      </c>
      <c r="G100">
        <v>706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ProjectTourist.NumberOutNumber OutEntity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cm="1">
        <f t="array" ref="K100">IFERROR(AVERAGE(IF((OutputTable[GroupByKey]=OutputTable[[#This Row],[GroupByKey]]),(OutputTable[GroupByKey]=OutputTable[[#This Row],[GroupByKey]])*OutputTable[RecordedValue])),0)</f>
        <v>680.04</v>
      </c>
      <c r="L100" cm="1">
        <f t="array" ref="L100">IFERROR(_xlfn.STDEV.S(IF((OutputTable[GroupByKey]=OutputTable[[#This Row],[GroupByKey]]),(OutputTable[GroupByKey]=OutputTable[[#This Row],[GroupByKey]])*OutputTable[RecordedValue])),0)</f>
        <v>41.228561528560341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0" cm="1">
        <f t="array" ref="O100">MIN(IF((OutputTable[GroupByKey]=OutputTable[[#This Row],[GroupByKey]]),(OutputTable[GroupByKey]=OutputTable[[#This Row],[GroupByKey]])*OutputTable[RecordedValue]))</f>
        <v>596</v>
      </c>
      <c r="P100" cm="1">
        <f t="array" ref="P100">MAX(IF((OutputTable[GroupByKey]=OutputTable[[#This Row],[GroupByKey]]),(OutputTable[GroupByKey]=OutputTable[[#This Row],[GroupByKey]])*OutputTable[RecordedValue]))</f>
        <v>763</v>
      </c>
    </row>
    <row r="101" spans="1:16" x14ac:dyDescent="0.4">
      <c r="A101" t="s">
        <v>67</v>
      </c>
      <c r="B101" t="s">
        <v>69</v>
      </c>
      <c r="C101">
        <v>34</v>
      </c>
      <c r="D101" t="s">
        <v>90</v>
      </c>
      <c r="E101" t="s">
        <v>91</v>
      </c>
      <c r="F101" t="s">
        <v>92</v>
      </c>
      <c r="G101">
        <v>736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cm="1">
        <f t="array" ref="K101">IFERROR(AVERAGE(IF((OutputTable[GroupByKey]=OutputTable[[#This Row],[GroupByKey]]),(OutputTable[GroupByKey]=OutputTable[[#This Row],[GroupByKey]])*OutputTable[RecordedValue])),0)</f>
        <v>680.04</v>
      </c>
      <c r="L101" cm="1">
        <f t="array" ref="L101">IFERROR(_xlfn.STDEV.S(IF((OutputTable[GroupByKey]=OutputTable[[#This Row],[GroupByKey]]),(OutputTable[GroupByKey]=OutputTable[[#This Row],[GroupByKey]])*OutputTable[RecordedValue])),0)</f>
        <v>41.228561528560341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1" cm="1">
        <f t="array" ref="O101">MIN(IF((OutputTable[GroupByKey]=OutputTable[[#This Row],[GroupByKey]]),(OutputTable[GroupByKey]=OutputTable[[#This Row],[GroupByKey]])*OutputTable[RecordedValue]))</f>
        <v>596</v>
      </c>
      <c r="P101" cm="1">
        <f t="array" ref="P101">MAX(IF((OutputTable[GroupByKey]=OutputTable[[#This Row],[GroupByKey]]),(OutputTable[GroupByKey]=OutputTable[[#This Row],[GroupByKey]])*OutputTable[RecordedValue]))</f>
        <v>763</v>
      </c>
    </row>
    <row r="102" spans="1:16" x14ac:dyDescent="0.4">
      <c r="A102" t="s">
        <v>67</v>
      </c>
      <c r="B102" t="s">
        <v>69</v>
      </c>
      <c r="C102">
        <v>34</v>
      </c>
      <c r="D102" t="s">
        <v>93</v>
      </c>
      <c r="E102" t="s">
        <v>94</v>
      </c>
      <c r="F102" t="s">
        <v>82</v>
      </c>
      <c r="G102">
        <v>802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ProjectTourist.NumberInNumber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cm="1">
        <f t="array" ref="K102">IFERROR(AVERAGE(IF((OutputTable[GroupByKey]=OutputTable[[#This Row],[GroupByKey]]),(OutputTable[GroupByKey]=OutputTable[[#This Row],[GroupByKey]])*OutputTable[RecordedValue])),0)</f>
        <v>783.7</v>
      </c>
      <c r="L102" cm="1">
        <f t="array" ref="L102">IFERROR(_xlfn.STDEV.S(IF((OutputTable[GroupByKey]=OutputTable[[#This Row],[GroupByKey]]),(OutputTable[GroupByKey]=OutputTable[[#This Row],[GroupByKey]])*OutputTable[RecordedValue])),0)</f>
        <v>30.785797149374726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02" cm="1">
        <f t="array" ref="O102">MIN(IF((OutputTable[GroupByKey]=OutputTable[[#This Row],[GroupByKey]]),(OutputTable[GroupByKey]=OutputTable[[#This Row],[GroupByKey]])*OutputTable[RecordedValue]))</f>
        <v>715</v>
      </c>
      <c r="P102" cm="1">
        <f t="array" ref="P102">MAX(IF((OutputTable[GroupByKey]=OutputTable[[#This Row],[GroupByKey]]),(OutputTable[GroupByKey]=OutputTable[[#This Row],[GroupByKey]])*OutputTable[RecordedValue]))</f>
        <v>841</v>
      </c>
    </row>
    <row r="103" spans="1:16" x14ac:dyDescent="0.4">
      <c r="A103" t="s">
        <v>67</v>
      </c>
      <c r="B103" t="s">
        <v>69</v>
      </c>
      <c r="C103">
        <v>34</v>
      </c>
      <c r="D103" t="s">
        <v>95</v>
      </c>
      <c r="E103" t="s">
        <v>91</v>
      </c>
      <c r="F103" t="s">
        <v>82</v>
      </c>
      <c r="G103">
        <v>736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ProjectTourist.NumberOutNumber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cm="1">
        <f t="array" ref="K103">IFERROR(AVERAGE(IF((OutputTable[GroupByKey]=OutputTable[[#This Row],[GroupByKey]]),(OutputTable[GroupByKey]=OutputTable[[#This Row],[GroupByKey]])*OutputTable[RecordedValue])),0)</f>
        <v>680.04</v>
      </c>
      <c r="L103" cm="1">
        <f t="array" ref="L103">IFERROR(_xlfn.STDEV.S(IF((OutputTable[GroupByKey]=OutputTable[[#This Row],[GroupByKey]]),(OutputTable[GroupByKey]=OutputTable[[#This Row],[GroupByKey]])*OutputTable[RecordedValue])),0)</f>
        <v>41.228561528560341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3" cm="1">
        <f t="array" ref="O103">MIN(IF((OutputTable[GroupByKey]=OutputTable[[#This Row],[GroupByKey]]),(OutputTable[GroupByKey]=OutputTable[[#This Row],[GroupByKey]])*OutputTable[RecordedValue]))</f>
        <v>596</v>
      </c>
      <c r="P103" cm="1">
        <f t="array" ref="P103">MAX(IF((OutputTable[GroupByKey]=OutputTable[[#This Row],[GroupByKey]]),(OutputTable[GroupByKey]=OutputTable[[#This Row],[GroupByKey]])*OutputTable[RecordedValue]))</f>
        <v>763</v>
      </c>
    </row>
    <row r="104" spans="1:16" x14ac:dyDescent="0.4">
      <c r="A104" t="s">
        <v>67</v>
      </c>
      <c r="B104" t="s">
        <v>69</v>
      </c>
      <c r="C104">
        <v>35</v>
      </c>
      <c r="D104" t="s">
        <v>90</v>
      </c>
      <c r="E104" t="s">
        <v>91</v>
      </c>
      <c r="F104" t="s">
        <v>92</v>
      </c>
      <c r="G104">
        <v>697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ProjectSystem.NumberOutNumber OutSystem</v>
      </c>
      <c r="J104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cm="1">
        <f t="array" ref="K104">IFERROR(AVERAGE(IF((OutputTable[GroupByKey]=OutputTable[[#This Row],[GroupByKey]]),(OutputTable[GroupByKey]=OutputTable[[#This Row],[GroupByKey]])*OutputTable[RecordedValue])),0)</f>
        <v>680.04</v>
      </c>
      <c r="L104" cm="1">
        <f t="array" ref="L104">IFERROR(_xlfn.STDEV.S(IF((OutputTable[GroupByKey]=OutputTable[[#This Row],[GroupByKey]]),(OutputTable[GroupByKey]=OutputTable[[#This Row],[GroupByKey]])*OutputTable[RecordedValue])),0)</f>
        <v>41.228561528560341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4" cm="1">
        <f t="array" ref="O104">MIN(IF((OutputTable[GroupByKey]=OutputTable[[#This Row],[GroupByKey]]),(OutputTable[GroupByKey]=OutputTable[[#This Row],[GroupByKey]])*OutputTable[RecordedValue]))</f>
        <v>596</v>
      </c>
      <c r="P104" cm="1">
        <f t="array" ref="P104">MAX(IF((OutputTable[GroupByKey]=OutputTable[[#This Row],[GroupByKey]]),(OutputTable[GroupByKey]=OutputTable[[#This Row],[GroupByKey]])*OutputTable[RecordedValue]))</f>
        <v>763</v>
      </c>
    </row>
    <row r="105" spans="1:16" x14ac:dyDescent="0.4">
      <c r="A105" t="s">
        <v>67</v>
      </c>
      <c r="B105" t="s">
        <v>69</v>
      </c>
      <c r="C105">
        <v>35</v>
      </c>
      <c r="D105" t="s">
        <v>93</v>
      </c>
      <c r="E105" t="s">
        <v>94</v>
      </c>
      <c r="F105" t="s">
        <v>82</v>
      </c>
      <c r="G105">
        <v>826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ProjectTourist.NumberInNumber InEntity</v>
      </c>
      <c r="J10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cm="1">
        <f t="array" ref="K105">IFERROR(AVERAGE(IF((OutputTable[GroupByKey]=OutputTable[[#This Row],[GroupByKey]]),(OutputTable[GroupByKey]=OutputTable[[#This Row],[GroupByKey]])*OutputTable[RecordedValue])),0)</f>
        <v>783.7</v>
      </c>
      <c r="L105" cm="1">
        <f t="array" ref="L105">IFERROR(_xlfn.STDEV.S(IF((OutputTable[GroupByKey]=OutputTable[[#This Row],[GroupByKey]]),(OutputTable[GroupByKey]=OutputTable[[#This Row],[GroupByKey]])*OutputTable[RecordedValue])),0)</f>
        <v>30.785797149374726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05" cm="1">
        <f t="array" ref="O105">MIN(IF((OutputTable[GroupByKey]=OutputTable[[#This Row],[GroupByKey]]),(OutputTable[GroupByKey]=OutputTable[[#This Row],[GroupByKey]])*OutputTable[RecordedValue]))</f>
        <v>715</v>
      </c>
      <c r="P105" cm="1">
        <f t="array" ref="P105">MAX(IF((OutputTable[GroupByKey]=OutputTable[[#This Row],[GroupByKey]]),(OutputTable[GroupByKey]=OutputTable[[#This Row],[GroupByKey]])*OutputTable[RecordedValue]))</f>
        <v>841</v>
      </c>
    </row>
    <row r="106" spans="1:16" x14ac:dyDescent="0.4">
      <c r="A106" t="s">
        <v>67</v>
      </c>
      <c r="B106" t="s">
        <v>69</v>
      </c>
      <c r="C106">
        <v>35</v>
      </c>
      <c r="D106" t="s">
        <v>95</v>
      </c>
      <c r="E106" t="s">
        <v>91</v>
      </c>
      <c r="F106" t="s">
        <v>82</v>
      </c>
      <c r="G106">
        <v>697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ProjectTourist.NumberOutNumber OutEntity</v>
      </c>
      <c r="J106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cm="1">
        <f t="array" ref="K106">IFERROR(AVERAGE(IF((OutputTable[GroupByKey]=OutputTable[[#This Row],[GroupByKey]]),(OutputTable[GroupByKey]=OutputTable[[#This Row],[GroupByKey]])*OutputTable[RecordedValue])),0)</f>
        <v>680.04</v>
      </c>
      <c r="L106" cm="1">
        <f t="array" ref="L106">IFERROR(_xlfn.STDEV.S(IF((OutputTable[GroupByKey]=OutputTable[[#This Row],[GroupByKey]]),(OutputTable[GroupByKey]=OutputTable[[#This Row],[GroupByKey]])*OutputTable[RecordedValue])),0)</f>
        <v>41.228561528560341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6" cm="1">
        <f t="array" ref="O106">MIN(IF((OutputTable[GroupByKey]=OutputTable[[#This Row],[GroupByKey]]),(OutputTable[GroupByKey]=OutputTable[[#This Row],[GroupByKey]])*OutputTable[RecordedValue]))</f>
        <v>596</v>
      </c>
      <c r="P106" cm="1">
        <f t="array" ref="P106">MAX(IF((OutputTable[GroupByKey]=OutputTable[[#This Row],[GroupByKey]]),(OutputTable[GroupByKey]=OutputTable[[#This Row],[GroupByKey]])*OutputTable[RecordedValue]))</f>
        <v>763</v>
      </c>
    </row>
    <row r="107" spans="1:16" x14ac:dyDescent="0.4">
      <c r="A107" t="s">
        <v>67</v>
      </c>
      <c r="B107" t="s">
        <v>69</v>
      </c>
      <c r="C107">
        <v>36</v>
      </c>
      <c r="D107" t="s">
        <v>90</v>
      </c>
      <c r="E107" t="s">
        <v>91</v>
      </c>
      <c r="F107" t="s">
        <v>92</v>
      </c>
      <c r="G107">
        <v>678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ProjectSystem.NumberOutNumber OutSystem</v>
      </c>
      <c r="J107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cm="1">
        <f t="array" ref="K107">IFERROR(AVERAGE(IF((OutputTable[GroupByKey]=OutputTable[[#This Row],[GroupByKey]]),(OutputTable[GroupByKey]=OutputTable[[#This Row],[GroupByKey]])*OutputTable[RecordedValue])),0)</f>
        <v>680.04</v>
      </c>
      <c r="L107" cm="1">
        <f t="array" ref="L107">IFERROR(_xlfn.STDEV.S(IF((OutputTable[GroupByKey]=OutputTable[[#This Row],[GroupByKey]]),(OutputTable[GroupByKey]=OutputTable[[#This Row],[GroupByKey]])*OutputTable[RecordedValue])),0)</f>
        <v>41.228561528560341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7" cm="1">
        <f t="array" ref="O107">MIN(IF((OutputTable[GroupByKey]=OutputTable[[#This Row],[GroupByKey]]),(OutputTable[GroupByKey]=OutputTable[[#This Row],[GroupByKey]])*OutputTable[RecordedValue]))</f>
        <v>596</v>
      </c>
      <c r="P107" cm="1">
        <f t="array" ref="P107">MAX(IF((OutputTable[GroupByKey]=OutputTable[[#This Row],[GroupByKey]]),(OutputTable[GroupByKey]=OutputTable[[#This Row],[GroupByKey]])*OutputTable[RecordedValue]))</f>
        <v>763</v>
      </c>
    </row>
    <row r="108" spans="1:16" x14ac:dyDescent="0.4">
      <c r="A108" t="s">
        <v>67</v>
      </c>
      <c r="B108" t="s">
        <v>69</v>
      </c>
      <c r="C108">
        <v>36</v>
      </c>
      <c r="D108" t="s">
        <v>93</v>
      </c>
      <c r="E108" t="s">
        <v>94</v>
      </c>
      <c r="F108" t="s">
        <v>82</v>
      </c>
      <c r="G108">
        <v>760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ProjectTourist.NumberInNumber InEntity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cm="1">
        <f t="array" ref="K108">IFERROR(AVERAGE(IF((OutputTable[GroupByKey]=OutputTable[[#This Row],[GroupByKey]]),(OutputTable[GroupByKey]=OutputTable[[#This Row],[GroupByKey]])*OutputTable[RecordedValue])),0)</f>
        <v>783.7</v>
      </c>
      <c r="L108" cm="1">
        <f t="array" ref="L108">IFERROR(_xlfn.STDEV.S(IF((OutputTable[GroupByKey]=OutputTable[[#This Row],[GroupByKey]]),(OutputTable[GroupByKey]=OutputTable[[#This Row],[GroupByKey]])*OutputTable[RecordedValue])),0)</f>
        <v>30.785797149374726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08" cm="1">
        <f t="array" ref="O108">MIN(IF((OutputTable[GroupByKey]=OutputTable[[#This Row],[GroupByKey]]),(OutputTable[GroupByKey]=OutputTable[[#This Row],[GroupByKey]])*OutputTable[RecordedValue]))</f>
        <v>715</v>
      </c>
      <c r="P108" cm="1">
        <f t="array" ref="P108">MAX(IF((OutputTable[GroupByKey]=OutputTable[[#This Row],[GroupByKey]]),(OutputTable[GroupByKey]=OutputTable[[#This Row],[GroupByKey]])*OutputTable[RecordedValue]))</f>
        <v>841</v>
      </c>
    </row>
    <row r="109" spans="1:16" x14ac:dyDescent="0.4">
      <c r="A109" t="s">
        <v>67</v>
      </c>
      <c r="B109" t="s">
        <v>69</v>
      </c>
      <c r="C109">
        <v>36</v>
      </c>
      <c r="D109" t="s">
        <v>95</v>
      </c>
      <c r="E109" t="s">
        <v>91</v>
      </c>
      <c r="F109" t="s">
        <v>82</v>
      </c>
      <c r="G109">
        <v>678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ProjectTourist.NumberOutNumber OutEntity</v>
      </c>
      <c r="J109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cm="1">
        <f t="array" ref="K109">IFERROR(AVERAGE(IF((OutputTable[GroupByKey]=OutputTable[[#This Row],[GroupByKey]]),(OutputTable[GroupByKey]=OutputTable[[#This Row],[GroupByKey]])*OutputTable[RecordedValue])),0)</f>
        <v>680.04</v>
      </c>
      <c r="L109" cm="1">
        <f t="array" ref="L109">IFERROR(_xlfn.STDEV.S(IF((OutputTable[GroupByKey]=OutputTable[[#This Row],[GroupByKey]]),(OutputTable[GroupByKey]=OutputTable[[#This Row],[GroupByKey]])*OutputTable[RecordedValue])),0)</f>
        <v>41.228561528560341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09" cm="1">
        <f t="array" ref="O109">MIN(IF((OutputTable[GroupByKey]=OutputTable[[#This Row],[GroupByKey]]),(OutputTable[GroupByKey]=OutputTable[[#This Row],[GroupByKey]])*OutputTable[RecordedValue]))</f>
        <v>596</v>
      </c>
      <c r="P109" cm="1">
        <f t="array" ref="P109">MAX(IF((OutputTable[GroupByKey]=OutputTable[[#This Row],[GroupByKey]]),(OutputTable[GroupByKey]=OutputTable[[#This Row],[GroupByKey]])*OutputTable[RecordedValue]))</f>
        <v>763</v>
      </c>
    </row>
    <row r="110" spans="1:16" x14ac:dyDescent="0.4">
      <c r="A110" t="s">
        <v>67</v>
      </c>
      <c r="B110" t="s">
        <v>69</v>
      </c>
      <c r="C110">
        <v>37</v>
      </c>
      <c r="D110" t="s">
        <v>90</v>
      </c>
      <c r="E110" t="s">
        <v>91</v>
      </c>
      <c r="F110" t="s">
        <v>92</v>
      </c>
      <c r="G110">
        <v>664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ProjectSystem.NumberOutNumber OutSystem</v>
      </c>
      <c r="J110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cm="1">
        <f t="array" ref="K110">IFERROR(AVERAGE(IF((OutputTable[GroupByKey]=OutputTable[[#This Row],[GroupByKey]]),(OutputTable[GroupByKey]=OutputTable[[#This Row],[GroupByKey]])*OutputTable[RecordedValue])),0)</f>
        <v>680.04</v>
      </c>
      <c r="L110" cm="1">
        <f t="array" ref="L110">IFERROR(_xlfn.STDEV.S(IF((OutputTable[GroupByKey]=OutputTable[[#This Row],[GroupByKey]]),(OutputTable[GroupByKey]=OutputTable[[#This Row],[GroupByKey]])*OutputTable[RecordedValue])),0)</f>
        <v>41.228561528560341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0" cm="1">
        <f t="array" ref="O110">MIN(IF((OutputTable[GroupByKey]=OutputTable[[#This Row],[GroupByKey]]),(OutputTable[GroupByKey]=OutputTable[[#This Row],[GroupByKey]])*OutputTable[RecordedValue]))</f>
        <v>596</v>
      </c>
      <c r="P110" cm="1">
        <f t="array" ref="P110">MAX(IF((OutputTable[GroupByKey]=OutputTable[[#This Row],[GroupByKey]]),(OutputTable[GroupByKey]=OutputTable[[#This Row],[GroupByKey]])*OutputTable[RecordedValue]))</f>
        <v>763</v>
      </c>
    </row>
    <row r="111" spans="1:16" x14ac:dyDescent="0.4">
      <c r="A111" t="s">
        <v>67</v>
      </c>
      <c r="B111" t="s">
        <v>69</v>
      </c>
      <c r="C111">
        <v>37</v>
      </c>
      <c r="D111" t="s">
        <v>93</v>
      </c>
      <c r="E111" t="s">
        <v>94</v>
      </c>
      <c r="F111" t="s">
        <v>82</v>
      </c>
      <c r="G111">
        <v>753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ProjectTourist.NumberInNumber InEntity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cm="1">
        <f t="array" ref="K111">IFERROR(AVERAGE(IF((OutputTable[GroupByKey]=OutputTable[[#This Row],[GroupByKey]]),(OutputTable[GroupByKey]=OutputTable[[#This Row],[GroupByKey]])*OutputTable[RecordedValue])),0)</f>
        <v>783.7</v>
      </c>
      <c r="L111" cm="1">
        <f t="array" ref="L111">IFERROR(_xlfn.STDEV.S(IF((OutputTable[GroupByKey]=OutputTable[[#This Row],[GroupByKey]]),(OutputTable[GroupByKey]=OutputTable[[#This Row],[GroupByKey]])*OutputTable[RecordedValue])),0)</f>
        <v>30.785797149374726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11" cm="1">
        <f t="array" ref="O111">MIN(IF((OutputTable[GroupByKey]=OutputTable[[#This Row],[GroupByKey]]),(OutputTable[GroupByKey]=OutputTable[[#This Row],[GroupByKey]])*OutputTable[RecordedValue]))</f>
        <v>715</v>
      </c>
      <c r="P111" cm="1">
        <f t="array" ref="P111">MAX(IF((OutputTable[GroupByKey]=OutputTable[[#This Row],[GroupByKey]]),(OutputTable[GroupByKey]=OutputTable[[#This Row],[GroupByKey]])*OutputTable[RecordedValue]))</f>
        <v>841</v>
      </c>
    </row>
    <row r="112" spans="1:16" x14ac:dyDescent="0.4">
      <c r="A112" t="s">
        <v>67</v>
      </c>
      <c r="B112" t="s">
        <v>69</v>
      </c>
      <c r="C112">
        <v>37</v>
      </c>
      <c r="D112" t="s">
        <v>95</v>
      </c>
      <c r="E112" t="s">
        <v>91</v>
      </c>
      <c r="F112" t="s">
        <v>82</v>
      </c>
      <c r="G112">
        <v>664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ProjectTourist.NumberOutNumber OutEntity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680.04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41.228561528560341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2" s="5" cm="1">
        <f t="array" ref="O112">MIN(IF((OutputTable[GroupByKey]=OutputTable[[#This Row],[GroupByKey]]),(OutputTable[GroupByKey]=OutputTable[[#This Row],[GroupByKey]])*OutputTable[RecordedValue]))</f>
        <v>596</v>
      </c>
      <c r="P112" s="5" cm="1">
        <f t="array" ref="P112">MAX(IF((OutputTable[GroupByKey]=OutputTable[[#This Row],[GroupByKey]]),(OutputTable[GroupByKey]=OutputTable[[#This Row],[GroupByKey]])*OutputTable[RecordedValue]))</f>
        <v>763</v>
      </c>
    </row>
    <row r="113" spans="1:16" x14ac:dyDescent="0.4">
      <c r="A113" t="s">
        <v>67</v>
      </c>
      <c r="B113" t="s">
        <v>69</v>
      </c>
      <c r="C113">
        <v>38</v>
      </c>
      <c r="D113" t="s">
        <v>90</v>
      </c>
      <c r="E113" t="s">
        <v>91</v>
      </c>
      <c r="F113" t="s">
        <v>92</v>
      </c>
      <c r="G113">
        <v>760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680.04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41.228561528560341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3" s="5" cm="1">
        <f t="array" ref="O113">MIN(IF((OutputTable[GroupByKey]=OutputTable[[#This Row],[GroupByKey]]),(OutputTable[GroupByKey]=OutputTable[[#This Row],[GroupByKey]])*OutputTable[RecordedValue]))</f>
        <v>596</v>
      </c>
      <c r="P113" s="5" cm="1">
        <f t="array" ref="P113">MAX(IF((OutputTable[GroupByKey]=OutputTable[[#This Row],[GroupByKey]]),(OutputTable[GroupByKey]=OutputTable[[#This Row],[GroupByKey]])*OutputTable[RecordedValue]))</f>
        <v>763</v>
      </c>
    </row>
    <row r="114" spans="1:16" x14ac:dyDescent="0.4">
      <c r="A114" t="s">
        <v>67</v>
      </c>
      <c r="B114" t="s">
        <v>69</v>
      </c>
      <c r="C114">
        <v>38</v>
      </c>
      <c r="D114" t="s">
        <v>93</v>
      </c>
      <c r="E114" t="s">
        <v>94</v>
      </c>
      <c r="F114" t="s">
        <v>82</v>
      </c>
      <c r="G114">
        <v>835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ProjectTourist.NumberInNumber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783.7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30.785797149374726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14" s="5" cm="1">
        <f t="array" ref="O114">MIN(IF((OutputTable[GroupByKey]=OutputTable[[#This Row],[GroupByKey]]),(OutputTable[GroupByKey]=OutputTable[[#This Row],[GroupByKey]])*OutputTable[RecordedValue]))</f>
        <v>715</v>
      </c>
      <c r="P114" s="5" cm="1">
        <f t="array" ref="P114">MAX(IF((OutputTable[GroupByKey]=OutputTable[[#This Row],[GroupByKey]]),(OutputTable[GroupByKey]=OutputTable[[#This Row],[GroupByKey]])*OutputTable[RecordedValue]))</f>
        <v>841</v>
      </c>
    </row>
    <row r="115" spans="1:16" x14ac:dyDescent="0.4">
      <c r="A115" t="s">
        <v>67</v>
      </c>
      <c r="B115" t="s">
        <v>69</v>
      </c>
      <c r="C115">
        <v>38</v>
      </c>
      <c r="D115" t="s">
        <v>95</v>
      </c>
      <c r="E115" t="s">
        <v>91</v>
      </c>
      <c r="F115" t="s">
        <v>82</v>
      </c>
      <c r="G115">
        <v>760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ProjectTourist.NumberOutNumber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680.04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41.228561528560341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5" s="5" cm="1">
        <f t="array" ref="O115">MIN(IF((OutputTable[GroupByKey]=OutputTable[[#This Row],[GroupByKey]]),(OutputTable[GroupByKey]=OutputTable[[#This Row],[GroupByKey]])*OutputTable[RecordedValue]))</f>
        <v>596</v>
      </c>
      <c r="P115" s="5" cm="1">
        <f t="array" ref="P115">MAX(IF((OutputTable[GroupByKey]=OutputTable[[#This Row],[GroupByKey]]),(OutputTable[GroupByKey]=OutputTable[[#This Row],[GroupByKey]])*OutputTable[RecordedValue]))</f>
        <v>763</v>
      </c>
    </row>
    <row r="116" spans="1:16" x14ac:dyDescent="0.4">
      <c r="A116" t="s">
        <v>67</v>
      </c>
      <c r="B116" t="s">
        <v>69</v>
      </c>
      <c r="C116">
        <v>39</v>
      </c>
      <c r="D116" t="s">
        <v>90</v>
      </c>
      <c r="E116" t="s">
        <v>91</v>
      </c>
      <c r="F116" t="s">
        <v>92</v>
      </c>
      <c r="G116">
        <v>649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680.04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41.228561528560341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6" s="5" cm="1">
        <f t="array" ref="O116">MIN(IF((OutputTable[GroupByKey]=OutputTable[[#This Row],[GroupByKey]]),(OutputTable[GroupByKey]=OutputTable[[#This Row],[GroupByKey]])*OutputTable[RecordedValue]))</f>
        <v>596</v>
      </c>
      <c r="P116" s="5" cm="1">
        <f t="array" ref="P116">MAX(IF((OutputTable[GroupByKey]=OutputTable[[#This Row],[GroupByKey]]),(OutputTable[GroupByKey]=OutputTable[[#This Row],[GroupByKey]])*OutputTable[RecordedValue]))</f>
        <v>763</v>
      </c>
    </row>
    <row r="117" spans="1:16" x14ac:dyDescent="0.4">
      <c r="A117" t="s">
        <v>67</v>
      </c>
      <c r="B117" t="s">
        <v>69</v>
      </c>
      <c r="C117">
        <v>39</v>
      </c>
      <c r="D117" t="s">
        <v>93</v>
      </c>
      <c r="E117" t="s">
        <v>94</v>
      </c>
      <c r="F117" t="s">
        <v>82</v>
      </c>
      <c r="G117">
        <v>800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ProjectTourist.NumberInNumber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783.7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30.785797149374726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17" s="5" cm="1">
        <f t="array" ref="O117">MIN(IF((OutputTable[GroupByKey]=OutputTable[[#This Row],[GroupByKey]]),(OutputTable[GroupByKey]=OutputTable[[#This Row],[GroupByKey]])*OutputTable[RecordedValue]))</f>
        <v>715</v>
      </c>
      <c r="P117" s="5" cm="1">
        <f t="array" ref="P117">MAX(IF((OutputTable[GroupByKey]=OutputTable[[#This Row],[GroupByKey]]),(OutputTable[GroupByKey]=OutputTable[[#This Row],[GroupByKey]])*OutputTable[RecordedValue]))</f>
        <v>841</v>
      </c>
    </row>
    <row r="118" spans="1:16" x14ac:dyDescent="0.4">
      <c r="A118" t="s">
        <v>67</v>
      </c>
      <c r="B118" t="s">
        <v>69</v>
      </c>
      <c r="C118">
        <v>39</v>
      </c>
      <c r="D118" t="s">
        <v>95</v>
      </c>
      <c r="E118" t="s">
        <v>91</v>
      </c>
      <c r="F118" t="s">
        <v>82</v>
      </c>
      <c r="G118">
        <v>649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ProjectTourist.NumberOutNumber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680.04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41.228561528560341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8" s="5" cm="1">
        <f t="array" ref="O118">MIN(IF((OutputTable[GroupByKey]=OutputTable[[#This Row],[GroupByKey]]),(OutputTable[GroupByKey]=OutputTable[[#This Row],[GroupByKey]])*OutputTable[RecordedValue]))</f>
        <v>596</v>
      </c>
      <c r="P118" s="5" cm="1">
        <f t="array" ref="P118">MAX(IF((OutputTable[GroupByKey]=OutputTable[[#This Row],[GroupByKey]]),(OutputTable[GroupByKey]=OutputTable[[#This Row],[GroupByKey]])*OutputTable[RecordedValue]))</f>
        <v>763</v>
      </c>
    </row>
    <row r="119" spans="1:16" x14ac:dyDescent="0.4">
      <c r="A119" t="s">
        <v>67</v>
      </c>
      <c r="B119" t="s">
        <v>69</v>
      </c>
      <c r="C119">
        <v>40</v>
      </c>
      <c r="D119" t="s">
        <v>90</v>
      </c>
      <c r="E119" t="s">
        <v>91</v>
      </c>
      <c r="F119" t="s">
        <v>92</v>
      </c>
      <c r="G119">
        <v>596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ProjectSystem.NumberOutNumber OutSystem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680.04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41.228561528560341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19" s="5" cm="1">
        <f t="array" ref="O119">MIN(IF((OutputTable[GroupByKey]=OutputTable[[#This Row],[GroupByKey]]),(OutputTable[GroupByKey]=OutputTable[[#This Row],[GroupByKey]])*OutputTable[RecordedValue]))</f>
        <v>596</v>
      </c>
      <c r="P119" s="5" cm="1">
        <f t="array" ref="P119">MAX(IF((OutputTable[GroupByKey]=OutputTable[[#This Row],[GroupByKey]]),(OutputTable[GroupByKey]=OutputTable[[#This Row],[GroupByKey]])*OutputTable[RecordedValue]))</f>
        <v>763</v>
      </c>
    </row>
    <row r="120" spans="1:16" x14ac:dyDescent="0.4">
      <c r="A120" t="s">
        <v>67</v>
      </c>
      <c r="B120" t="s">
        <v>69</v>
      </c>
      <c r="C120">
        <v>40</v>
      </c>
      <c r="D120" t="s">
        <v>93</v>
      </c>
      <c r="E120" t="s">
        <v>94</v>
      </c>
      <c r="F120" t="s">
        <v>82</v>
      </c>
      <c r="G120">
        <v>763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ProjectTourist.NumberInNumber InEntity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783.7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30.785797149374726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20" s="5" cm="1">
        <f t="array" ref="O120">MIN(IF((OutputTable[GroupByKey]=OutputTable[[#This Row],[GroupByKey]]),(OutputTable[GroupByKey]=OutputTable[[#This Row],[GroupByKey]])*OutputTable[RecordedValue]))</f>
        <v>715</v>
      </c>
      <c r="P120" s="5" cm="1">
        <f t="array" ref="P120">MAX(IF((OutputTable[GroupByKey]=OutputTable[[#This Row],[GroupByKey]]),(OutputTable[GroupByKey]=OutputTable[[#This Row],[GroupByKey]])*OutputTable[RecordedValue]))</f>
        <v>841</v>
      </c>
    </row>
    <row r="121" spans="1:16" x14ac:dyDescent="0.4">
      <c r="A121" t="s">
        <v>67</v>
      </c>
      <c r="B121" t="s">
        <v>69</v>
      </c>
      <c r="C121">
        <v>40</v>
      </c>
      <c r="D121" t="s">
        <v>95</v>
      </c>
      <c r="E121" t="s">
        <v>91</v>
      </c>
      <c r="F121" t="s">
        <v>82</v>
      </c>
      <c r="G121">
        <v>596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ProjectTourist.NumberOutNumber OutEntity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680.04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41.228561528560341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21" s="5" cm="1">
        <f t="array" ref="O121">MIN(IF((OutputTable[GroupByKey]=OutputTable[[#This Row],[GroupByKey]]),(OutputTable[GroupByKey]=OutputTable[[#This Row],[GroupByKey]])*OutputTable[RecordedValue]))</f>
        <v>596</v>
      </c>
      <c r="P121" s="5" cm="1">
        <f t="array" ref="P121">MAX(IF((OutputTable[GroupByKey]=OutputTable[[#This Row],[GroupByKey]]),(OutputTable[GroupByKey]=OutputTable[[#This Row],[GroupByKey]])*OutputTable[RecordedValue]))</f>
        <v>763</v>
      </c>
    </row>
    <row r="122" spans="1:16" x14ac:dyDescent="0.4">
      <c r="A122" t="s">
        <v>67</v>
      </c>
      <c r="B122" t="s">
        <v>69</v>
      </c>
      <c r="C122">
        <v>41</v>
      </c>
      <c r="D122" t="s">
        <v>90</v>
      </c>
      <c r="E122" t="s">
        <v>91</v>
      </c>
      <c r="F122" t="s">
        <v>92</v>
      </c>
      <c r="G122">
        <v>609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ProjectSystem.NumberOutNumber OutSystem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680.04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41.228561528560341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22" s="5" cm="1">
        <f t="array" ref="O122">MIN(IF((OutputTable[GroupByKey]=OutputTable[[#This Row],[GroupByKey]]),(OutputTable[GroupByKey]=OutputTable[[#This Row],[GroupByKey]])*OutputTable[RecordedValue]))</f>
        <v>596</v>
      </c>
      <c r="P122" s="5" cm="1">
        <f t="array" ref="P122">MAX(IF((OutputTable[GroupByKey]=OutputTable[[#This Row],[GroupByKey]]),(OutputTable[GroupByKey]=OutputTable[[#This Row],[GroupByKey]])*OutputTable[RecordedValue]))</f>
        <v>763</v>
      </c>
    </row>
    <row r="123" spans="1:16" x14ac:dyDescent="0.4">
      <c r="A123" t="s">
        <v>67</v>
      </c>
      <c r="B123" t="s">
        <v>69</v>
      </c>
      <c r="C123">
        <v>41</v>
      </c>
      <c r="D123" t="s">
        <v>93</v>
      </c>
      <c r="E123" t="s">
        <v>94</v>
      </c>
      <c r="F123" t="s">
        <v>82</v>
      </c>
      <c r="G123">
        <v>744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ProjectTourist.NumberInNumber InEntity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783.7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30.785797149374726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23" s="5" cm="1">
        <f t="array" ref="O123">MIN(IF((OutputTable[GroupByKey]=OutputTable[[#This Row],[GroupByKey]]),(OutputTable[GroupByKey]=OutputTable[[#This Row],[GroupByKey]])*OutputTable[RecordedValue]))</f>
        <v>715</v>
      </c>
      <c r="P123" s="5" cm="1">
        <f t="array" ref="P123">MAX(IF((OutputTable[GroupByKey]=OutputTable[[#This Row],[GroupByKey]]),(OutputTable[GroupByKey]=OutputTable[[#This Row],[GroupByKey]])*OutputTable[RecordedValue]))</f>
        <v>841</v>
      </c>
    </row>
    <row r="124" spans="1:16" x14ac:dyDescent="0.4">
      <c r="A124" t="s">
        <v>67</v>
      </c>
      <c r="B124" t="s">
        <v>69</v>
      </c>
      <c r="C124">
        <v>41</v>
      </c>
      <c r="D124" t="s">
        <v>95</v>
      </c>
      <c r="E124" t="s">
        <v>91</v>
      </c>
      <c r="F124" t="s">
        <v>82</v>
      </c>
      <c r="G124">
        <v>609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ProjectTourist.NumberOutNumber OutEntity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680.04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41.228561528560341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24" s="5" cm="1">
        <f t="array" ref="O124">MIN(IF((OutputTable[GroupByKey]=OutputTable[[#This Row],[GroupByKey]]),(OutputTable[GroupByKey]=OutputTable[[#This Row],[GroupByKey]])*OutputTable[RecordedValue]))</f>
        <v>596</v>
      </c>
      <c r="P124" s="5" cm="1">
        <f t="array" ref="P124">MAX(IF((OutputTable[GroupByKey]=OutputTable[[#This Row],[GroupByKey]]),(OutputTable[GroupByKey]=OutputTable[[#This Row],[GroupByKey]])*OutputTable[RecordedValue]))</f>
        <v>763</v>
      </c>
    </row>
    <row r="125" spans="1:16" x14ac:dyDescent="0.4">
      <c r="A125" t="s">
        <v>67</v>
      </c>
      <c r="B125" t="s">
        <v>69</v>
      </c>
      <c r="C125">
        <v>42</v>
      </c>
      <c r="D125" t="s">
        <v>90</v>
      </c>
      <c r="E125" t="s">
        <v>91</v>
      </c>
      <c r="F125" t="s">
        <v>92</v>
      </c>
      <c r="G125">
        <v>648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ProjectSystem.NumberOutNumber OutSystem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680.04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41.228561528560341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25" s="5" cm="1">
        <f t="array" ref="O125">MIN(IF((OutputTable[GroupByKey]=OutputTable[[#This Row],[GroupByKey]]),(OutputTable[GroupByKey]=OutputTable[[#This Row],[GroupByKey]])*OutputTable[RecordedValue]))</f>
        <v>596</v>
      </c>
      <c r="P125" s="5" cm="1">
        <f t="array" ref="P125">MAX(IF((OutputTable[GroupByKey]=OutputTable[[#This Row],[GroupByKey]]),(OutputTable[GroupByKey]=OutputTable[[#This Row],[GroupByKey]])*OutputTable[RecordedValue]))</f>
        <v>763</v>
      </c>
    </row>
    <row r="126" spans="1:16" x14ac:dyDescent="0.4">
      <c r="A126" t="s">
        <v>67</v>
      </c>
      <c r="B126" t="s">
        <v>69</v>
      </c>
      <c r="C126">
        <v>42</v>
      </c>
      <c r="D126" t="s">
        <v>93</v>
      </c>
      <c r="E126" t="s">
        <v>94</v>
      </c>
      <c r="F126" t="s">
        <v>82</v>
      </c>
      <c r="G126">
        <v>735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ProjectTourist.NumberInNumber InEntity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783.7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30.785797149374726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26" s="5" cm="1">
        <f t="array" ref="O126">MIN(IF((OutputTable[GroupByKey]=OutputTable[[#This Row],[GroupByKey]]),(OutputTable[GroupByKey]=OutputTable[[#This Row],[GroupByKey]])*OutputTable[RecordedValue]))</f>
        <v>715</v>
      </c>
      <c r="P126" s="5" cm="1">
        <f t="array" ref="P126">MAX(IF((OutputTable[GroupByKey]=OutputTable[[#This Row],[GroupByKey]]),(OutputTable[GroupByKey]=OutputTable[[#This Row],[GroupByKey]])*OutputTable[RecordedValue]))</f>
        <v>841</v>
      </c>
    </row>
    <row r="127" spans="1:16" x14ac:dyDescent="0.4">
      <c r="A127" t="s">
        <v>67</v>
      </c>
      <c r="B127" t="s">
        <v>69</v>
      </c>
      <c r="C127">
        <v>42</v>
      </c>
      <c r="D127" t="s">
        <v>95</v>
      </c>
      <c r="E127" t="s">
        <v>91</v>
      </c>
      <c r="F127" t="s">
        <v>82</v>
      </c>
      <c r="G127">
        <v>648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ProjectTourist.NumberOutNumber OutEntity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680.04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41.228561528560341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27" s="5" cm="1">
        <f t="array" ref="O127">MIN(IF((OutputTable[GroupByKey]=OutputTable[[#This Row],[GroupByKey]]),(OutputTable[GroupByKey]=OutputTable[[#This Row],[GroupByKey]])*OutputTable[RecordedValue]))</f>
        <v>596</v>
      </c>
      <c r="P127" s="5" cm="1">
        <f t="array" ref="P127">MAX(IF((OutputTable[GroupByKey]=OutputTable[[#This Row],[GroupByKey]]),(OutputTable[GroupByKey]=OutputTable[[#This Row],[GroupByKey]])*OutputTable[RecordedValue]))</f>
        <v>763</v>
      </c>
    </row>
    <row r="128" spans="1:16" x14ac:dyDescent="0.4">
      <c r="A128" t="s">
        <v>67</v>
      </c>
      <c r="B128" t="s">
        <v>69</v>
      </c>
      <c r="C128">
        <v>43</v>
      </c>
      <c r="D128" t="s">
        <v>90</v>
      </c>
      <c r="E128" t="s">
        <v>91</v>
      </c>
      <c r="F128" t="s">
        <v>92</v>
      </c>
      <c r="G128">
        <v>672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ProjectSystem.NumberOutNumber OutSystem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680.04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41.228561528560341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28" s="5" cm="1">
        <f t="array" ref="O128">MIN(IF((OutputTable[GroupByKey]=OutputTable[[#This Row],[GroupByKey]]),(OutputTable[GroupByKey]=OutputTable[[#This Row],[GroupByKey]])*OutputTable[RecordedValue]))</f>
        <v>596</v>
      </c>
      <c r="P128" s="5" cm="1">
        <f t="array" ref="P128">MAX(IF((OutputTable[GroupByKey]=OutputTable[[#This Row],[GroupByKey]]),(OutputTable[GroupByKey]=OutputTable[[#This Row],[GroupByKey]])*OutputTable[RecordedValue]))</f>
        <v>763</v>
      </c>
    </row>
    <row r="129" spans="1:16" x14ac:dyDescent="0.4">
      <c r="A129" t="s">
        <v>67</v>
      </c>
      <c r="B129" t="s">
        <v>69</v>
      </c>
      <c r="C129">
        <v>43</v>
      </c>
      <c r="D129" t="s">
        <v>93</v>
      </c>
      <c r="E129" t="s">
        <v>94</v>
      </c>
      <c r="F129" t="s">
        <v>82</v>
      </c>
      <c r="G129">
        <v>779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ProjectTourist.NumberInNumber InEntity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783.7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30.785797149374726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29" s="5" cm="1">
        <f t="array" ref="O129">MIN(IF((OutputTable[GroupByKey]=OutputTable[[#This Row],[GroupByKey]]),(OutputTable[GroupByKey]=OutputTable[[#This Row],[GroupByKey]])*OutputTable[RecordedValue]))</f>
        <v>715</v>
      </c>
      <c r="P129" s="5" cm="1">
        <f t="array" ref="P129">MAX(IF((OutputTable[GroupByKey]=OutputTable[[#This Row],[GroupByKey]]),(OutputTable[GroupByKey]=OutputTable[[#This Row],[GroupByKey]])*OutputTable[RecordedValue]))</f>
        <v>841</v>
      </c>
    </row>
    <row r="130" spans="1:16" x14ac:dyDescent="0.4">
      <c r="A130" t="s">
        <v>67</v>
      </c>
      <c r="B130" t="s">
        <v>69</v>
      </c>
      <c r="C130">
        <v>43</v>
      </c>
      <c r="D130" t="s">
        <v>95</v>
      </c>
      <c r="E130" t="s">
        <v>91</v>
      </c>
      <c r="F130" t="s">
        <v>82</v>
      </c>
      <c r="G130">
        <v>672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ProjectTourist.NumberOutNumber OutEntity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680.04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41.228561528560341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0" s="5" cm="1">
        <f t="array" ref="O130">MIN(IF((OutputTable[GroupByKey]=OutputTable[[#This Row],[GroupByKey]]),(OutputTable[GroupByKey]=OutputTable[[#This Row],[GroupByKey]])*OutputTable[RecordedValue]))</f>
        <v>596</v>
      </c>
      <c r="P130" s="5" cm="1">
        <f t="array" ref="P130">MAX(IF((OutputTable[GroupByKey]=OutputTable[[#This Row],[GroupByKey]]),(OutputTable[GroupByKey]=OutputTable[[#This Row],[GroupByKey]])*OutputTable[RecordedValue]))</f>
        <v>763</v>
      </c>
    </row>
    <row r="131" spans="1:16" x14ac:dyDescent="0.4">
      <c r="A131" t="s">
        <v>67</v>
      </c>
      <c r="B131" t="s">
        <v>69</v>
      </c>
      <c r="C131">
        <v>44</v>
      </c>
      <c r="D131" t="s">
        <v>90</v>
      </c>
      <c r="E131" t="s">
        <v>91</v>
      </c>
      <c r="F131" t="s">
        <v>92</v>
      </c>
      <c r="G131">
        <v>663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680.04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41.228561528560341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1" s="5" cm="1">
        <f t="array" ref="O131">MIN(IF((OutputTable[GroupByKey]=OutputTable[[#This Row],[GroupByKey]]),(OutputTable[GroupByKey]=OutputTable[[#This Row],[GroupByKey]])*OutputTable[RecordedValue]))</f>
        <v>596</v>
      </c>
      <c r="P131" s="5" cm="1">
        <f t="array" ref="P131">MAX(IF((OutputTable[GroupByKey]=OutputTable[[#This Row],[GroupByKey]]),(OutputTable[GroupByKey]=OutputTable[[#This Row],[GroupByKey]])*OutputTable[RecordedValue]))</f>
        <v>763</v>
      </c>
    </row>
    <row r="132" spans="1:16" x14ac:dyDescent="0.4">
      <c r="A132" t="s">
        <v>67</v>
      </c>
      <c r="B132" t="s">
        <v>69</v>
      </c>
      <c r="C132">
        <v>44</v>
      </c>
      <c r="D132" t="s">
        <v>93</v>
      </c>
      <c r="E132" t="s">
        <v>94</v>
      </c>
      <c r="F132" t="s">
        <v>82</v>
      </c>
      <c r="G132">
        <v>765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ProjectTourist.NumberInNumber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783.7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30.785797149374726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32" s="5" cm="1">
        <f t="array" ref="O132">MIN(IF((OutputTable[GroupByKey]=OutputTable[[#This Row],[GroupByKey]]),(OutputTable[GroupByKey]=OutputTable[[#This Row],[GroupByKey]])*OutputTable[RecordedValue]))</f>
        <v>715</v>
      </c>
      <c r="P132" s="5" cm="1">
        <f t="array" ref="P132">MAX(IF((OutputTable[GroupByKey]=OutputTable[[#This Row],[GroupByKey]]),(OutputTable[GroupByKey]=OutputTable[[#This Row],[GroupByKey]])*OutputTable[RecordedValue]))</f>
        <v>841</v>
      </c>
    </row>
    <row r="133" spans="1:16" x14ac:dyDescent="0.4">
      <c r="A133" t="s">
        <v>67</v>
      </c>
      <c r="B133" t="s">
        <v>69</v>
      </c>
      <c r="C133">
        <v>44</v>
      </c>
      <c r="D133" t="s">
        <v>95</v>
      </c>
      <c r="E133" t="s">
        <v>91</v>
      </c>
      <c r="F133" t="s">
        <v>82</v>
      </c>
      <c r="G133">
        <v>663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ProjectTourist.NumberOutNumber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680.04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41.228561528560341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3" s="5" cm="1">
        <f t="array" ref="O133">MIN(IF((OutputTable[GroupByKey]=OutputTable[[#This Row],[GroupByKey]]),(OutputTable[GroupByKey]=OutputTable[[#This Row],[GroupByKey]])*OutputTable[RecordedValue]))</f>
        <v>596</v>
      </c>
      <c r="P133" s="5" cm="1">
        <f t="array" ref="P133">MAX(IF((OutputTable[GroupByKey]=OutputTable[[#This Row],[GroupByKey]]),(OutputTable[GroupByKey]=OutputTable[[#This Row],[GroupByKey]])*OutputTable[RecordedValue]))</f>
        <v>763</v>
      </c>
    </row>
    <row r="134" spans="1:16" x14ac:dyDescent="0.4">
      <c r="A134" t="s">
        <v>67</v>
      </c>
      <c r="B134" t="s">
        <v>69</v>
      </c>
      <c r="C134">
        <v>45</v>
      </c>
      <c r="D134" t="s">
        <v>90</v>
      </c>
      <c r="E134" t="s">
        <v>91</v>
      </c>
      <c r="F134" t="s">
        <v>92</v>
      </c>
      <c r="G134">
        <v>687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680.04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41.228561528560341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4" s="5" cm="1">
        <f t="array" ref="O134">MIN(IF((OutputTable[GroupByKey]=OutputTable[[#This Row],[GroupByKey]]),(OutputTable[GroupByKey]=OutputTable[[#This Row],[GroupByKey]])*OutputTable[RecordedValue]))</f>
        <v>596</v>
      </c>
      <c r="P134" s="5" cm="1">
        <f t="array" ref="P134">MAX(IF((OutputTable[GroupByKey]=OutputTable[[#This Row],[GroupByKey]]),(OutputTable[GroupByKey]=OutputTable[[#This Row],[GroupByKey]])*OutputTable[RecordedValue]))</f>
        <v>763</v>
      </c>
    </row>
    <row r="135" spans="1:16" x14ac:dyDescent="0.4">
      <c r="A135" t="s">
        <v>67</v>
      </c>
      <c r="B135" t="s">
        <v>69</v>
      </c>
      <c r="C135">
        <v>45</v>
      </c>
      <c r="D135" t="s">
        <v>93</v>
      </c>
      <c r="E135" t="s">
        <v>94</v>
      </c>
      <c r="F135" t="s">
        <v>82</v>
      </c>
      <c r="G135">
        <v>815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ProjectTourist.NumberInNumber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783.7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30.785797149374726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35" s="5" cm="1">
        <f t="array" ref="O135">MIN(IF((OutputTable[GroupByKey]=OutputTable[[#This Row],[GroupByKey]]),(OutputTable[GroupByKey]=OutputTable[[#This Row],[GroupByKey]])*OutputTable[RecordedValue]))</f>
        <v>715</v>
      </c>
      <c r="P135" s="5" cm="1">
        <f t="array" ref="P135">MAX(IF((OutputTable[GroupByKey]=OutputTable[[#This Row],[GroupByKey]]),(OutputTable[GroupByKey]=OutputTable[[#This Row],[GroupByKey]])*OutputTable[RecordedValue]))</f>
        <v>841</v>
      </c>
    </row>
    <row r="136" spans="1:16" x14ac:dyDescent="0.4">
      <c r="A136" t="s">
        <v>67</v>
      </c>
      <c r="B136" t="s">
        <v>69</v>
      </c>
      <c r="C136">
        <v>45</v>
      </c>
      <c r="D136" t="s">
        <v>95</v>
      </c>
      <c r="E136" t="s">
        <v>91</v>
      </c>
      <c r="F136" t="s">
        <v>82</v>
      </c>
      <c r="G136">
        <v>687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ProjectTourist.NumberOutNumber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680.04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41.228561528560341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6" s="5" cm="1">
        <f t="array" ref="O136">MIN(IF((OutputTable[GroupByKey]=OutputTable[[#This Row],[GroupByKey]]),(OutputTable[GroupByKey]=OutputTable[[#This Row],[GroupByKey]])*OutputTable[RecordedValue]))</f>
        <v>596</v>
      </c>
      <c r="P136" s="5" cm="1">
        <f t="array" ref="P136">MAX(IF((OutputTable[GroupByKey]=OutputTable[[#This Row],[GroupByKey]]),(OutputTable[GroupByKey]=OutputTable[[#This Row],[GroupByKey]])*OutputTable[RecordedValue]))</f>
        <v>763</v>
      </c>
    </row>
    <row r="137" spans="1:16" x14ac:dyDescent="0.4">
      <c r="A137" t="s">
        <v>67</v>
      </c>
      <c r="B137" t="s">
        <v>69</v>
      </c>
      <c r="C137">
        <v>46</v>
      </c>
      <c r="D137" t="s">
        <v>90</v>
      </c>
      <c r="E137" t="s">
        <v>91</v>
      </c>
      <c r="F137" t="s">
        <v>92</v>
      </c>
      <c r="G137">
        <v>729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ProjectSystem.NumberOutNumber OutSystem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680.04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41.228561528560341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7" s="5" cm="1">
        <f t="array" ref="O137">MIN(IF((OutputTable[GroupByKey]=OutputTable[[#This Row],[GroupByKey]]),(OutputTable[GroupByKey]=OutputTable[[#This Row],[GroupByKey]])*OutputTable[RecordedValue]))</f>
        <v>596</v>
      </c>
      <c r="P137" s="5" cm="1">
        <f t="array" ref="P137">MAX(IF((OutputTable[GroupByKey]=OutputTable[[#This Row],[GroupByKey]]),(OutputTable[GroupByKey]=OutputTable[[#This Row],[GroupByKey]])*OutputTable[RecordedValue]))</f>
        <v>763</v>
      </c>
    </row>
    <row r="138" spans="1:16" x14ac:dyDescent="0.4">
      <c r="A138" t="s">
        <v>67</v>
      </c>
      <c r="B138" t="s">
        <v>69</v>
      </c>
      <c r="C138">
        <v>46</v>
      </c>
      <c r="D138" t="s">
        <v>93</v>
      </c>
      <c r="E138" t="s">
        <v>94</v>
      </c>
      <c r="F138" t="s">
        <v>82</v>
      </c>
      <c r="G138">
        <v>836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ProjectTourist.NumberInNumber InEntity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783.7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30.785797149374726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38" s="5" cm="1">
        <f t="array" ref="O138">MIN(IF((OutputTable[GroupByKey]=OutputTable[[#This Row],[GroupByKey]]),(OutputTable[GroupByKey]=OutputTable[[#This Row],[GroupByKey]])*OutputTable[RecordedValue]))</f>
        <v>715</v>
      </c>
      <c r="P138" s="5" cm="1">
        <f t="array" ref="P138">MAX(IF((OutputTable[GroupByKey]=OutputTable[[#This Row],[GroupByKey]]),(OutputTable[GroupByKey]=OutputTable[[#This Row],[GroupByKey]])*OutputTable[RecordedValue]))</f>
        <v>841</v>
      </c>
    </row>
    <row r="139" spans="1:16" x14ac:dyDescent="0.4">
      <c r="A139" t="s">
        <v>67</v>
      </c>
      <c r="B139" t="s">
        <v>69</v>
      </c>
      <c r="C139">
        <v>46</v>
      </c>
      <c r="D139" t="s">
        <v>95</v>
      </c>
      <c r="E139" t="s">
        <v>91</v>
      </c>
      <c r="F139" t="s">
        <v>82</v>
      </c>
      <c r="G139">
        <v>729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ProjectTourist.NumberOutNumber OutEntity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680.04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41.228561528560341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39" s="5" cm="1">
        <f t="array" ref="O139">MIN(IF((OutputTable[GroupByKey]=OutputTable[[#This Row],[GroupByKey]]),(OutputTable[GroupByKey]=OutputTable[[#This Row],[GroupByKey]])*OutputTable[RecordedValue]))</f>
        <v>596</v>
      </c>
      <c r="P139" s="5" cm="1">
        <f t="array" ref="P139">MAX(IF((OutputTable[GroupByKey]=OutputTable[[#This Row],[GroupByKey]]),(OutputTable[GroupByKey]=OutputTable[[#This Row],[GroupByKey]])*OutputTable[RecordedValue]))</f>
        <v>763</v>
      </c>
    </row>
    <row r="140" spans="1:16" x14ac:dyDescent="0.4">
      <c r="A140" t="s">
        <v>67</v>
      </c>
      <c r="B140" t="s">
        <v>69</v>
      </c>
      <c r="C140">
        <v>47</v>
      </c>
      <c r="D140" t="s">
        <v>90</v>
      </c>
      <c r="E140" t="s">
        <v>91</v>
      </c>
      <c r="F140" t="s">
        <v>92</v>
      </c>
      <c r="G140">
        <v>698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ProjectSystem.NumberOutNumber OutSystem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680.04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41.228561528560341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0" s="5" cm="1">
        <f t="array" ref="O140">MIN(IF((OutputTable[GroupByKey]=OutputTable[[#This Row],[GroupByKey]]),(OutputTable[GroupByKey]=OutputTable[[#This Row],[GroupByKey]])*OutputTable[RecordedValue]))</f>
        <v>596</v>
      </c>
      <c r="P140" s="5" cm="1">
        <f t="array" ref="P140">MAX(IF((OutputTable[GroupByKey]=OutputTable[[#This Row],[GroupByKey]]),(OutputTable[GroupByKey]=OutputTable[[#This Row],[GroupByKey]])*OutputTable[RecordedValue]))</f>
        <v>763</v>
      </c>
    </row>
    <row r="141" spans="1:16" x14ac:dyDescent="0.4">
      <c r="A141" t="s">
        <v>67</v>
      </c>
      <c r="B141" t="s">
        <v>69</v>
      </c>
      <c r="C141">
        <v>47</v>
      </c>
      <c r="D141" t="s">
        <v>93</v>
      </c>
      <c r="E141" t="s">
        <v>94</v>
      </c>
      <c r="F141" t="s">
        <v>82</v>
      </c>
      <c r="G141">
        <v>790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ProjectTourist.NumberInNumber InEntity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783.7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30.785797149374726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41" s="5" cm="1">
        <f t="array" ref="O141">MIN(IF((OutputTable[GroupByKey]=OutputTable[[#This Row],[GroupByKey]]),(OutputTable[GroupByKey]=OutputTable[[#This Row],[GroupByKey]])*OutputTable[RecordedValue]))</f>
        <v>715</v>
      </c>
      <c r="P141" s="5" cm="1">
        <f t="array" ref="P141">MAX(IF((OutputTable[GroupByKey]=OutputTable[[#This Row],[GroupByKey]]),(OutputTable[GroupByKey]=OutputTable[[#This Row],[GroupByKey]])*OutputTable[RecordedValue]))</f>
        <v>841</v>
      </c>
    </row>
    <row r="142" spans="1:16" x14ac:dyDescent="0.4">
      <c r="A142" t="s">
        <v>67</v>
      </c>
      <c r="B142" t="s">
        <v>69</v>
      </c>
      <c r="C142">
        <v>47</v>
      </c>
      <c r="D142" t="s">
        <v>95</v>
      </c>
      <c r="E142" t="s">
        <v>91</v>
      </c>
      <c r="F142" t="s">
        <v>82</v>
      </c>
      <c r="G142">
        <v>698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ProjectTourist.NumberOutNumber OutEntity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680.04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41.228561528560341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2" s="5" cm="1">
        <f t="array" ref="O142">MIN(IF((OutputTable[GroupByKey]=OutputTable[[#This Row],[GroupByKey]]),(OutputTable[GroupByKey]=OutputTable[[#This Row],[GroupByKey]])*OutputTable[RecordedValue]))</f>
        <v>596</v>
      </c>
      <c r="P142" s="5" cm="1">
        <f t="array" ref="P142">MAX(IF((OutputTable[GroupByKey]=OutputTable[[#This Row],[GroupByKey]]),(OutputTable[GroupByKey]=OutputTable[[#This Row],[GroupByKey]])*OutputTable[RecordedValue]))</f>
        <v>763</v>
      </c>
    </row>
    <row r="143" spans="1:16" x14ac:dyDescent="0.4">
      <c r="A143" t="s">
        <v>67</v>
      </c>
      <c r="B143" t="s">
        <v>69</v>
      </c>
      <c r="C143">
        <v>48</v>
      </c>
      <c r="D143" t="s">
        <v>90</v>
      </c>
      <c r="E143" t="s">
        <v>91</v>
      </c>
      <c r="F143" t="s">
        <v>92</v>
      </c>
      <c r="G143">
        <v>643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ProjectSystem.NumberOutNumber OutSystem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680.04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41.228561528560341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3" s="5" cm="1">
        <f t="array" ref="O143">MIN(IF((OutputTable[GroupByKey]=OutputTable[[#This Row],[GroupByKey]]),(OutputTable[GroupByKey]=OutputTable[[#This Row],[GroupByKey]])*OutputTable[RecordedValue]))</f>
        <v>596</v>
      </c>
      <c r="P143" s="5" cm="1">
        <f t="array" ref="P143">MAX(IF((OutputTable[GroupByKey]=OutputTable[[#This Row],[GroupByKey]]),(OutputTable[GroupByKey]=OutputTable[[#This Row],[GroupByKey]])*OutputTable[RecordedValue]))</f>
        <v>763</v>
      </c>
    </row>
    <row r="144" spans="1:16" x14ac:dyDescent="0.4">
      <c r="A144" t="s">
        <v>67</v>
      </c>
      <c r="B144" t="s">
        <v>69</v>
      </c>
      <c r="C144">
        <v>48</v>
      </c>
      <c r="D144" t="s">
        <v>93</v>
      </c>
      <c r="E144" t="s">
        <v>94</v>
      </c>
      <c r="F144" t="s">
        <v>82</v>
      </c>
      <c r="G144">
        <v>747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ProjectTourist.NumberInNumber InEntity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783.7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30.785797149374726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44" s="5" cm="1">
        <f t="array" ref="O144">MIN(IF((OutputTable[GroupByKey]=OutputTable[[#This Row],[GroupByKey]]),(OutputTable[GroupByKey]=OutputTable[[#This Row],[GroupByKey]])*OutputTable[RecordedValue]))</f>
        <v>715</v>
      </c>
      <c r="P144" s="5" cm="1">
        <f t="array" ref="P144">MAX(IF((OutputTable[GroupByKey]=OutputTable[[#This Row],[GroupByKey]]),(OutputTable[GroupByKey]=OutputTable[[#This Row],[GroupByKey]])*OutputTable[RecordedValue]))</f>
        <v>841</v>
      </c>
    </row>
    <row r="145" spans="1:16" x14ac:dyDescent="0.4">
      <c r="A145" t="s">
        <v>67</v>
      </c>
      <c r="B145" t="s">
        <v>69</v>
      </c>
      <c r="C145">
        <v>48</v>
      </c>
      <c r="D145" t="s">
        <v>95</v>
      </c>
      <c r="E145" t="s">
        <v>91</v>
      </c>
      <c r="F145" t="s">
        <v>82</v>
      </c>
      <c r="G145">
        <v>643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ProjectTourist.NumberOutNumber OutEntity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680.04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41.228561528560341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5" s="5" cm="1">
        <f t="array" ref="O145">MIN(IF((OutputTable[GroupByKey]=OutputTable[[#This Row],[GroupByKey]]),(OutputTable[GroupByKey]=OutputTable[[#This Row],[GroupByKey]])*OutputTable[RecordedValue]))</f>
        <v>596</v>
      </c>
      <c r="P145" s="5" cm="1">
        <f t="array" ref="P145">MAX(IF((OutputTable[GroupByKey]=OutputTable[[#This Row],[GroupByKey]]),(OutputTable[GroupByKey]=OutputTable[[#This Row],[GroupByKey]])*OutputTable[RecordedValue]))</f>
        <v>763</v>
      </c>
    </row>
    <row r="146" spans="1:16" x14ac:dyDescent="0.4">
      <c r="A146" t="s">
        <v>67</v>
      </c>
      <c r="B146" t="s">
        <v>69</v>
      </c>
      <c r="C146">
        <v>49</v>
      </c>
      <c r="D146" t="s">
        <v>90</v>
      </c>
      <c r="E146" t="s">
        <v>91</v>
      </c>
      <c r="F146" t="s">
        <v>92</v>
      </c>
      <c r="G146">
        <v>666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680.04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41.228561528560341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6" s="5" cm="1">
        <f t="array" ref="O146">MIN(IF((OutputTable[GroupByKey]=OutputTable[[#This Row],[GroupByKey]]),(OutputTable[GroupByKey]=OutputTable[[#This Row],[GroupByKey]])*OutputTable[RecordedValue]))</f>
        <v>596</v>
      </c>
      <c r="P146" s="5" cm="1">
        <f t="array" ref="P146">MAX(IF((OutputTable[GroupByKey]=OutputTable[[#This Row],[GroupByKey]]),(OutputTable[GroupByKey]=OutputTable[[#This Row],[GroupByKey]])*OutputTable[RecordedValue]))</f>
        <v>763</v>
      </c>
    </row>
    <row r="147" spans="1:16" x14ac:dyDescent="0.4">
      <c r="A147" t="s">
        <v>67</v>
      </c>
      <c r="B147" t="s">
        <v>69</v>
      </c>
      <c r="C147">
        <v>49</v>
      </c>
      <c r="D147" t="s">
        <v>93</v>
      </c>
      <c r="E147" t="s">
        <v>94</v>
      </c>
      <c r="F147" t="s">
        <v>82</v>
      </c>
      <c r="G147">
        <v>772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ProjectTourist.NumberInNumber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783.7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30.785797149374726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47" s="5" cm="1">
        <f t="array" ref="O147">MIN(IF((OutputTable[GroupByKey]=OutputTable[[#This Row],[GroupByKey]]),(OutputTable[GroupByKey]=OutputTable[[#This Row],[GroupByKey]])*OutputTable[RecordedValue]))</f>
        <v>715</v>
      </c>
      <c r="P147" s="5" cm="1">
        <f t="array" ref="P147">MAX(IF((OutputTable[GroupByKey]=OutputTable[[#This Row],[GroupByKey]]),(OutputTable[GroupByKey]=OutputTable[[#This Row],[GroupByKey]])*OutputTable[RecordedValue]))</f>
        <v>841</v>
      </c>
    </row>
    <row r="148" spans="1:16" x14ac:dyDescent="0.4">
      <c r="A148" t="s">
        <v>67</v>
      </c>
      <c r="B148" t="s">
        <v>69</v>
      </c>
      <c r="C148">
        <v>49</v>
      </c>
      <c r="D148" t="s">
        <v>95</v>
      </c>
      <c r="E148" t="s">
        <v>91</v>
      </c>
      <c r="F148" t="s">
        <v>82</v>
      </c>
      <c r="G148">
        <v>666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ProjectTourist.NumberOutNumber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680.04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41.228561528560341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8" s="5" cm="1">
        <f t="array" ref="O148">MIN(IF((OutputTable[GroupByKey]=OutputTable[[#This Row],[GroupByKey]]),(OutputTable[GroupByKey]=OutputTable[[#This Row],[GroupByKey]])*OutputTable[RecordedValue]))</f>
        <v>596</v>
      </c>
      <c r="P148" s="5" cm="1">
        <f t="array" ref="P148">MAX(IF((OutputTable[GroupByKey]=OutputTable[[#This Row],[GroupByKey]]),(OutputTable[GroupByKey]=OutputTable[[#This Row],[GroupByKey]])*OutputTable[RecordedValue]))</f>
        <v>763</v>
      </c>
    </row>
    <row r="149" spans="1:16" x14ac:dyDescent="0.4">
      <c r="A149" t="s">
        <v>67</v>
      </c>
      <c r="B149" t="s">
        <v>69</v>
      </c>
      <c r="C149">
        <v>50</v>
      </c>
      <c r="D149" t="s">
        <v>90</v>
      </c>
      <c r="E149" t="s">
        <v>91</v>
      </c>
      <c r="F149" t="s">
        <v>92</v>
      </c>
      <c r="G149">
        <v>725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ProjectSystem.NumberOutNumber OutSystem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680.04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41.228561528560341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49" s="5" cm="1">
        <f t="array" ref="O149">MIN(IF((OutputTable[GroupByKey]=OutputTable[[#This Row],[GroupByKey]]),(OutputTable[GroupByKey]=OutputTable[[#This Row],[GroupByKey]])*OutputTable[RecordedValue]))</f>
        <v>596</v>
      </c>
      <c r="P149" s="5" cm="1">
        <f t="array" ref="P149">MAX(IF((OutputTable[GroupByKey]=OutputTable[[#This Row],[GroupByKey]]),(OutputTable[GroupByKey]=OutputTable[[#This Row],[GroupByKey]])*OutputTable[RecordedValue]))</f>
        <v>763</v>
      </c>
    </row>
    <row r="150" spans="1:16" x14ac:dyDescent="0.4">
      <c r="A150" t="s">
        <v>67</v>
      </c>
      <c r="B150" t="s">
        <v>69</v>
      </c>
      <c r="C150">
        <v>50</v>
      </c>
      <c r="D150" t="s">
        <v>93</v>
      </c>
      <c r="E150" t="s">
        <v>94</v>
      </c>
      <c r="F150" t="s">
        <v>82</v>
      </c>
      <c r="G150">
        <v>786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ProjectTourist.NumberInNumber InEntity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783.7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30.785797149374726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8.7492267437816995</v>
      </c>
      <c r="O150" s="5" cm="1">
        <f t="array" ref="O150">MIN(IF((OutputTable[GroupByKey]=OutputTable[[#This Row],[GroupByKey]]),(OutputTable[GroupByKey]=OutputTable[[#This Row],[GroupByKey]])*OutputTable[RecordedValue]))</f>
        <v>715</v>
      </c>
      <c r="P150" s="5" cm="1">
        <f t="array" ref="P150">MAX(IF((OutputTable[GroupByKey]=OutputTable[[#This Row],[GroupByKey]]),(OutputTable[GroupByKey]=OutputTable[[#This Row],[GroupByKey]])*OutputTable[RecordedValue]))</f>
        <v>841</v>
      </c>
    </row>
    <row r="151" spans="1:16" x14ac:dyDescent="0.4">
      <c r="A151" t="s">
        <v>67</v>
      </c>
      <c r="B151" t="s">
        <v>69</v>
      </c>
      <c r="C151">
        <v>50</v>
      </c>
      <c r="D151" t="s">
        <v>95</v>
      </c>
      <c r="E151" t="s">
        <v>91</v>
      </c>
      <c r="F151" t="s">
        <v>82</v>
      </c>
      <c r="G151">
        <v>725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ProjectTourist.NumberOutNumber OutEntity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680.04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41.228561528560341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11.717027543029069</v>
      </c>
      <c r="O151" s="5" cm="1">
        <f t="array" ref="O151">MIN(IF((OutputTable[GroupByKey]=OutputTable[[#This Row],[GroupByKey]]),(OutputTable[GroupByKey]=OutputTable[[#This Row],[GroupByKey]])*OutputTable[RecordedValue]))</f>
        <v>596</v>
      </c>
      <c r="P151" s="5" cm="1">
        <f t="array" ref="P151">MAX(IF((OutputTable[GroupByKey]=OutputTable[[#This Row],[GroupByKey]]),(OutputTable[GroupByKey]=OutputTable[[#This Row],[GroupByKey]])*OutputTable[RecordedValue]))</f>
        <v>763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10.4609375" bestFit="1" customWidth="1"/>
    <col min="6" max="6" width="8.69140625" bestFit="1" customWidth="1"/>
    <col min="7" max="7" width="20.07421875" bestFit="1" customWidth="1"/>
    <col min="8" max="8" width="20.921875" bestFit="1" customWidth="1"/>
    <col min="9" max="9" width="23.07421875" bestFit="1" customWidth="1"/>
    <col min="10" max="10" width="24.3046875" bestFit="1" customWidth="1"/>
    <col min="11" max="11" width="13.3828125" bestFit="1" customWidth="1"/>
    <col min="12" max="12" width="28.07421875" bestFit="1" customWidth="1"/>
    <col min="13" max="13" width="28.921875" bestFit="1" customWidth="1"/>
    <col min="14" max="14" width="16" bestFit="1" customWidth="1"/>
    <col min="15" max="15" width="26.921875" bestFit="1" customWidth="1"/>
    <col min="16" max="16" width="27.84375" bestFit="1" customWidth="1"/>
    <col min="17" max="17" width="29.23046875" bestFit="1" customWidth="1"/>
    <col min="18" max="18" width="28.3046875" bestFit="1" customWidth="1"/>
    <col min="19" max="19" width="26.23046875" bestFit="1" customWidth="1"/>
    <col min="20" max="20" width="29.84375" bestFit="1" customWidth="1"/>
    <col min="21" max="21" width="31.84375" bestFit="1" customWidth="1"/>
    <col min="22" max="22" width="32.0742187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2025-03-22T15:28:48Z</dcterms:modified>
</cp:coreProperties>
</file>