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zhiyuan\Documents\masters\new_cs5233\CS5233_Simulation\Assignment2\"/>
    </mc:Choice>
  </mc:AlternateContent>
  <xr:revisionPtr revIDLastSave="0" documentId="13_ncr:1_{3E16638E-E39B-4A63-A0DD-B2F21C42F5F8}" xr6:coauthVersionLast="47" xr6:coauthVersionMax="47" xr10:uidLastSave="{00000000-0000-0000-0000-000000000000}"/>
  <bookViews>
    <workbookView xWindow="-103" yWindow="-103" windowWidth="27634" windowHeight="17349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ContinuousTimeStatsByRep!$A$1:$L$19</definedName>
    <definedName name="ExternalData_1" localSheetId="4" hidden="1">CounterStatsByRep!$A$1:$G$2</definedName>
    <definedName name="ExternalData_1" localSheetId="2" hidden="1">DiscreteTimeStatsByRep!$A$1:$K$29</definedName>
    <definedName name="ExternalData_1" localSheetId="6" hidden="1">FrequencyStatsByRep!$A$1:$J$2</definedName>
    <definedName name="ExternalData_1" localSheetId="5" hidden="1">OutputStatsByRep!$A$1:$H$7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L2" i="20" s="1" a="1"/>
  <c r="L2" i="20" s="1"/>
  <c r="I3" i="20"/>
  <c r="I4" i="20"/>
  <c r="I5" i="20"/>
  <c r="I6" i="20"/>
  <c r="I7" i="20"/>
  <c r="K3" i="20" s="1" a="1"/>
  <c r="K3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K7" i="20" a="1"/>
  <c r="K7" i="20" s="1"/>
  <c r="M2" i="20" a="1"/>
  <c r="M2" i="20"/>
  <c r="M3" i="20" a="1"/>
  <c r="M3" i="20" s="1"/>
  <c r="M4" i="20" a="1"/>
  <c r="M4" i="20" s="1"/>
  <c r="M5" i="20" a="1"/>
  <c r="M5" i="20" s="1"/>
  <c r="M6" i="20" a="1"/>
  <c r="M6" i="20" s="1"/>
  <c r="M7" i="20" a="1"/>
  <c r="M7" i="20"/>
  <c r="O2" i="20" a="1"/>
  <c r="O2" i="20" s="1"/>
  <c r="O3" i="20" a="1"/>
  <c r="O3" i="20" s="1"/>
  <c r="O6" i="20" a="1"/>
  <c r="O6" i="20" s="1"/>
  <c r="O7" i="20" a="1"/>
  <c r="O7" i="20" s="1"/>
  <c r="P4" i="20" a="1"/>
  <c r="P4" i="20" s="1"/>
  <c r="M2" i="18"/>
  <c r="M3" i="18"/>
  <c r="M4" i="18"/>
  <c r="M5" i="18"/>
  <c r="M6" i="18"/>
  <c r="M7" i="18"/>
  <c r="S5" i="18" s="1" a="1"/>
  <c r="S5" i="18" s="1"/>
  <c r="M8" i="18"/>
  <c r="M9" i="18"/>
  <c r="T9" i="18" s="1" a="1"/>
  <c r="T9" i="18" s="1"/>
  <c r="M10" i="18"/>
  <c r="T10" i="18" s="1" a="1"/>
  <c r="T10" i="18" s="1"/>
  <c r="M11" i="18"/>
  <c r="T11" i="18" s="1" a="1"/>
  <c r="T11" i="18" s="1"/>
  <c r="M12" i="18"/>
  <c r="T12" i="18" s="1" a="1"/>
  <c r="T12" i="18" s="1"/>
  <c r="M13" i="18"/>
  <c r="M14" i="18"/>
  <c r="M15" i="18"/>
  <c r="M16" i="18"/>
  <c r="S16" i="18" s="1" a="1"/>
  <c r="S16" i="18" s="1"/>
  <c r="M17" i="18"/>
  <c r="M18" i="18"/>
  <c r="M19" i="18"/>
  <c r="N2" i="18" a="1"/>
  <c r="N2" i="18"/>
  <c r="N3" i="18" a="1"/>
  <c r="N3" i="18"/>
  <c r="N4" i="18" a="1"/>
  <c r="N4" i="18" s="1"/>
  <c r="N5" i="18" a="1"/>
  <c r="N5" i="18" s="1"/>
  <c r="N6" i="18" a="1"/>
  <c r="N6" i="18" s="1"/>
  <c r="N7" i="18" a="1"/>
  <c r="N7" i="18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 s="1"/>
  <c r="N18" i="18" a="1"/>
  <c r="N18" i="18"/>
  <c r="N19" i="18" a="1"/>
  <c r="N19" i="18"/>
  <c r="O18" i="18" a="1"/>
  <c r="O18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T5" i="18" a="1"/>
  <c r="T5" i="18" s="1"/>
  <c r="L2" i="17"/>
  <c r="L4" i="17"/>
  <c r="L6" i="17"/>
  <c r="L8" i="17"/>
  <c r="L10" i="17"/>
  <c r="L12" i="17"/>
  <c r="L14" i="17"/>
  <c r="L16" i="17"/>
  <c r="L18" i="17"/>
  <c r="L19" i="17"/>
  <c r="L20" i="17"/>
  <c r="L21" i="17"/>
  <c r="X21" i="17" s="1" a="1"/>
  <c r="X21" i="17" s="1"/>
  <c r="L22" i="17"/>
  <c r="L23" i="17"/>
  <c r="L3" i="17"/>
  <c r="S21" i="17" s="1" a="1"/>
  <c r="S21" i="17" s="1"/>
  <c r="L5" i="17"/>
  <c r="N5" i="17" s="1" a="1"/>
  <c r="N5" i="17" s="1"/>
  <c r="L7" i="17"/>
  <c r="L9" i="17"/>
  <c r="L11" i="17"/>
  <c r="L13" i="17"/>
  <c r="L15" i="17"/>
  <c r="L17" i="17"/>
  <c r="L24" i="17"/>
  <c r="L25" i="17"/>
  <c r="V25" i="17" s="1" a="1"/>
  <c r="V25" i="17" s="1"/>
  <c r="L26" i="17"/>
  <c r="L27" i="17"/>
  <c r="L28" i="17"/>
  <c r="L29" i="17"/>
  <c r="S29" i="17" s="1" a="1"/>
  <c r="S29" i="17" s="1"/>
  <c r="M2" i="17" a="1"/>
  <c r="M2" i="17"/>
  <c r="M4" i="17" a="1"/>
  <c r="M4" i="17" s="1"/>
  <c r="M6" i="17" a="1"/>
  <c r="M6" i="17" s="1"/>
  <c r="M8" i="17" a="1"/>
  <c r="M8" i="17" s="1"/>
  <c r="M10" i="17" a="1"/>
  <c r="M10" i="17" s="1"/>
  <c r="M12" i="17" a="1"/>
  <c r="M12" i="17" s="1"/>
  <c r="M14" i="17" a="1"/>
  <c r="M14" i="17" s="1"/>
  <c r="M16" i="17" a="1"/>
  <c r="M16" i="17" s="1"/>
  <c r="M18" i="17" a="1"/>
  <c r="M18" i="17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3" i="17" a="1"/>
  <c r="M3" i="17" s="1"/>
  <c r="M5" i="17" a="1"/>
  <c r="M5" i="17" s="1"/>
  <c r="M7" i="17" a="1"/>
  <c r="M7" i="17" s="1"/>
  <c r="M9" i="17" a="1"/>
  <c r="M9" i="17" s="1"/>
  <c r="M11" i="17" a="1"/>
  <c r="M11" i="17" s="1"/>
  <c r="M13" i="17" a="1"/>
  <c r="M13" i="17" s="1"/>
  <c r="M15" i="17" a="1"/>
  <c r="M15" i="17"/>
  <c r="M17" i="17" a="1"/>
  <c r="M17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P2" i="17" a="1"/>
  <c r="P2" i="17" s="1"/>
  <c r="P4" i="17" a="1"/>
  <c r="P4" i="17" s="1"/>
  <c r="P6" i="17" a="1"/>
  <c r="P6" i="17" s="1"/>
  <c r="P8" i="17" a="1"/>
  <c r="P8" i="17" s="1"/>
  <c r="P10" i="17" a="1"/>
  <c r="P10" i="17" s="1"/>
  <c r="P12" i="17" a="1"/>
  <c r="P12" i="17" s="1"/>
  <c r="P14" i="17" a="1"/>
  <c r="P14" i="17" s="1"/>
  <c r="P16" i="17" a="1"/>
  <c r="P16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3" i="17" a="1"/>
  <c r="P3" i="17" s="1"/>
  <c r="P5" i="17" a="1"/>
  <c r="P5" i="17" s="1"/>
  <c r="P7" i="17" a="1"/>
  <c r="P7" i="17" s="1"/>
  <c r="P9" i="17" a="1"/>
  <c r="P9" i="17" s="1"/>
  <c r="P11" i="17" a="1"/>
  <c r="P11" i="17" s="1"/>
  <c r="P13" i="17" a="1"/>
  <c r="P13" i="17" s="1"/>
  <c r="P15" i="17" a="1"/>
  <c r="P15" i="17" s="1"/>
  <c r="P17" i="17" a="1"/>
  <c r="P17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G2" i="16"/>
  <c r="N2" i="20" l="1"/>
  <c r="L3" i="20" a="1"/>
  <c r="L3" i="20" s="1"/>
  <c r="P6" i="20" a="1"/>
  <c r="P6" i="20" s="1"/>
  <c r="P5" i="20" a="1"/>
  <c r="P5" i="20" s="1"/>
  <c r="N3" i="20"/>
  <c r="P3" i="20" a="1"/>
  <c r="P3" i="20" s="1"/>
  <c r="K6" i="20" a="1"/>
  <c r="K6" i="20" s="1"/>
  <c r="P2" i="20" a="1"/>
  <c r="P2" i="20" s="1"/>
  <c r="L7" i="20" a="1"/>
  <c r="L7" i="20" s="1"/>
  <c r="N7" i="20" s="1"/>
  <c r="K5" i="20" a="1"/>
  <c r="K5" i="20" s="1"/>
  <c r="L6" i="20" a="1"/>
  <c r="L6" i="20" s="1"/>
  <c r="N6" i="20" s="1"/>
  <c r="K4" i="20" a="1"/>
  <c r="K4" i="20" s="1"/>
  <c r="L5" i="20" a="1"/>
  <c r="L5" i="20" s="1"/>
  <c r="N5" i="20" s="1"/>
  <c r="P7" i="20" a="1"/>
  <c r="P7" i="20" s="1"/>
  <c r="O5" i="20" a="1"/>
  <c r="O5" i="20" s="1"/>
  <c r="K2" i="20" a="1"/>
  <c r="K2" i="20" s="1"/>
  <c r="L4" i="20" a="1"/>
  <c r="L4" i="20" s="1"/>
  <c r="N4" i="20" s="1"/>
  <c r="O4" i="20" a="1"/>
  <c r="O4" i="20" s="1"/>
  <c r="S17" i="18" a="1"/>
  <c r="S17" i="18" s="1"/>
  <c r="O15" i="18" a="1"/>
  <c r="O15" i="18" s="1"/>
  <c r="T14" i="18" a="1"/>
  <c r="T14" i="18" s="1"/>
  <c r="S19" i="18" a="1"/>
  <c r="S19" i="18" s="1"/>
  <c r="P13" i="18" a="1"/>
  <c r="P13" i="18" s="1"/>
  <c r="O6" i="18" a="1"/>
  <c r="O6" i="18" s="1"/>
  <c r="P18" i="18" a="1"/>
  <c r="P18" i="18" s="1"/>
  <c r="S15" i="18" a="1"/>
  <c r="S15" i="18" s="1"/>
  <c r="S14" i="18" a="1"/>
  <c r="S14" i="18" s="1"/>
  <c r="P17" i="18" a="1"/>
  <c r="P17" i="18" s="1"/>
  <c r="T4" i="18" a="1"/>
  <c r="T4" i="18" s="1"/>
  <c r="P19" i="18" a="1"/>
  <c r="P19" i="18" s="1"/>
  <c r="R19" i="18" s="1"/>
  <c r="U19" i="18" s="1"/>
  <c r="T19" i="18" a="1"/>
  <c r="T19" i="18" s="1"/>
  <c r="S13" i="18" a="1"/>
  <c r="S13" i="18" s="1"/>
  <c r="P16" i="18" a="1"/>
  <c r="P16" i="18" s="1"/>
  <c r="R16" i="18" s="1"/>
  <c r="U16" i="18" s="1"/>
  <c r="S12" i="18" a="1"/>
  <c r="S12" i="18" s="1"/>
  <c r="P11" i="18" a="1"/>
  <c r="P11" i="18" s="1"/>
  <c r="S8" i="18" a="1"/>
  <c r="S8" i="18" s="1"/>
  <c r="S6" i="18" a="1"/>
  <c r="S6" i="18" s="1"/>
  <c r="P9" i="18" a="1"/>
  <c r="P9" i="18" s="1"/>
  <c r="T6" i="18" a="1"/>
  <c r="T6" i="18" s="1"/>
  <c r="T3" i="18" a="1"/>
  <c r="T3" i="18" s="1"/>
  <c r="P12" i="18" a="1"/>
  <c r="P12" i="18" s="1"/>
  <c r="T17" i="18" a="1"/>
  <c r="T17" i="18" s="1"/>
  <c r="P8" i="18" a="1"/>
  <c r="P8" i="18" s="1"/>
  <c r="P5" i="18" a="1"/>
  <c r="P5" i="18" s="1"/>
  <c r="O13" i="18" a="1"/>
  <c r="O13" i="18" s="1"/>
  <c r="O7" i="18" a="1"/>
  <c r="O7" i="18" s="1"/>
  <c r="S4" i="18" a="1"/>
  <c r="S4" i="18" s="1"/>
  <c r="P4" i="18" a="1"/>
  <c r="P4" i="18" s="1"/>
  <c r="R4" i="18" s="1"/>
  <c r="U4" i="18" s="1"/>
  <c r="T2" i="18" a="1"/>
  <c r="T2" i="18" s="1"/>
  <c r="S11" i="18" a="1"/>
  <c r="S11" i="18" s="1"/>
  <c r="T16" i="18" a="1"/>
  <c r="T16" i="18" s="1"/>
  <c r="S7" i="18" a="1"/>
  <c r="S7" i="18" s="1"/>
  <c r="T13" i="18" a="1"/>
  <c r="T13" i="18" s="1"/>
  <c r="S3" i="18" a="1"/>
  <c r="S3" i="18" s="1"/>
  <c r="P3" i="18" a="1"/>
  <c r="P3" i="18" s="1"/>
  <c r="O14" i="18" a="1"/>
  <c r="O14" i="18" s="1"/>
  <c r="T18" i="18" a="1"/>
  <c r="T18" i="18" s="1"/>
  <c r="P10" i="18" a="1"/>
  <c r="P10" i="18" s="1"/>
  <c r="R10" i="18" s="1"/>
  <c r="U10" i="18" s="1"/>
  <c r="P2" i="18" a="1"/>
  <c r="P2" i="18" s="1"/>
  <c r="R2" i="18" s="1"/>
  <c r="U2" i="18" s="1"/>
  <c r="R9" i="18"/>
  <c r="U9" i="18" s="1"/>
  <c r="R8" i="18"/>
  <c r="U8" i="18" s="1"/>
  <c r="R17" i="18"/>
  <c r="U17" i="18" s="1"/>
  <c r="R5" i="18"/>
  <c r="U5" i="18" s="1"/>
  <c r="R18" i="18"/>
  <c r="U18" i="18" s="1"/>
  <c r="R13" i="18"/>
  <c r="U13" i="18" s="1"/>
  <c r="R12" i="18"/>
  <c r="U12" i="18" s="1"/>
  <c r="R3" i="18"/>
  <c r="U3" i="18" s="1"/>
  <c r="R11" i="18"/>
  <c r="U11" i="18" s="1"/>
  <c r="O5" i="18" a="1"/>
  <c r="O5" i="18" s="1"/>
  <c r="O4" i="18" a="1"/>
  <c r="O4" i="18" s="1"/>
  <c r="O12" i="18" a="1"/>
  <c r="O12" i="18" s="1"/>
  <c r="O19" i="18" a="1"/>
  <c r="O19" i="18" s="1"/>
  <c r="O3" i="18" a="1"/>
  <c r="O3" i="18" s="1"/>
  <c r="O11" i="18" a="1"/>
  <c r="O11" i="18" s="1"/>
  <c r="O10" i="18" a="1"/>
  <c r="O10" i="18" s="1"/>
  <c r="O2" i="18" a="1"/>
  <c r="O2" i="18" s="1"/>
  <c r="O9" i="18" a="1"/>
  <c r="O9" i="18" s="1"/>
  <c r="S18" i="18" a="1"/>
  <c r="S18" i="18" s="1"/>
  <c r="P7" i="18" a="1"/>
  <c r="P7" i="18" s="1"/>
  <c r="R7" i="18" s="1"/>
  <c r="U7" i="18" s="1"/>
  <c r="T8" i="18" a="1"/>
  <c r="T8" i="18" s="1"/>
  <c r="S9" i="18" a="1"/>
  <c r="S9" i="18" s="1"/>
  <c r="P14" i="18" a="1"/>
  <c r="P14" i="18" s="1"/>
  <c r="R14" i="18" s="1"/>
  <c r="U14" i="18" s="1"/>
  <c r="P6" i="18" a="1"/>
  <c r="P6" i="18" s="1"/>
  <c r="R6" i="18" s="1"/>
  <c r="U6" i="18" s="1"/>
  <c r="O16" i="18" a="1"/>
  <c r="O16" i="18" s="1"/>
  <c r="O8" i="18" a="1"/>
  <c r="O8" i="18" s="1"/>
  <c r="S10" i="18" a="1"/>
  <c r="S10" i="18" s="1"/>
  <c r="P15" i="18" a="1"/>
  <c r="P15" i="18" s="1"/>
  <c r="R15" i="18" s="1"/>
  <c r="U15" i="18" s="1"/>
  <c r="S2" i="18" a="1"/>
  <c r="S2" i="18" s="1"/>
  <c r="O17" i="18" a="1"/>
  <c r="O17" i="18" s="1"/>
  <c r="T15" i="18" a="1"/>
  <c r="T15" i="18" s="1"/>
  <c r="T7" i="18" a="1"/>
  <c r="T7" i="18" s="1"/>
  <c r="O9" i="17" a="1"/>
  <c r="O9" i="17" s="1"/>
  <c r="X29" i="17" a="1"/>
  <c r="X29" i="17" s="1"/>
  <c r="N28" i="17" a="1"/>
  <c r="N28" i="17" s="1"/>
  <c r="R25" i="17" a="1"/>
  <c r="R25" i="17" s="1"/>
  <c r="V16" i="17" a="1"/>
  <c r="V16" i="17" s="1"/>
  <c r="U13" i="17" a="1"/>
  <c r="U13" i="17" s="1"/>
  <c r="U8" i="17" a="1"/>
  <c r="U8" i="17" s="1"/>
  <c r="N29" i="17" a="1"/>
  <c r="N29" i="17" s="1"/>
  <c r="T5" i="17" a="1"/>
  <c r="T5" i="17" s="1"/>
  <c r="R16" i="17" a="1"/>
  <c r="R16" i="17" s="1"/>
  <c r="O5" i="17" a="1"/>
  <c r="O5" i="17" s="1"/>
  <c r="O4" i="17" a="1"/>
  <c r="O4" i="17" s="1"/>
  <c r="S28" i="17" a="1"/>
  <c r="S28" i="17" s="1"/>
  <c r="S20" i="17" a="1"/>
  <c r="S20" i="17" s="1"/>
  <c r="R24" i="17" a="1"/>
  <c r="R24" i="17" s="1"/>
  <c r="R14" i="17" a="1"/>
  <c r="R14" i="17" s="1"/>
  <c r="O3" i="17" a="1"/>
  <c r="O3" i="17" s="1"/>
  <c r="V17" i="17" a="1"/>
  <c r="V17" i="17" s="1"/>
  <c r="U9" i="17" a="1"/>
  <c r="U9" i="17" s="1"/>
  <c r="U4" i="17" a="1"/>
  <c r="U4" i="17" s="1"/>
  <c r="T23" i="17" a="1"/>
  <c r="T23" i="17" s="1"/>
  <c r="S27" i="17" a="1"/>
  <c r="S27" i="17" s="1"/>
  <c r="S19" i="17" a="1"/>
  <c r="S19" i="17" s="1"/>
  <c r="R17" i="17" a="1"/>
  <c r="R17" i="17" s="1"/>
  <c r="R12" i="17" a="1"/>
  <c r="R12" i="17" s="1"/>
  <c r="O23" i="17" a="1"/>
  <c r="O23" i="17" s="1"/>
  <c r="N27" i="17" a="1"/>
  <c r="N27" i="17" s="1"/>
  <c r="N19" i="17" a="1"/>
  <c r="N19" i="17" s="1"/>
  <c r="U11" i="17" a="1"/>
  <c r="U11" i="17" s="1"/>
  <c r="V10" i="17" a="1"/>
  <c r="V10" i="17" s="1"/>
  <c r="U7" i="17" a="1"/>
  <c r="U7" i="17" s="1"/>
  <c r="U2" i="17" a="1"/>
  <c r="U2" i="17" s="1"/>
  <c r="T22" i="17" a="1"/>
  <c r="T22" i="17" s="1"/>
  <c r="S26" i="17" a="1"/>
  <c r="S26" i="17" s="1"/>
  <c r="S18" i="17" a="1"/>
  <c r="S18" i="17" s="1"/>
  <c r="R15" i="17" a="1"/>
  <c r="R15" i="17" s="1"/>
  <c r="R10" i="17" a="1"/>
  <c r="R10" i="17" s="1"/>
  <c r="O22" i="17" a="1"/>
  <c r="O22" i="17" s="1"/>
  <c r="N26" i="17" a="1"/>
  <c r="N26" i="17" s="1"/>
  <c r="N18" i="17" a="1"/>
  <c r="N18" i="17" s="1"/>
  <c r="X25" i="17" a="1"/>
  <c r="X25" i="17" s="1"/>
  <c r="R13" i="17" a="1"/>
  <c r="R13" i="17" s="1"/>
  <c r="R8" i="17" a="1"/>
  <c r="R8" i="17" s="1"/>
  <c r="O29" i="17" a="1"/>
  <c r="O29" i="17" s="1"/>
  <c r="O21" i="17" a="1"/>
  <c r="O21" i="17" s="1"/>
  <c r="N24" i="17" a="1"/>
  <c r="N24" i="17" s="1"/>
  <c r="X20" i="17" a="1"/>
  <c r="X20" i="17" s="1"/>
  <c r="X16" i="17" a="1"/>
  <c r="X16" i="17" s="1"/>
  <c r="Y16" i="17" s="1"/>
  <c r="U5" i="17" a="1"/>
  <c r="U5" i="17" s="1"/>
  <c r="T28" i="17" a="1"/>
  <c r="T28" i="17" s="1"/>
  <c r="T20" i="17" a="1"/>
  <c r="T20" i="17" s="1"/>
  <c r="S24" i="17" a="1"/>
  <c r="S24" i="17" s="1"/>
  <c r="S14" i="17" a="1"/>
  <c r="S14" i="17" s="1"/>
  <c r="R11" i="17" a="1"/>
  <c r="R11" i="17" s="1"/>
  <c r="R6" i="17" a="1"/>
  <c r="R6" i="17" s="1"/>
  <c r="O28" i="17" a="1"/>
  <c r="O28" i="17" s="1"/>
  <c r="O20" i="17" a="1"/>
  <c r="O20" i="17" s="1"/>
  <c r="N17" i="17" a="1"/>
  <c r="N17" i="17" s="1"/>
  <c r="N20" i="17" a="1"/>
  <c r="N20" i="17" s="1"/>
  <c r="V24" i="17" a="1"/>
  <c r="V24" i="17" s="1"/>
  <c r="V8" i="17" a="1"/>
  <c r="V8" i="17" s="1"/>
  <c r="X17" i="17" a="1"/>
  <c r="X17" i="17" s="1"/>
  <c r="T27" i="17" a="1"/>
  <c r="T27" i="17" s="1"/>
  <c r="T19" i="17" a="1"/>
  <c r="T19" i="17" s="1"/>
  <c r="S17" i="17" a="1"/>
  <c r="S17" i="17" s="1"/>
  <c r="S12" i="17" a="1"/>
  <c r="S12" i="17" s="1"/>
  <c r="R9" i="17" a="1"/>
  <c r="R9" i="17" s="1"/>
  <c r="R4" i="17" a="1"/>
  <c r="R4" i="17" s="1"/>
  <c r="O27" i="17" a="1"/>
  <c r="O27" i="17" s="1"/>
  <c r="O19" i="17" a="1"/>
  <c r="O19" i="17" s="1"/>
  <c r="N15" i="17" a="1"/>
  <c r="N15" i="17" s="1"/>
  <c r="X19" i="17" a="1"/>
  <c r="X19" i="17" s="1"/>
  <c r="Y19" i="17" s="1"/>
  <c r="Q19" i="17" s="1"/>
  <c r="W19" i="17" s="1"/>
  <c r="V13" i="17" a="1"/>
  <c r="V13" i="17" s="1"/>
  <c r="X14" i="17" a="1"/>
  <c r="X14" i="17" s="1"/>
  <c r="Y14" i="17" s="1"/>
  <c r="V7" i="17" a="1"/>
  <c r="V7" i="17" s="1"/>
  <c r="V2" i="17" a="1"/>
  <c r="V2" i="17" s="1"/>
  <c r="U22" i="17" a="1"/>
  <c r="U22" i="17" s="1"/>
  <c r="T26" i="17" a="1"/>
  <c r="T26" i="17" s="1"/>
  <c r="T18" i="17" a="1"/>
  <c r="T18" i="17" s="1"/>
  <c r="S15" i="17" a="1"/>
  <c r="S15" i="17" s="1"/>
  <c r="S10" i="17" a="1"/>
  <c r="S10" i="17" s="1"/>
  <c r="R7" i="17" a="1"/>
  <c r="R7" i="17" s="1"/>
  <c r="R2" i="17" a="1"/>
  <c r="R2" i="17" s="1"/>
  <c r="O26" i="17" a="1"/>
  <c r="O26" i="17" s="1"/>
  <c r="O18" i="17" a="1"/>
  <c r="O18" i="17" s="1"/>
  <c r="N13" i="17" a="1"/>
  <c r="N13" i="17" s="1"/>
  <c r="V12" i="17" a="1"/>
  <c r="V12" i="17" s="1"/>
  <c r="S25" i="17" a="1"/>
  <c r="S25" i="17" s="1"/>
  <c r="V6" i="17" a="1"/>
  <c r="V6" i="17" s="1"/>
  <c r="U23" i="17" a="1"/>
  <c r="U23" i="17" s="1"/>
  <c r="X15" i="17" a="1"/>
  <c r="X15" i="17" s="1"/>
  <c r="Y15" i="17" s="1"/>
  <c r="X10" i="17" a="1"/>
  <c r="X10" i="17" s="1"/>
  <c r="Y10" i="17" s="1"/>
  <c r="X13" i="17" a="1"/>
  <c r="X13" i="17" s="1"/>
  <c r="X8" i="17" a="1"/>
  <c r="X8" i="17" s="1"/>
  <c r="V5" i="17" a="1"/>
  <c r="V5" i="17" s="1"/>
  <c r="U29" i="17" a="1"/>
  <c r="U29" i="17" s="1"/>
  <c r="U21" i="17" a="1"/>
  <c r="U21" i="17" s="1"/>
  <c r="T25" i="17" a="1"/>
  <c r="T25" i="17" s="1"/>
  <c r="T16" i="17" a="1"/>
  <c r="T16" i="17" s="1"/>
  <c r="S13" i="17" a="1"/>
  <c r="S13" i="17" s="1"/>
  <c r="S8" i="17" a="1"/>
  <c r="S8" i="17" s="1"/>
  <c r="R5" i="17" a="1"/>
  <c r="R5" i="17" s="1"/>
  <c r="O25" i="17" a="1"/>
  <c r="O25" i="17" s="1"/>
  <c r="O16" i="17" a="1"/>
  <c r="O16" i="17" s="1"/>
  <c r="N9" i="17" a="1"/>
  <c r="N9" i="17" s="1"/>
  <c r="V14" i="17" a="1"/>
  <c r="V14" i="17" s="1"/>
  <c r="V15" i="17" a="1"/>
  <c r="V15" i="17" s="1"/>
  <c r="S16" i="17" a="1"/>
  <c r="S16" i="17" s="1"/>
  <c r="V11" i="17" a="1"/>
  <c r="V11" i="17" s="1"/>
  <c r="V4" i="17" a="1"/>
  <c r="V4" i="17" s="1"/>
  <c r="X11" i="17" a="1"/>
  <c r="X11" i="17" s="1"/>
  <c r="X6" i="17" a="1"/>
  <c r="X6" i="17" s="1"/>
  <c r="V3" i="17" a="1"/>
  <c r="V3" i="17" s="1"/>
  <c r="U28" i="17" a="1"/>
  <c r="U28" i="17" s="1"/>
  <c r="U20" i="17" a="1"/>
  <c r="U20" i="17" s="1"/>
  <c r="T24" i="17" a="1"/>
  <c r="T24" i="17" s="1"/>
  <c r="T14" i="17" a="1"/>
  <c r="T14" i="17" s="1"/>
  <c r="S11" i="17" a="1"/>
  <c r="S11" i="17" s="1"/>
  <c r="S6" i="17" a="1"/>
  <c r="S6" i="17" s="1"/>
  <c r="R3" i="17" a="1"/>
  <c r="R3" i="17" s="1"/>
  <c r="O24" i="17" a="1"/>
  <c r="O24" i="17" s="1"/>
  <c r="O14" i="17" a="1"/>
  <c r="O14" i="17" s="1"/>
  <c r="N7" i="17" a="1"/>
  <c r="N7" i="17" s="1"/>
  <c r="X27" i="17" a="1"/>
  <c r="X27" i="17" s="1"/>
  <c r="V9" i="17" a="1"/>
  <c r="V9" i="17" s="1"/>
  <c r="X9" i="17" a="1"/>
  <c r="X9" i="17" s="1"/>
  <c r="X4" i="17" a="1"/>
  <c r="X4" i="17" s="1"/>
  <c r="V23" i="17" a="1"/>
  <c r="V23" i="17" s="1"/>
  <c r="U27" i="17" a="1"/>
  <c r="U27" i="17" s="1"/>
  <c r="U19" i="17" a="1"/>
  <c r="U19" i="17" s="1"/>
  <c r="T17" i="17" a="1"/>
  <c r="T17" i="17" s="1"/>
  <c r="T12" i="17" a="1"/>
  <c r="T12" i="17" s="1"/>
  <c r="S9" i="17" a="1"/>
  <c r="S9" i="17" s="1"/>
  <c r="S4" i="17" a="1"/>
  <c r="S4" i="17" s="1"/>
  <c r="R23" i="17" a="1"/>
  <c r="R23" i="17" s="1"/>
  <c r="O17" i="17" a="1"/>
  <c r="O17" i="17" s="1"/>
  <c r="O12" i="17" a="1"/>
  <c r="O12" i="17" s="1"/>
  <c r="N3" i="17" a="1"/>
  <c r="N3" i="17" s="1"/>
  <c r="N2" i="17" a="1"/>
  <c r="N2" i="17" s="1"/>
  <c r="X26" i="17" a="1"/>
  <c r="X26" i="17" s="1"/>
  <c r="Y26" i="17" s="1"/>
  <c r="Q26" i="17" s="1"/>
  <c r="W26" i="17" s="1"/>
  <c r="X24" i="17" a="1"/>
  <c r="X24" i="17" s="1"/>
  <c r="Y24" i="17" s="1"/>
  <c r="X2" i="17" a="1"/>
  <c r="X2" i="17" s="1"/>
  <c r="Y2" i="17" s="1"/>
  <c r="U26" i="17" a="1"/>
  <c r="U26" i="17" s="1"/>
  <c r="U18" i="17" a="1"/>
  <c r="U18" i="17" s="1"/>
  <c r="T15" i="17" a="1"/>
  <c r="T15" i="17" s="1"/>
  <c r="T10" i="17" a="1"/>
  <c r="T10" i="17" s="1"/>
  <c r="S7" i="17" a="1"/>
  <c r="S7" i="17" s="1"/>
  <c r="S2" i="17" a="1"/>
  <c r="S2" i="17" s="1"/>
  <c r="R22" i="17" a="1"/>
  <c r="R22" i="17" s="1"/>
  <c r="O15" i="17" a="1"/>
  <c r="O15" i="17" s="1"/>
  <c r="O10" i="17" a="1"/>
  <c r="O10" i="17" s="1"/>
  <c r="N23" i="17" a="1"/>
  <c r="N23" i="17" s="1"/>
  <c r="N14" i="17" a="1"/>
  <c r="N14" i="17" s="1"/>
  <c r="U6" i="17" a="1"/>
  <c r="U6" i="17" s="1"/>
  <c r="T21" i="17" a="1"/>
  <c r="T21" i="17" s="1"/>
  <c r="X12" i="17" a="1"/>
  <c r="X12" i="17" s="1"/>
  <c r="Y12" i="17" s="1"/>
  <c r="Q12" i="17" s="1"/>
  <c r="W12" i="17" s="1"/>
  <c r="V29" i="17" a="1"/>
  <c r="V29" i="17" s="1"/>
  <c r="U25" i="17" a="1"/>
  <c r="U25" i="17" s="1"/>
  <c r="U16" i="17" a="1"/>
  <c r="U16" i="17" s="1"/>
  <c r="T13" i="17" a="1"/>
  <c r="T13" i="17" s="1"/>
  <c r="T8" i="17" a="1"/>
  <c r="T8" i="17" s="1"/>
  <c r="S5" i="17" a="1"/>
  <c r="S5" i="17" s="1"/>
  <c r="R29" i="17" a="1"/>
  <c r="R29" i="17" s="1"/>
  <c r="R21" i="17" a="1"/>
  <c r="R21" i="17" s="1"/>
  <c r="O13" i="17" a="1"/>
  <c r="O13" i="17" s="1"/>
  <c r="O8" i="17" a="1"/>
  <c r="O8" i="17" s="1"/>
  <c r="N12" i="17" a="1"/>
  <c r="N12" i="17" s="1"/>
  <c r="X28" i="17" a="1"/>
  <c r="X28" i="17" s="1"/>
  <c r="Y28" i="17" s="1"/>
  <c r="Q28" i="17" s="1"/>
  <c r="W28" i="17" s="1"/>
  <c r="X18" i="17" a="1"/>
  <c r="X18" i="17" s="1"/>
  <c r="Y18" i="17" s="1"/>
  <c r="Q18" i="17" s="1"/>
  <c r="W18" i="17" s="1"/>
  <c r="T29" i="17" a="1"/>
  <c r="T29" i="17" s="1"/>
  <c r="U3" i="17" a="1"/>
  <c r="U3" i="17" s="1"/>
  <c r="X7" i="17" a="1"/>
  <c r="X7" i="17" s="1"/>
  <c r="Y7" i="17" s="1"/>
  <c r="V22" i="17" a="1"/>
  <c r="V22" i="17" s="1"/>
  <c r="X5" i="17" a="1"/>
  <c r="X5" i="17" s="1"/>
  <c r="Y5" i="17" s="1"/>
  <c r="Q5" i="17" s="1"/>
  <c r="W5" i="17" s="1"/>
  <c r="V21" i="17" a="1"/>
  <c r="V21" i="17" s="1"/>
  <c r="X3" i="17" a="1"/>
  <c r="X3" i="17" s="1"/>
  <c r="Y3" i="17" s="1"/>
  <c r="V28" i="17" a="1"/>
  <c r="V28" i="17" s="1"/>
  <c r="V20" i="17" a="1"/>
  <c r="V20" i="17" s="1"/>
  <c r="U24" i="17" a="1"/>
  <c r="U24" i="17" s="1"/>
  <c r="U14" i="17" a="1"/>
  <c r="U14" i="17" s="1"/>
  <c r="T11" i="17" a="1"/>
  <c r="T11" i="17" s="1"/>
  <c r="T6" i="17" a="1"/>
  <c r="T6" i="17" s="1"/>
  <c r="S3" i="17" a="1"/>
  <c r="S3" i="17" s="1"/>
  <c r="R28" i="17" a="1"/>
  <c r="R28" i="17" s="1"/>
  <c r="R20" i="17" a="1"/>
  <c r="R20" i="17" s="1"/>
  <c r="O11" i="17" a="1"/>
  <c r="O11" i="17" s="1"/>
  <c r="O6" i="17" a="1"/>
  <c r="O6" i="17" s="1"/>
  <c r="T3" i="17" a="1"/>
  <c r="T3" i="17" s="1"/>
  <c r="X23" i="17" a="1"/>
  <c r="X23" i="17" s="1"/>
  <c r="Y23" i="17" s="1"/>
  <c r="Q23" i="17" s="1"/>
  <c r="W23" i="17" s="1"/>
  <c r="V27" i="17" a="1"/>
  <c r="V27" i="17" s="1"/>
  <c r="V19" i="17" a="1"/>
  <c r="V19" i="17" s="1"/>
  <c r="U17" i="17" a="1"/>
  <c r="U17" i="17" s="1"/>
  <c r="U12" i="17" a="1"/>
  <c r="U12" i="17" s="1"/>
  <c r="T9" i="17" a="1"/>
  <c r="T9" i="17" s="1"/>
  <c r="T4" i="17" a="1"/>
  <c r="T4" i="17" s="1"/>
  <c r="S23" i="17" a="1"/>
  <c r="S23" i="17" s="1"/>
  <c r="R27" i="17" a="1"/>
  <c r="R27" i="17" s="1"/>
  <c r="R19" i="17" a="1"/>
  <c r="R19" i="17" s="1"/>
  <c r="X22" i="17" a="1"/>
  <c r="X22" i="17" s="1"/>
  <c r="Y22" i="17" s="1"/>
  <c r="V26" i="17" a="1"/>
  <c r="V26" i="17" s="1"/>
  <c r="V18" i="17" a="1"/>
  <c r="V18" i="17" s="1"/>
  <c r="U15" i="17" a="1"/>
  <c r="U15" i="17" s="1"/>
  <c r="U10" i="17" a="1"/>
  <c r="U10" i="17" s="1"/>
  <c r="T7" i="17" a="1"/>
  <c r="T7" i="17" s="1"/>
  <c r="T2" i="17" a="1"/>
  <c r="T2" i="17" s="1"/>
  <c r="S22" i="17" a="1"/>
  <c r="S22" i="17" s="1"/>
  <c r="R26" i="17" a="1"/>
  <c r="R26" i="17" s="1"/>
  <c r="R18" i="17" a="1"/>
  <c r="R18" i="17" s="1"/>
  <c r="O7" i="17" a="1"/>
  <c r="O7" i="17" s="1"/>
  <c r="O2" i="17" a="1"/>
  <c r="O2" i="17" s="1"/>
  <c r="Y17" i="17"/>
  <c r="Y13" i="17"/>
  <c r="Q13" i="17" s="1"/>
  <c r="W13" i="17" s="1"/>
  <c r="Y11" i="17"/>
  <c r="Y25" i="17"/>
  <c r="Q25" i="17" s="1"/>
  <c r="W25" i="17" s="1"/>
  <c r="Y21" i="17"/>
  <c r="Q21" i="17" s="1"/>
  <c r="W21" i="17" s="1"/>
  <c r="Y20" i="17"/>
  <c r="Y29" i="17"/>
  <c r="Y6" i="17"/>
  <c r="Q6" i="17" s="1"/>
  <c r="W6" i="17" s="1"/>
  <c r="Y4" i="17"/>
  <c r="Q4" i="17" s="1"/>
  <c r="W4" i="17" s="1"/>
  <c r="Y9" i="17"/>
  <c r="Q9" i="17" s="1"/>
  <c r="W9" i="17" s="1"/>
  <c r="Q2" i="17"/>
  <c r="W2" i="17" s="1"/>
  <c r="Q22" i="17"/>
  <c r="W22" i="17" s="1"/>
  <c r="Y27" i="17"/>
  <c r="Q27" i="17" s="1"/>
  <c r="W27" i="17" s="1"/>
  <c r="Y8" i="17"/>
  <c r="N10" i="17" a="1"/>
  <c r="N10" i="17" s="1"/>
  <c r="N22" i="17" a="1"/>
  <c r="N22" i="17" s="1"/>
  <c r="N8" i="17" a="1"/>
  <c r="N8" i="17" s="1"/>
  <c r="N21" i="17" a="1"/>
  <c r="N21" i="17" s="1"/>
  <c r="N11" i="17" a="1"/>
  <c r="N11" i="17" s="1"/>
  <c r="N6" i="17" a="1"/>
  <c r="N6" i="17" s="1"/>
  <c r="N4" i="17" a="1"/>
  <c r="N4" i="17" s="1"/>
  <c r="N16" i="17" a="1"/>
  <c r="N16" i="17" s="1"/>
  <c r="N25" i="17" a="1"/>
  <c r="N25" i="17" s="1"/>
  <c r="Q10" i="17" l="1"/>
  <c r="W10" i="17" s="1"/>
  <c r="Q3" i="17"/>
  <c r="W3" i="17" s="1"/>
  <c r="Q8" i="17"/>
  <c r="W8" i="17" s="1"/>
  <c r="Q20" i="17"/>
  <c r="W20" i="17" s="1"/>
  <c r="Q15" i="17"/>
  <c r="W15" i="17" s="1"/>
  <c r="Q17" i="17"/>
  <c r="W17" i="17" s="1"/>
  <c r="Q14" i="17"/>
  <c r="W14" i="17" s="1"/>
  <c r="Q11" i="17"/>
  <c r="W11" i="17" s="1"/>
  <c r="Q29" i="17"/>
  <c r="W29" i="17" s="1"/>
  <c r="Q16" i="17"/>
  <c r="W16" i="17" s="1"/>
  <c r="Q7" i="17"/>
  <c r="W7" i="17" s="1"/>
  <c r="Q24" i="17"/>
  <c r="W2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<sst xmlns="http://schemas.openxmlformats.org/spreadsheetml/2006/main" count="500" uniqueCount="96">
  <si>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</si>
  <si>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</si>
  <si>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</si>
  <si>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</si>
  <si>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</si>
  <si>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</si>
  <si>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</si>
  <si>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</si>
  <si>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</si>
  <si>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</si>
  <si>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</si>
  <si>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</si>
  <si>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</si>
  <si>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</si>
  <si>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</si>
  <si>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</si>
  <si>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</si>
  <si>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</si>
  <si>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</si>
  <si>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</si>
  <si>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</si>
  <si>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</si>
  <si>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</si>
  <si>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</si>
  <si>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</si>
  <si>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</si>
  <si>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</si>
  <si>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</si>
  <si>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</si>
  <si>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</si>
  <si>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</si>
  <si>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</si>
  <si>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</si>
  <si>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</si>
  <si>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</si>
  <si>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</si>
  <si>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</si>
  <si>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</si>
  <si>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</si>
  <si>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</si>
  <si>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</si>
  <si>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</si>
  <si>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</si>
  <si>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</si>
  <si>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</si>
  <si>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</si>
  <si>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</si>
  <si>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</si>
  <si>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</si>
  <si>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</si>
  <si>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</si>
  <si>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</si>
  <si>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</si>
  <si>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</si>
  <si>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</si>
  <si>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</si>
  <si>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</si>
  <si>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</si>
  <si>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</si>
  <si>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</si>
  <si>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</si>
  <si>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</si>
  <si>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</si>
  <si>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</si>
  <si>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</si>
  <si>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</si>
  <si>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</si>
  <si>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</si>
  <si>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C:\Users\zhiyuan\Documents\masters\new_cs5233\CS5233_Simulation\Assignment2\BicycleRenting_Variables.p</t>
  </si>
  <si>
    <t>2025-03-21 16:13:02</t>
  </si>
  <si>
    <t>Queue Bicycle A.Queue</t>
  </si>
  <si>
    <t>Waiting Time</t>
  </si>
  <si>
    <t>Queue</t>
  </si>
  <si>
    <t>Queue Bicycle B.Queue</t>
  </si>
  <si>
    <t>Queue Bicycle C.Queue</t>
  </si>
  <si>
    <t>Queue Bicycle D.Queue</t>
  </si>
  <si>
    <t>Queue for Docking at A.Queue</t>
  </si>
  <si>
    <t>Queue for Docking at B.Queue</t>
  </si>
  <si>
    <t>Queue for Docking at C.Queue</t>
  </si>
  <si>
    <t>Queue for Docking at D.Queue</t>
  </si>
  <si>
    <t>Tourist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</si>
  <si>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</si>
  <si>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</si>
  <si>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</si>
  <si>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</si>
  <si>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</si>
  <si>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</si>
  <si>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</si>
  <si>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</si>
  <si>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</si>
  <si>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System.NumberOut</t>
  </si>
  <si>
    <t>Number Out</t>
  </si>
  <si>
    <t>System</t>
  </si>
  <si>
    <t>Tourist.NumberIn</t>
  </si>
  <si>
    <t>Number In</t>
  </si>
  <si>
    <t>Tourist.NumberOut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</si>
</sst>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6"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5" formatCode="[=300000000000000000000]&quot;Correlated&quot;;;"/>
    </dxf>
    <dxf>
      <numFmt numFmtId="166" formatCode="[=200000000000000000000]&quot;Insufficient&quot;;;"/>
    </dxf>
    <dxf>
      <fill>
        <patternFill>
          <bgColor theme="6"/>
        </patternFill>
      </fill>
    </dxf>
    <dxf>
      <numFmt numFmtId="165" formatCode="[=300000000000000000000]&quot;Correlated&quot;;;"/>
    </dxf>
    <dxf>
      <numFmt numFmtId="166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6" formatCode="[=200000000000000000000]&quot;Insufficient&quot;;;"/>
    </dxf>
    <dxf>
      <numFmt numFmtId="165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5" formatCode="[=300000000000000000000]&quot;Correlated&quot;;;"/>
    </dxf>
    <dxf>
      <numFmt numFmtId="166" formatCode="[=200000000000000000000]&quot;Insufficient&quot;;;"/>
    </dxf>
    <dxf>
      <numFmt numFmtId="14" formatCode="0.00%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=300000000000000000000]&quot;Correlated&quot;;;"/>
    </dxf>
    <dxf>
      <numFmt numFmtId="165" formatCode="[=300000000000000000000]&quot;Correlated&quot;;;"/>
    </dxf>
    <dxf>
      <numFmt numFmtId="166" formatCode="[=200000000000000000000]&quot;Insufficient&quot;;;"/>
    </dxf>
    <dxf>
      <numFmt numFmtId="166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67615625000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676156250003" createdVersion="7" refreshedVersion="8" minRefreshableVersion="3" recordCount="18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"/>
    </cacheField>
    <cacheField name="Name" numFmtId="0">
      <sharedItems containsBlank="1" count="133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m u="1"/>
        <s v="Number Scheduled" u="1"/>
        <s v="Number Busy" u="1"/>
        <s v="Levels" u="1"/>
        <s v="Instantaneous Utilization" u="1"/>
      </sharedItems>
    </cacheField>
    <cacheField name="Source" numFmtId="0">
      <sharedItems containsBlank="1" count="5">
        <s v="Queue"/>
        <s v="Entity"/>
        <m u="1"/>
        <s v="Resource" u="1"/>
        <s v="User Specified" u="1"/>
      </sharedItems>
    </cacheField>
    <cacheField name="Average" numFmtId="0">
      <sharedItems containsSemiMixedTypes="0" containsString="0" containsNumber="1" minValue="0" maxValue="71.175269452886795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150"/>
    </cacheField>
    <cacheField name="LastRecordedValue" numFmtId="0">
      <sharedItems containsSemiMixedTypes="0" containsString="0" containsNumber="1" containsInteger="1" minValue="0" maxValue="12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2" maxValue="2"/>
    </cacheField>
    <cacheField name="AverageOfAverage" numFmtId="0">
      <sharedItems containsSemiMixedTypes="0" containsString="0" containsNumber="1" minValue="0" maxValue="66.993137145311692"/>
    </cacheField>
    <cacheField name="StDevOfAverage" numFmtId="0">
      <sharedItems containsSemiMixedTypes="0" containsString="0" containsNumber="1" minValue="0" maxValue="34.36931267697995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08.79602284573576"/>
    </cacheField>
    <cacheField name="MinimumAverage" numFmtId="0">
      <sharedItems containsSemiMixedTypes="0" containsString="0" containsNumber="1" minValue="0" maxValue="62.811004837736597"/>
    </cacheField>
    <cacheField name="MaximumAverage" numFmtId="0">
      <sharedItems containsSemiMixedTypes="0" containsString="0" containsNumber="1" minValue="0" maxValue="71.175269452886795"/>
    </cacheField>
    <cacheField name="SummaryHalfWidth" numFmtId="0">
      <sharedItems containsSemiMixedTypes="0" containsString="0" containsNumber="1" minValue="0" maxValue="308.796022845735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676156365742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676156365742" createdVersion="7" refreshedVersion="8" minRefreshableVersion="3" recordCount="28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"/>
    </cacheField>
    <cacheField name="Name" numFmtId="0">
      <sharedItems containsBlank="1" count="108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1939.258153535098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78.735651901981299"/>
    </cacheField>
    <cacheField name="Maximum" numFmtId="0">
      <sharedItems containsSemiMixedTypes="0" containsString="0" containsNumber="1" minValue="0" maxValue="58309.490476908599"/>
    </cacheField>
    <cacheField name="NumberObservations" numFmtId="0">
      <sharedItems containsSemiMixedTypes="0" containsString="0" containsNumber="1" containsInteger="1" minValue="1319" maxValue="1855"/>
    </cacheField>
    <cacheField name="GroupByKey" numFmtId="0">
      <sharedItems/>
    </cacheField>
    <cacheField name="RepsRequested" numFmtId="0">
      <sharedItems containsSemiMixedTypes="0" containsString="0" containsNumber="1" containsInteger="1" minValue="2" maxValue="2"/>
    </cacheField>
    <cacheField name="AverageOfAverage" numFmtId="0">
      <sharedItems containsSemiMixedTypes="0" containsString="0" containsNumber="1" minValue="0" maxValue="18366.0661731662"/>
    </cacheField>
    <cacheField name="StDevOfAverage" numFmtId="0">
      <sharedItems containsSemiMixedTypes="0" containsString="0" containsNumber="1" minValue="0" maxValue="12183.84219890491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09467.47900844192"/>
    </cacheField>
    <cacheField name="MinimumAverage" numFmtId="0">
      <sharedItems containsSemiMixedTypes="0" containsString="0" containsNumber="1" minValue="0" maxValue="17444.3308997391"/>
    </cacheField>
    <cacheField name="MaximumAverage" numFmtId="0">
      <sharedItems containsSemiMixedTypes="0" containsString="0" containsNumber="1" minValue="0" maxValue="21939.258153535098"/>
    </cacheField>
    <cacheField name="OverallMinimum" numFmtId="0">
      <sharedItems containsSemiMixedTypes="0" containsString="0" containsNumber="1" minValue="0" maxValue="76.887539743562201"/>
    </cacheField>
    <cacheField name="OverallMaximum" numFmtId="0">
      <sharedItems containsSemiMixedTypes="0" containsString="0" containsNumber="1" minValue="0" maxValue="58309.490476908599"/>
    </cacheField>
    <cacheField name="AverageNumberObservations" numFmtId="0">
      <sharedItems containsSemiMixedTypes="0" containsString="0" containsNumber="1" minValue="1372" maxValue="1822"/>
    </cacheField>
    <cacheField name="SummaryHalfWidth" numFmtId="0">
      <sharedItems containsSemiMixedTypes="0" containsString="0" containsNumber="1" minValue="0" maxValue="109467.47900844192"/>
    </cacheField>
    <cacheField name="RepsWithStatObserved" numFmtId="0">
      <sharedItems containsSemiMixedTypes="0" containsString="0" containsNumber="1" containsInteger="1" minValue="2" maxValue="2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676156481481" createdVersion="7" refreshedVersion="8" minRefreshableVersion="3" recordCount="6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"/>
    </cacheField>
    <cacheField name="Name" numFmtId="0">
      <sharedItems containsBlank="1" count="81">
        <s v="System.NumberOut"/>
        <s v="Tourist.NumberIn"/>
        <s v="Tourist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System"/>
        <s v="Entity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1789" maxValue="191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2" maxValue="2"/>
    </cacheField>
    <cacheField name="Average" numFmtId="0">
      <sharedItems containsSemiMixedTypes="0" containsString="0" containsNumber="1" minValue="1822" maxValue="1914.5"/>
    </cacheField>
    <cacheField name="StandardDeviation" numFmtId="0">
      <sharedItems containsSemiMixedTypes="0" containsString="0" containsNumber="1" minValue="0.70710678118654757" maxValue="46.66904755831213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6.3531023680873471" maxValue="419.30475629376491"/>
    </cacheField>
    <cacheField name="Minimum" numFmtId="0">
      <sharedItems containsSemiMixedTypes="0" containsString="0" containsNumber="1" containsInteger="1" minValue="1789" maxValue="1914"/>
    </cacheField>
    <cacheField name="Maximum" numFmtId="0">
      <sharedItems containsSemiMixedTypes="0" containsString="0" containsNumber="1" containsInteger="1" minValue="1855" maxValue="1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s v="2025-03-21 16:13:02"/>
    <n v="1"/>
    <x v="0"/>
    <x v="0"/>
    <x v="0"/>
    <n v="0"/>
    <n v="2E+20"/>
    <n v="0"/>
    <n v="0"/>
    <n v="0"/>
    <n v="0"/>
    <s v="Unnamed ProjectQueue Bicycle A.QueueNumber WaitingQueue"/>
    <n v="2"/>
    <n v="0"/>
    <n v="0"/>
    <n v="0.95"/>
    <n v="0"/>
    <n v="0"/>
    <n v="0"/>
    <n v="0"/>
  </r>
  <r>
    <x v="0"/>
    <s v="2025-03-21 16:13:02"/>
    <n v="1"/>
    <x v="1"/>
    <x v="0"/>
    <x v="0"/>
    <n v="0"/>
    <n v="2E+20"/>
    <n v="0"/>
    <n v="0"/>
    <n v="0"/>
    <n v="0"/>
    <s v="Unnamed ProjectQueue Bicycle B.QueueNumber WaitingQueue"/>
    <n v="2"/>
    <n v="0"/>
    <n v="0"/>
    <n v="0.95"/>
    <n v="0"/>
    <n v="0"/>
    <n v="0"/>
    <n v="0"/>
  </r>
  <r>
    <x v="0"/>
    <s v="2025-03-21 16:13:02"/>
    <n v="1"/>
    <x v="2"/>
    <x v="0"/>
    <x v="0"/>
    <n v="0"/>
    <n v="2E+20"/>
    <n v="0"/>
    <n v="0"/>
    <n v="0"/>
    <n v="0"/>
    <s v="Unnamed ProjectQueue Bicycle C.QueueNumber WaitingQueue"/>
    <n v="2"/>
    <n v="0.1300274102571535"/>
    <n v="0.18388652706591696"/>
    <n v="0.95"/>
    <n v="1.6521548960419734"/>
    <n v="0"/>
    <n v="0.26005482051430701"/>
    <n v="1.6521548960419734"/>
  </r>
  <r>
    <x v="0"/>
    <s v="2025-03-21 16:13:02"/>
    <n v="1"/>
    <x v="3"/>
    <x v="0"/>
    <x v="0"/>
    <n v="0"/>
    <n v="2E+20"/>
    <n v="0"/>
    <n v="0"/>
    <n v="0"/>
    <n v="0"/>
    <s v="Unnamed ProjectQueue Bicycle D.QueueNumber WaitingQueue"/>
    <n v="2"/>
    <n v="0"/>
    <n v="0"/>
    <n v="0.95"/>
    <n v="0"/>
    <n v="0"/>
    <n v="0"/>
    <n v="0"/>
  </r>
  <r>
    <x v="0"/>
    <s v="2025-03-21 16:13:02"/>
    <n v="1"/>
    <x v="4"/>
    <x v="0"/>
    <x v="0"/>
    <n v="5.7229066606049603E-3"/>
    <n v="2E+20"/>
    <n v="0"/>
    <n v="2"/>
    <n v="0"/>
    <n v="0"/>
    <s v="Unnamed ProjectQueue for Docking at A.QueueNumber WaitingQueue"/>
    <n v="2"/>
    <n v="2.2301402938543179E-2"/>
    <n v="2.3445534280012104E-2"/>
    <n v="0.95"/>
    <n v="0.21064976792539311"/>
    <n v="5.7229066606049603E-3"/>
    <n v="3.8879899216481398E-2"/>
    <n v="0.21064976792539311"/>
  </r>
  <r>
    <x v="0"/>
    <s v="2025-03-21 16:13:02"/>
    <n v="1"/>
    <x v="5"/>
    <x v="0"/>
    <x v="0"/>
    <n v="0.49863415122990101"/>
    <n v="2E+20"/>
    <n v="0"/>
    <n v="13"/>
    <n v="11"/>
    <n v="0"/>
    <s v="Unnamed ProjectQueue for Docking at B.QueueNumber WaitingQueue"/>
    <n v="2"/>
    <n v="24.801408209843199"/>
    <n v="34.369312676979952"/>
    <n v="0.95"/>
    <n v="308.79602284573576"/>
    <n v="0.49863415122990101"/>
    <n v="49.104182268456498"/>
    <n v="308.79602284573576"/>
  </r>
  <r>
    <x v="0"/>
    <s v="2025-03-21 16:13:02"/>
    <n v="1"/>
    <x v="6"/>
    <x v="0"/>
    <x v="0"/>
    <n v="3.4297410783153799"/>
    <n v="3E+20"/>
    <n v="0"/>
    <n v="31"/>
    <n v="2"/>
    <n v="0"/>
    <s v="Unnamed ProjectQueue for Docking at C.QueueNumber WaitingQueue"/>
    <n v="2"/>
    <n v="1.7153113133139402"/>
    <n v="2.4245698254011541"/>
    <n v="0.95"/>
    <n v="21.783895599900159"/>
    <n v="8.8154831250052102E-4"/>
    <n v="3.4297410783153799"/>
    <n v="21.783895599900159"/>
  </r>
  <r>
    <x v="0"/>
    <s v="2025-03-21 16:13:02"/>
    <n v="1"/>
    <x v="7"/>
    <x v="0"/>
    <x v="0"/>
    <n v="58.375950309538602"/>
    <n v="3E+20"/>
    <n v="0"/>
    <n v="113"/>
    <n v="45"/>
    <n v="0"/>
    <s v="Unnamed ProjectQueue for Docking at D.QueueNumber WaitingQueue"/>
    <n v="2"/>
    <n v="39.828547849397651"/>
    <n v="26.229988105923447"/>
    <n v="0.95"/>
    <n v="235.66709298278116"/>
    <n v="21.2811453892567"/>
    <n v="58.375950309538602"/>
    <n v="235.66709298278116"/>
  </r>
  <r>
    <x v="0"/>
    <s v="2025-03-21 16:13:02"/>
    <n v="1"/>
    <x v="8"/>
    <x v="1"/>
    <x v="1"/>
    <n v="62.811004837736597"/>
    <n v="3E+20"/>
    <n v="0"/>
    <n v="116"/>
    <n v="60"/>
    <n v="0"/>
    <s v="Unnamed ProjectTouristWIPEntity"/>
    <n v="2"/>
    <n v="66.993137145311692"/>
    <n v="5.914428229011393"/>
    <n v="0.95"/>
    <n v="53.13902933381992"/>
    <n v="62.811004837736597"/>
    <n v="71.175269452886795"/>
    <n v="53.13902933381992"/>
  </r>
  <r>
    <x v="0"/>
    <s v="2025-03-21 16:13:02"/>
    <n v="2"/>
    <x v="0"/>
    <x v="0"/>
    <x v="0"/>
    <n v="0"/>
    <n v="2E+20"/>
    <n v="0"/>
    <n v="0"/>
    <n v="0"/>
    <n v="0"/>
    <s v="Unnamed ProjectQueue Bicycle A.QueueNumber WaitingQueue"/>
    <n v="2"/>
    <n v="0"/>
    <n v="0"/>
    <n v="0.95"/>
    <n v="0"/>
    <n v="0"/>
    <n v="0"/>
    <n v="0"/>
  </r>
  <r>
    <x v="0"/>
    <s v="2025-03-21 16:13:02"/>
    <n v="2"/>
    <x v="1"/>
    <x v="0"/>
    <x v="0"/>
    <n v="0"/>
    <n v="2E+20"/>
    <n v="0"/>
    <n v="0"/>
    <n v="0"/>
    <n v="0"/>
    <s v="Unnamed ProjectQueue Bicycle B.QueueNumber WaitingQueue"/>
    <n v="2"/>
    <n v="0"/>
    <n v="0"/>
    <n v="0.95"/>
    <n v="0"/>
    <n v="0"/>
    <n v="0"/>
    <n v="0"/>
  </r>
  <r>
    <x v="0"/>
    <s v="2025-03-21 16:13:02"/>
    <n v="2"/>
    <x v="2"/>
    <x v="0"/>
    <x v="0"/>
    <n v="0.26005482051430701"/>
    <n v="2E+20"/>
    <n v="0"/>
    <n v="10"/>
    <n v="0"/>
    <n v="0"/>
    <s v="Unnamed ProjectQueue Bicycle C.QueueNumber WaitingQueue"/>
    <n v="2"/>
    <n v="0.1300274102571535"/>
    <n v="0.18388652706591696"/>
    <n v="0.95"/>
    <n v="1.6521548960419734"/>
    <n v="0"/>
    <n v="0.26005482051430701"/>
    <n v="1.6521548960419734"/>
  </r>
  <r>
    <x v="0"/>
    <s v="2025-03-21 16:13:02"/>
    <n v="2"/>
    <x v="3"/>
    <x v="0"/>
    <x v="0"/>
    <n v="0"/>
    <n v="2E+20"/>
    <n v="0"/>
    <n v="0"/>
    <n v="0"/>
    <n v="0"/>
    <s v="Unnamed ProjectQueue Bicycle D.QueueNumber WaitingQueue"/>
    <n v="2"/>
    <n v="0"/>
    <n v="0"/>
    <n v="0.95"/>
    <n v="0"/>
    <n v="0"/>
    <n v="0"/>
    <n v="0"/>
  </r>
  <r>
    <x v="0"/>
    <s v="2025-03-21 16:13:02"/>
    <n v="2"/>
    <x v="4"/>
    <x v="0"/>
    <x v="0"/>
    <n v="3.8879899216481398E-2"/>
    <n v="2E+20"/>
    <n v="0"/>
    <n v="6"/>
    <n v="0"/>
    <n v="0"/>
    <s v="Unnamed ProjectQueue for Docking at A.QueueNumber WaitingQueue"/>
    <n v="2"/>
    <n v="2.2301402938543179E-2"/>
    <n v="2.3445534280012104E-2"/>
    <n v="0.95"/>
    <n v="0.21064976792539311"/>
    <n v="5.7229066606049603E-3"/>
    <n v="3.8879899216481398E-2"/>
    <n v="0.21064976792539311"/>
  </r>
  <r>
    <x v="0"/>
    <s v="2025-03-21 16:13:02"/>
    <n v="2"/>
    <x v="5"/>
    <x v="0"/>
    <x v="0"/>
    <n v="49.104182268456498"/>
    <n v="3E+20"/>
    <n v="0"/>
    <n v="143"/>
    <n v="125"/>
    <n v="0"/>
    <s v="Unnamed ProjectQueue for Docking at B.QueueNumber WaitingQueue"/>
    <n v="2"/>
    <n v="24.801408209843199"/>
    <n v="34.369312676979952"/>
    <n v="0.95"/>
    <n v="308.79602284573576"/>
    <n v="0.49863415122990101"/>
    <n v="49.104182268456498"/>
    <n v="308.79602284573576"/>
  </r>
  <r>
    <x v="0"/>
    <s v="2025-03-21 16:13:02"/>
    <n v="2"/>
    <x v="6"/>
    <x v="0"/>
    <x v="0"/>
    <n v="8.8154831250052102E-4"/>
    <n v="2E+20"/>
    <n v="0"/>
    <n v="1"/>
    <n v="0"/>
    <n v="0"/>
    <s v="Unnamed ProjectQueue for Docking at C.QueueNumber WaitingQueue"/>
    <n v="2"/>
    <n v="1.7153113133139402"/>
    <n v="2.4245698254011541"/>
    <n v="0.95"/>
    <n v="21.783895599900159"/>
    <n v="8.8154831250052102E-4"/>
    <n v="3.4297410783153799"/>
    <n v="21.783895599900159"/>
  </r>
  <r>
    <x v="0"/>
    <s v="2025-03-21 16:13:02"/>
    <n v="2"/>
    <x v="7"/>
    <x v="0"/>
    <x v="0"/>
    <n v="21.2811453892567"/>
    <n v="3E+20"/>
    <n v="0"/>
    <n v="80"/>
    <n v="0"/>
    <n v="0"/>
    <s v="Unnamed ProjectQueue for Docking at D.QueueNumber WaitingQueue"/>
    <n v="2"/>
    <n v="39.828547849397651"/>
    <n v="26.229988105923447"/>
    <n v="0.95"/>
    <n v="235.66709298278116"/>
    <n v="21.2811453892567"/>
    <n v="58.375950309538602"/>
    <n v="235.66709298278116"/>
  </r>
  <r>
    <x v="0"/>
    <s v="2025-03-21 16:13:02"/>
    <n v="2"/>
    <x v="8"/>
    <x v="1"/>
    <x v="1"/>
    <n v="71.175269452886795"/>
    <n v="3E+20"/>
    <n v="0"/>
    <n v="150"/>
    <n v="125"/>
    <n v="0"/>
    <s v="Unnamed ProjectTouristWIPEntity"/>
    <n v="2"/>
    <n v="66.993137145311692"/>
    <n v="5.914428229011393"/>
    <n v="0.95"/>
    <n v="53.13902933381992"/>
    <n v="62.811004837736597"/>
    <n v="71.175269452886795"/>
    <n v="53.1390293338199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s v="2025-03-21 16:13:02"/>
    <n v="1"/>
    <x v="0"/>
    <x v="0"/>
    <x v="0"/>
    <n v="0"/>
    <n v="0"/>
    <n v="0"/>
    <n v="0"/>
    <n v="1438"/>
    <s v="Unnamed ProjectQueue Bicycle A.QueueWaiting TimeQueue"/>
    <n v="2"/>
    <n v="0"/>
    <n v="0"/>
    <n v="0.95"/>
    <n v="0"/>
    <n v="0"/>
    <n v="0"/>
    <n v="0"/>
    <n v="0"/>
    <n v="1441"/>
    <n v="0"/>
    <n v="2"/>
    <n v="1"/>
  </r>
  <r>
    <x v="0"/>
    <s v="2025-03-21 16:13:02"/>
    <n v="2"/>
    <x v="0"/>
    <x v="0"/>
    <x v="0"/>
    <n v="0"/>
    <n v="0"/>
    <n v="0"/>
    <n v="0"/>
    <n v="1444"/>
    <s v="Unnamed ProjectQueue Bicycle A.QueueWaiting TimeQueue"/>
    <n v="2"/>
    <n v="0"/>
    <n v="0"/>
    <n v="0.95"/>
    <n v="0"/>
    <n v="0"/>
    <n v="0"/>
    <n v="0"/>
    <n v="0"/>
    <n v="1441"/>
    <n v="0"/>
    <n v="2"/>
    <n v="1"/>
  </r>
  <r>
    <x v="0"/>
    <s v="2025-03-21 16:13:02"/>
    <n v="1"/>
    <x v="1"/>
    <x v="0"/>
    <x v="0"/>
    <n v="0"/>
    <n v="0"/>
    <n v="0"/>
    <n v="0"/>
    <n v="1427"/>
    <s v="Unnamed ProjectQueue Bicycle B.QueueWaiting TimeQueue"/>
    <n v="2"/>
    <n v="0"/>
    <n v="0"/>
    <n v="0.95"/>
    <n v="0"/>
    <n v="0"/>
    <n v="0"/>
    <n v="0"/>
    <n v="0"/>
    <n v="1373"/>
    <n v="0"/>
    <n v="2"/>
    <n v="1"/>
  </r>
  <r>
    <x v="0"/>
    <s v="2025-03-21 16:13:02"/>
    <n v="2"/>
    <x v="1"/>
    <x v="0"/>
    <x v="0"/>
    <n v="0"/>
    <n v="0"/>
    <n v="0"/>
    <n v="0"/>
    <n v="1319"/>
    <s v="Unnamed ProjectQueue Bicycle B.QueueWaiting TimeQueue"/>
    <n v="2"/>
    <n v="0"/>
    <n v="0"/>
    <n v="0.95"/>
    <n v="0"/>
    <n v="0"/>
    <n v="0"/>
    <n v="0"/>
    <n v="0"/>
    <n v="1373"/>
    <n v="0"/>
    <n v="2"/>
    <n v="1"/>
  </r>
  <r>
    <x v="0"/>
    <s v="2025-03-21 16:13:02"/>
    <n v="1"/>
    <x v="2"/>
    <x v="0"/>
    <x v="0"/>
    <n v="0"/>
    <n v="0"/>
    <n v="0"/>
    <n v="0"/>
    <n v="1425"/>
    <s v="Unnamed ProjectQueue Bicycle C.QueueWaiting TimeQueue"/>
    <n v="2"/>
    <n v="48.850898378241553"/>
    <n v="69.085603020619033"/>
    <n v="0.95"/>
    <n v="620.70951634000141"/>
    <n v="0"/>
    <n v="97.701796756483105"/>
    <n v="0"/>
    <n v="5510.2332044471996"/>
    <n v="1412"/>
    <n v="620.70951634000141"/>
    <n v="2"/>
    <n v="1"/>
  </r>
  <r>
    <x v="0"/>
    <s v="2025-03-21 16:13:02"/>
    <n v="2"/>
    <x v="2"/>
    <x v="0"/>
    <x v="0"/>
    <n v="97.701796756483105"/>
    <n v="3E+20"/>
    <n v="0"/>
    <n v="5510.2332044471996"/>
    <n v="1399"/>
    <s v="Unnamed ProjectQueue Bicycle C.QueueWaiting TimeQueue"/>
    <n v="2"/>
    <n v="48.850898378241553"/>
    <n v="69.085603020619033"/>
    <n v="0.95"/>
    <n v="620.70951634000141"/>
    <n v="0"/>
    <n v="97.701796756483105"/>
    <n v="0"/>
    <n v="5510.2332044471996"/>
    <n v="1412"/>
    <n v="620.70951634000141"/>
    <n v="2"/>
    <n v="1"/>
  </r>
  <r>
    <x v="0"/>
    <s v="2025-03-21 16:13:02"/>
    <n v="1"/>
    <x v="3"/>
    <x v="0"/>
    <x v="0"/>
    <n v="0"/>
    <n v="0"/>
    <n v="0"/>
    <n v="0"/>
    <n v="1380"/>
    <s v="Unnamed ProjectQueue Bicycle D.QueueWaiting TimeQueue"/>
    <n v="2"/>
    <n v="0"/>
    <n v="0"/>
    <n v="0.95"/>
    <n v="0"/>
    <n v="0"/>
    <n v="0"/>
    <n v="0"/>
    <n v="0"/>
    <n v="1396"/>
    <n v="0"/>
    <n v="2"/>
    <n v="1"/>
  </r>
  <r>
    <x v="0"/>
    <s v="2025-03-21 16:13:02"/>
    <n v="2"/>
    <x v="3"/>
    <x v="0"/>
    <x v="0"/>
    <n v="0"/>
    <n v="0"/>
    <n v="0"/>
    <n v="0"/>
    <n v="1412"/>
    <s v="Unnamed ProjectQueue Bicycle D.QueueWaiting TimeQueue"/>
    <n v="2"/>
    <n v="0"/>
    <n v="0"/>
    <n v="0.95"/>
    <n v="0"/>
    <n v="0"/>
    <n v="0"/>
    <n v="0"/>
    <n v="0"/>
    <n v="1396"/>
    <n v="0"/>
    <n v="2"/>
    <n v="1"/>
  </r>
  <r>
    <x v="0"/>
    <s v="2025-03-21 16:13:02"/>
    <n v="1"/>
    <x v="4"/>
    <x v="0"/>
    <x v="0"/>
    <n v="2.17968097160432"/>
    <n v="3.2497544230442799"/>
    <n v="0"/>
    <n v="812.45372102927695"/>
    <n v="1380"/>
    <s v="Unnamed ProjectQueue for Docking at A.QueueWaiting TimeQueue"/>
    <n v="2"/>
    <n v="8.3261276770849602"/>
    <n v="8.692388291294149"/>
    <n v="0.95"/>
    <n v="78.098010239823438"/>
    <n v="2.17968097160432"/>
    <n v="14.4725743825656"/>
    <n v="0"/>
    <n v="2500.6580529981202"/>
    <n v="1396"/>
    <n v="78.098010239823438"/>
    <n v="2"/>
    <n v="1"/>
  </r>
  <r>
    <x v="0"/>
    <s v="2025-03-21 16:13:02"/>
    <n v="2"/>
    <x v="4"/>
    <x v="0"/>
    <x v="0"/>
    <n v="14.4725743825656"/>
    <n v="3E+20"/>
    <n v="0"/>
    <n v="2500.6580529981202"/>
    <n v="1412"/>
    <s v="Unnamed ProjectQueue for Docking at A.QueueWaiting TimeQueue"/>
    <n v="2"/>
    <n v="8.3261276770849602"/>
    <n v="8.692388291294149"/>
    <n v="0.95"/>
    <n v="78.098010239823438"/>
    <n v="2.17968097160432"/>
    <n v="14.4725743825656"/>
    <n v="0"/>
    <n v="2500.6580529981202"/>
    <n v="1396"/>
    <n v="78.098010239823438"/>
    <n v="2"/>
    <n v="1"/>
  </r>
  <r>
    <x v="0"/>
    <s v="2025-03-21 16:13:02"/>
    <n v="1"/>
    <x v="5"/>
    <x v="0"/>
    <x v="0"/>
    <n v="169.27496340744199"/>
    <n v="3E+20"/>
    <n v="0"/>
    <n v="5374.4000734131396"/>
    <n v="1427"/>
    <s v="Unnamed ProjectQueue for Docking at B.QueueWaiting TimeQueue"/>
    <n v="2"/>
    <n v="8784.5524031599216"/>
    <n v="12183.842198904911"/>
    <n v="0.95"/>
    <n v="109467.47900844192"/>
    <n v="169.27496340744199"/>
    <n v="17399.829842912401"/>
    <n v="0"/>
    <n v="55639.656953434998"/>
    <n v="1373"/>
    <n v="109467.47900844192"/>
    <n v="2"/>
    <n v="1"/>
  </r>
  <r>
    <x v="0"/>
    <s v="2025-03-21 16:13:02"/>
    <n v="2"/>
    <x v="5"/>
    <x v="0"/>
    <x v="0"/>
    <n v="17399.829842912401"/>
    <n v="3E+20"/>
    <n v="0"/>
    <n v="55639.656953434998"/>
    <n v="1319"/>
    <s v="Unnamed ProjectQueue for Docking at B.QueueWaiting TimeQueue"/>
    <n v="2"/>
    <n v="8784.5524031599216"/>
    <n v="12183.842198904911"/>
    <n v="0.95"/>
    <n v="109467.47900844192"/>
    <n v="169.27496340744199"/>
    <n v="17399.829842912401"/>
    <n v="0"/>
    <n v="55639.656953434998"/>
    <n v="1373"/>
    <n v="109467.47900844192"/>
    <n v="2"/>
    <n v="1"/>
  </r>
  <r>
    <x v="0"/>
    <s v="2025-03-21 16:13:02"/>
    <n v="1"/>
    <x v="6"/>
    <x v="0"/>
    <x v="0"/>
    <n v="1263.21916019682"/>
    <n v="3E+20"/>
    <n v="0"/>
    <n v="13387.6917381605"/>
    <n v="1425"/>
    <s v="Unnamed ProjectQueue for Docking at C.QueueWaiting TimeQueue"/>
    <n v="2"/>
    <n v="631.78522141495671"/>
    <n v="892.98243996797373"/>
    <n v="0.95"/>
    <n v="8023.1289035315531"/>
    <n v="0.35128263309346103"/>
    <n v="1263.21916019682"/>
    <n v="0"/>
    <n v="13387.6917381605"/>
    <n v="1372"/>
    <n v="8023.1289035315531"/>
    <n v="2"/>
    <n v="1"/>
  </r>
  <r>
    <x v="0"/>
    <s v="2025-03-21 16:13:02"/>
    <n v="2"/>
    <x v="6"/>
    <x v="0"/>
    <x v="0"/>
    <n v="0.35128263309346103"/>
    <n v="0.74651288206954003"/>
    <n v="0"/>
    <n v="443.10981074952002"/>
    <n v="1319"/>
    <s v="Unnamed ProjectQueue for Docking at C.QueueWaiting TimeQueue"/>
    <n v="2"/>
    <n v="631.78522141495671"/>
    <n v="892.98243996797373"/>
    <n v="0.95"/>
    <n v="8023.1289035315531"/>
    <n v="0.35128263309346103"/>
    <n v="1263.21916019682"/>
    <n v="0"/>
    <n v="13387.6917381605"/>
    <n v="1372"/>
    <n v="8023.1289035315531"/>
    <n v="2"/>
    <n v="1"/>
  </r>
  <r>
    <x v="0"/>
    <s v="2025-03-21 16:13:02"/>
    <n v="1"/>
    <x v="7"/>
    <x v="0"/>
    <x v="0"/>
    <n v="21939.258153535098"/>
    <n v="3E+20"/>
    <n v="0"/>
    <n v="40997.457125572699"/>
    <n v="1380"/>
    <s v="Unnamed ProjectQueue for Docking at D.QueueWaiting TimeQueue"/>
    <n v="2"/>
    <n v="14967.259533019635"/>
    <n v="9859.8950059794788"/>
    <n v="0.95"/>
    <n v="88587.641892597021"/>
    <n v="7995.2609125041699"/>
    <n v="21939.258153535098"/>
    <n v="0"/>
    <n v="40997.457125572699"/>
    <n v="1389.5"/>
    <n v="88587.641892597021"/>
    <n v="2"/>
    <n v="1"/>
  </r>
  <r>
    <x v="0"/>
    <s v="2025-03-21 16:13:02"/>
    <n v="2"/>
    <x v="7"/>
    <x v="0"/>
    <x v="0"/>
    <n v="7995.2609125041699"/>
    <n v="3E+20"/>
    <n v="0"/>
    <n v="29575.610710470599"/>
    <n v="1399"/>
    <s v="Unnamed ProjectQueue for Docking at D.QueueWaiting TimeQueue"/>
    <n v="2"/>
    <n v="14967.259533019635"/>
    <n v="9859.8950059794788"/>
    <n v="0.95"/>
    <n v="88587.641892597021"/>
    <n v="7995.2609125041699"/>
    <n v="21939.258153535098"/>
    <n v="0"/>
    <n v="40997.457125572699"/>
    <n v="1389.5"/>
    <n v="88587.641892597021"/>
    <n v="2"/>
    <n v="1"/>
  </r>
  <r>
    <x v="0"/>
    <s v="2025-03-21 16:13:02"/>
    <n v="1"/>
    <x v="8"/>
    <x v="1"/>
    <x v="1"/>
    <n v="0"/>
    <n v="0"/>
    <n v="0"/>
    <n v="0"/>
    <n v="1855"/>
    <s v="Unnamed ProjectTouristNVA TimeEntity"/>
    <n v="2"/>
    <n v="0"/>
    <n v="0"/>
    <n v="0.95"/>
    <n v="0"/>
    <n v="0"/>
    <n v="0"/>
    <n v="0"/>
    <n v="0"/>
    <n v="1822"/>
    <n v="0"/>
    <n v="2"/>
    <n v="1"/>
  </r>
  <r>
    <x v="0"/>
    <s v="2025-03-21 16:13:02"/>
    <n v="1"/>
    <x v="8"/>
    <x v="2"/>
    <x v="1"/>
    <n v="119.383700408839"/>
    <n v="1.3755448667641299"/>
    <n v="60.837583458196598"/>
    <n v="184.70404099719599"/>
    <n v="1855"/>
    <s v="Unnamed ProjectTouristOther TimeEntity"/>
    <n v="2"/>
    <n v="119.29474033045651"/>
    <n v="0.12580854935830349"/>
    <n v="0.95"/>
    <n v="1.1303449692741792"/>
    <n v="119.20578025207401"/>
    <n v="119.383700408839"/>
    <n v="60.837583458196598"/>
    <n v="184.70404099719599"/>
    <n v="1822"/>
    <n v="1.1303449692741792"/>
    <n v="2"/>
    <n v="1"/>
  </r>
  <r>
    <x v="0"/>
    <s v="2025-03-21 16:13:02"/>
    <n v="1"/>
    <x v="8"/>
    <x v="3"/>
    <x v="1"/>
    <n v="17444.3308997391"/>
    <n v="3E+20"/>
    <n v="78.735651901981299"/>
    <n v="41347.608125289298"/>
    <n v="1855"/>
    <s v="Unnamed ProjectTouristTotal TimeEntity"/>
    <n v="2"/>
    <n v="18366.0661731662"/>
    <n v="1303.530524598279"/>
    <n v="0.95"/>
    <n v="11711.757096718706"/>
    <n v="17444.3308997391"/>
    <n v="19287.801446593301"/>
    <n v="76.887539743562201"/>
    <n v="58309.490476908599"/>
    <n v="1822"/>
    <n v="11711.757096718706"/>
    <n v="2"/>
    <n v="1"/>
  </r>
  <r>
    <x v="0"/>
    <s v="2025-03-21 16:13:02"/>
    <n v="1"/>
    <x v="8"/>
    <x v="4"/>
    <x v="1"/>
    <n v="19.9470846893621"/>
    <n v="0.34781216859358099"/>
    <n v="6.1603978132479797"/>
    <n v="49.039712226658601"/>
    <n v="1855"/>
    <s v="Unnamed ProjectTouristTransfer TimeEntity"/>
    <n v="2"/>
    <n v="19.895035045002352"/>
    <n v="7.3609312970254429E-2"/>
    <n v="0.95"/>
    <n v="0.66135343768006127"/>
    <n v="19.842985400642601"/>
    <n v="19.9470846893621"/>
    <n v="6.1603978132479797"/>
    <n v="49.039712226658601"/>
    <n v="1822"/>
    <n v="0.66135343768006127"/>
    <n v="2"/>
    <n v="1"/>
  </r>
  <r>
    <x v="0"/>
    <s v="2025-03-21 16:13:02"/>
    <n v="1"/>
    <x v="8"/>
    <x v="5"/>
    <x v="1"/>
    <n v="0"/>
    <n v="0"/>
    <n v="0"/>
    <n v="0"/>
    <n v="1855"/>
    <s v="Unnamed ProjectTouristVA TimeEntity"/>
    <n v="2"/>
    <n v="0"/>
    <n v="0"/>
    <n v="0.95"/>
    <n v="0"/>
    <n v="0"/>
    <n v="0"/>
    <n v="0"/>
    <n v="0"/>
    <n v="1822"/>
    <n v="0"/>
    <n v="2"/>
    <n v="1"/>
  </r>
  <r>
    <x v="0"/>
    <s v="2025-03-21 16:13:02"/>
    <n v="1"/>
    <x v="8"/>
    <x v="6"/>
    <x v="1"/>
    <n v="17305.000114640901"/>
    <n v="3E+20"/>
    <n v="0"/>
    <n v="41200.334391045799"/>
    <n v="1855"/>
    <s v="Unnamed ProjectTouristWait TimeEntity"/>
    <n v="2"/>
    <n v="18226.876397790751"/>
    <n v="1303.7299424606172"/>
    <n v="0.95"/>
    <n v="11713.548795125744"/>
    <n v="17305.000114640901"/>
    <n v="19148.752680940601"/>
    <n v="0"/>
    <n v="58180.081219518303"/>
    <n v="1822"/>
    <n v="11713.548795125744"/>
    <n v="2"/>
    <n v="1"/>
  </r>
  <r>
    <x v="0"/>
    <s v="2025-03-21 16:13:02"/>
    <n v="2"/>
    <x v="8"/>
    <x v="1"/>
    <x v="1"/>
    <n v="0"/>
    <n v="0"/>
    <n v="0"/>
    <n v="0"/>
    <n v="1789"/>
    <s v="Unnamed ProjectTouristNVA TimeEntity"/>
    <n v="2"/>
    <n v="0"/>
    <n v="0"/>
    <n v="0.95"/>
    <n v="0"/>
    <n v="0"/>
    <n v="0"/>
    <n v="0"/>
    <n v="0"/>
    <n v="1822"/>
    <n v="0"/>
    <n v="2"/>
    <n v="1"/>
  </r>
  <r>
    <x v="0"/>
    <s v="2025-03-21 16:13:02"/>
    <n v="2"/>
    <x v="8"/>
    <x v="2"/>
    <x v="1"/>
    <n v="119.20578025207401"/>
    <n v="1.3150690308644"/>
    <n v="64.273010962858706"/>
    <n v="177.046595770225"/>
    <n v="1789"/>
    <s v="Unnamed ProjectTouristOther TimeEntity"/>
    <n v="2"/>
    <n v="119.29474033045651"/>
    <n v="0.12580854935830349"/>
    <n v="0.95"/>
    <n v="1.1303449692741792"/>
    <n v="119.20578025207401"/>
    <n v="119.383700408839"/>
    <n v="60.837583458196598"/>
    <n v="184.70404099719599"/>
    <n v="1822"/>
    <n v="1.1303449692741792"/>
    <n v="2"/>
    <n v="1"/>
  </r>
  <r>
    <x v="0"/>
    <s v="2025-03-21 16:13:02"/>
    <n v="2"/>
    <x v="8"/>
    <x v="3"/>
    <x v="1"/>
    <n v="19287.801446593301"/>
    <n v="3E+20"/>
    <n v="76.887539743562201"/>
    <n v="58309.490476908599"/>
    <n v="1789"/>
    <s v="Unnamed ProjectTouristTotal TimeEntity"/>
    <n v="2"/>
    <n v="18366.0661731662"/>
    <n v="1303.530524598279"/>
    <n v="0.95"/>
    <n v="11711.757096718706"/>
    <n v="17444.3308997391"/>
    <n v="19287.801446593301"/>
    <n v="76.887539743562201"/>
    <n v="58309.490476908599"/>
    <n v="1822"/>
    <n v="11711.757096718706"/>
    <n v="2"/>
    <n v="1"/>
  </r>
  <r>
    <x v="0"/>
    <s v="2025-03-21 16:13:02"/>
    <n v="2"/>
    <x v="8"/>
    <x v="4"/>
    <x v="1"/>
    <n v="19.842985400642601"/>
    <n v="0.31685964391195598"/>
    <n v="6.2307523846684498"/>
    <n v="48.845901351771303"/>
    <n v="1789"/>
    <s v="Unnamed ProjectTouristTransfer TimeEntity"/>
    <n v="2"/>
    <n v="19.895035045002352"/>
    <n v="7.3609312970254429E-2"/>
    <n v="0.95"/>
    <n v="0.66135343768006127"/>
    <n v="19.842985400642601"/>
    <n v="19.9470846893621"/>
    <n v="6.1603978132479797"/>
    <n v="49.039712226658601"/>
    <n v="1822"/>
    <n v="0.66135343768006127"/>
    <n v="2"/>
    <n v="1"/>
  </r>
  <r>
    <x v="0"/>
    <s v="2025-03-21 16:13:02"/>
    <n v="2"/>
    <x v="8"/>
    <x v="5"/>
    <x v="1"/>
    <n v="0"/>
    <n v="0"/>
    <n v="0"/>
    <n v="0"/>
    <n v="1789"/>
    <s v="Unnamed ProjectTouristVA TimeEntity"/>
    <n v="2"/>
    <n v="0"/>
    <n v="0"/>
    <n v="0.95"/>
    <n v="0"/>
    <n v="0"/>
    <n v="0"/>
    <n v="0"/>
    <n v="0"/>
    <n v="1822"/>
    <n v="0"/>
    <n v="2"/>
    <n v="1"/>
  </r>
  <r>
    <x v="0"/>
    <s v="2025-03-21 16:13:02"/>
    <n v="2"/>
    <x v="8"/>
    <x v="6"/>
    <x v="1"/>
    <n v="19148.752680940601"/>
    <n v="3E+20"/>
    <n v="0"/>
    <n v="58180.081219518303"/>
    <n v="1789"/>
    <s v="Unnamed ProjectTouristWait TimeEntity"/>
    <n v="2"/>
    <n v="18226.876397790751"/>
    <n v="1303.7299424606172"/>
    <n v="0.95"/>
    <n v="11713.548795125744"/>
    <n v="17305.000114640901"/>
    <n v="19148.752680940601"/>
    <n v="0"/>
    <n v="58180.081219518303"/>
    <n v="1822"/>
    <n v="11713.548795125744"/>
    <n v="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2025-03-21 16:13:02"/>
    <n v="1"/>
    <x v="0"/>
    <x v="0"/>
    <x v="0"/>
    <n v="1855"/>
    <n v="0"/>
    <s v="Unnamed ProjectSystem.NumberOutNumber OutSystem"/>
    <n v="2"/>
    <n v="1822"/>
    <n v="46.669047558312137"/>
    <n v="0.95"/>
    <n v="419.30475629376491"/>
    <n v="1789"/>
    <n v="1855"/>
  </r>
  <r>
    <x v="0"/>
    <s v="2025-03-21 16:13:02"/>
    <n v="1"/>
    <x v="1"/>
    <x v="1"/>
    <x v="1"/>
    <n v="1915"/>
    <n v="0"/>
    <s v="Unnamed ProjectTourist.NumberInNumber InEntity"/>
    <n v="2"/>
    <n v="1914.5"/>
    <n v="0.70710678118654757"/>
    <n v="0.95"/>
    <n v="6.3531023680873471"/>
    <n v="1914"/>
    <n v="1915"/>
  </r>
  <r>
    <x v="0"/>
    <s v="2025-03-21 16:13:02"/>
    <n v="1"/>
    <x v="2"/>
    <x v="0"/>
    <x v="1"/>
    <n v="1855"/>
    <n v="0"/>
    <s v="Unnamed ProjectTourist.NumberOutNumber OutEntity"/>
    <n v="2"/>
    <n v="1822"/>
    <n v="46.669047558312137"/>
    <n v="0.95"/>
    <n v="419.30475629376491"/>
    <n v="1789"/>
    <n v="1855"/>
  </r>
  <r>
    <x v="0"/>
    <s v="2025-03-21 16:13:02"/>
    <n v="2"/>
    <x v="0"/>
    <x v="0"/>
    <x v="0"/>
    <n v="1789"/>
    <n v="0"/>
    <s v="Unnamed ProjectSystem.NumberOutNumber OutSystem"/>
    <n v="2"/>
    <n v="1822"/>
    <n v="46.669047558312137"/>
    <n v="0.95"/>
    <n v="419.30475629376491"/>
    <n v="1789"/>
    <n v="1855"/>
  </r>
  <r>
    <x v="0"/>
    <s v="2025-03-21 16:13:02"/>
    <n v="2"/>
    <x v="1"/>
    <x v="1"/>
    <x v="1"/>
    <n v="1914"/>
    <n v="0"/>
    <s v="Unnamed ProjectTourist.NumberInNumber InEntity"/>
    <n v="2"/>
    <n v="1914.5"/>
    <n v="0.70710678118654757"/>
    <n v="0.95"/>
    <n v="6.3531023680873471"/>
    <n v="1914"/>
    <n v="1915"/>
  </r>
  <r>
    <x v="0"/>
    <s v="2025-03-21 16:13:02"/>
    <n v="2"/>
    <x v="2"/>
    <x v="0"/>
    <x v="1"/>
    <n v="1789"/>
    <n v="0"/>
    <s v="Unnamed ProjectTourist.NumberOutNumber OutEntity"/>
    <n v="2"/>
    <n v="1822"/>
    <n v="46.669047558312137"/>
    <n v="0.95"/>
    <n v="419.30475629376491"/>
    <n v="1789"/>
    <n v="18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m="1" x="6"/>
        <item m="1" x="4"/>
        <item m="1" x="3"/>
        <item x="0"/>
        <item x="1"/>
        <item m="1" x="5"/>
        <item m="1" x="2"/>
      </items>
    </pivotField>
    <pivotField axis="axisRow" compact="0" outline="0" showAll="0" defaultSubtotal="0">
      <items count="5">
        <item x="1"/>
        <item x="0"/>
        <item m="1" x="3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5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0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1"/>
        <item x="2"/>
      </items>
    </pivotField>
    <pivotField axis="axisRow" compact="0" outline="0" showAll="0" defaultSubtotal="0">
      <items count="7">
        <item x="1"/>
        <item x="0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1"/>
        <item m="1" x="3"/>
        <item x="0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9" tableType="queryTable" totalsRowShown="0">
  <autoFilter ref="A1:Y29" xr:uid="{C3D003CA-1AFF-426C-A03D-D3AF5760DF1A}"/>
  <sortState xmlns:xlrd2="http://schemas.microsoft.com/office/spreadsheetml/2017/richdata2" ref="A2:Y29">
    <sortCondition ref="D1:D29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3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2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9" tableType="queryTable" totalsRowShown="0">
  <autoFilter ref="A1:U19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1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0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19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8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7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6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5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4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3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7" tableType="queryTable" totalsRowShown="0">
  <autoFilter ref="A1:P7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8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7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2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1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6" x14ac:dyDescent="0.4"/>
  <cols>
    <col min="1" max="1" width="15.23046875" bestFit="1" customWidth="1"/>
    <col min="2" max="2" width="80.61328125" bestFit="1" customWidth="1"/>
    <col min="3" max="3" width="17.765625" bestFit="1" customWidth="1"/>
    <col min="4" max="4" width="11.4609375" bestFit="1" customWidth="1"/>
    <col min="5" max="5" width="22.07421875" bestFit="1" customWidth="1"/>
    <col min="6" max="6" width="23.53515625" bestFit="1" customWidth="1"/>
    <col min="7" max="7" width="18.84375" bestFit="1" customWidth="1"/>
    <col min="8" max="10" width="19.4609375" bestFit="1" customWidth="1"/>
    <col min="11" max="11" width="19.4609375" customWidth="1"/>
  </cols>
  <sheetData>
    <row r="1" spans="1:7" x14ac:dyDescent="0.4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">
      <c r="A2" t="s">
        <v>67</v>
      </c>
      <c r="B2" t="s">
        <v>68</v>
      </c>
      <c r="C2" t="s">
        <v>69</v>
      </c>
      <c r="D2">
        <v>2</v>
      </c>
      <c r="E2">
        <v>2</v>
      </c>
      <c r="F2">
        <v>525600</v>
      </c>
      <c r="G2">
        <f>0.95</f>
        <v>0.95</v>
      </c>
    </row>
  </sheetData>
  <phoneticPr fontId="2" type="noConversion"/>
  <conditionalFormatting sqref="D2">
    <cfRule type="expression" dxfId="65" priority="1">
      <formula>D2=3</formula>
    </cfRule>
    <cfRule type="expression" dxfId="64" priority="2">
      <formula>D2=2</formula>
    </cfRule>
    <cfRule type="expression" dxfId="63" priority="3">
      <formula>D2=1</formula>
    </cfRule>
    <cfRule type="expression" dxfId="6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workbookViewId="0"/>
  </sheetViews>
  <sheetFormatPr defaultRowHeight="14.6" x14ac:dyDescent="0.4"/>
  <cols>
    <col min="1" max="1" width="33.23046875" customWidth="1"/>
    <col min="2" max="2" width="28.69140625" bestFit="1" customWidth="1"/>
    <col min="3" max="3" width="12.53515625" bestFit="1" customWidth="1"/>
    <col min="4" max="4" width="8.69140625" bestFit="1" customWidth="1"/>
    <col min="5" max="5" width="28.15234375" bestFit="1" customWidth="1"/>
    <col min="6" max="6" width="19.23046875" bestFit="1" customWidth="1"/>
    <col min="7" max="7" width="11.84375" bestFit="1" customWidth="1"/>
    <col min="8" max="8" width="26.15234375" bestFit="1" customWidth="1"/>
    <col min="9" max="9" width="26.23046875" bestFit="1" customWidth="1"/>
    <col min="10" max="10" width="26.61328125" bestFit="1" customWidth="1"/>
    <col min="11" max="11" width="15.765625" bestFit="1" customWidth="1"/>
    <col min="12" max="12" width="16.15234375" bestFit="1" customWidth="1"/>
    <col min="13" max="13" width="28.61328125" bestFit="1" customWidth="1"/>
    <col min="14" max="14" width="27.69140625" bestFit="1" customWidth="1"/>
    <col min="15" max="15" width="18.69140625" bestFit="1" customWidth="1"/>
    <col min="16" max="16" width="12" bestFit="1" customWidth="1"/>
    <col min="17" max="17" width="12.53515625" bestFit="1" customWidth="1"/>
    <col min="18" max="18" width="8.69140625" bestFit="1" customWidth="1"/>
    <col min="19" max="19" width="28.15234375" bestFit="1" customWidth="1"/>
    <col min="20" max="20" width="11.84375" bestFit="1" customWidth="1"/>
    <col min="21" max="21" width="26.15234375" bestFit="1" customWidth="1"/>
    <col min="22" max="22" width="21.3828125" bestFit="1" customWidth="1"/>
    <col min="23" max="23" width="21.765625" bestFit="1" customWidth="1"/>
    <col min="24" max="24" width="15.765625" bestFit="1" customWidth="1"/>
    <col min="25" max="25" width="16.15234375" bestFit="1" customWidth="1"/>
    <col min="26" max="26" width="16.3046875" bestFit="1" customWidth="1"/>
    <col min="27" max="27" width="20.69140625" bestFit="1" customWidth="1"/>
    <col min="28" max="28" width="24.69140625" bestFit="1" customWidth="1"/>
    <col min="29" max="29" width="12" bestFit="1" customWidth="1"/>
    <col min="30" max="30" width="8.69140625" bestFit="1" customWidth="1"/>
    <col min="31" max="31" width="24.23046875" bestFit="1" customWidth="1"/>
    <col min="32" max="32" width="9.921875" bestFit="1" customWidth="1"/>
    <col min="33" max="33" width="28.69140625" bestFit="1" customWidth="1"/>
    <col min="34" max="34" width="19.23046875" bestFit="1" customWidth="1"/>
    <col min="35" max="35" width="19.61328125" bestFit="1" customWidth="1"/>
    <col min="36" max="36" width="19.84375" bestFit="1" customWidth="1"/>
    <col min="37" max="37" width="32.3046875" bestFit="1" customWidth="1"/>
    <col min="38" max="38" width="24.69140625" bestFit="1" customWidth="1"/>
    <col min="39" max="39" width="12" bestFit="1" customWidth="1"/>
    <col min="40" max="40" width="8.69140625" bestFit="1" customWidth="1"/>
    <col min="41" max="41" width="24.23046875" bestFit="1" customWidth="1"/>
    <col min="42" max="42" width="11.84375" bestFit="1" customWidth="1"/>
    <col min="43" max="43" width="28.69140625" bestFit="1" customWidth="1"/>
    <col min="44" max="44" width="19.23046875" bestFit="1" customWidth="1"/>
    <col min="45" max="45" width="19.61328125" bestFit="1" customWidth="1"/>
    <col min="46" max="46" width="19.84375" bestFit="1" customWidth="1"/>
    <col min="47" max="47" width="14.84375" bestFit="1" customWidth="1"/>
    <col min="48" max="48" width="20.69140625" bestFit="1" customWidth="1"/>
    <col min="49" max="49" width="26.3046875" bestFit="1" customWidth="1"/>
    <col min="50" max="50" width="8.69140625" bestFit="1" customWidth="1"/>
    <col min="51" max="51" width="25.69140625" bestFit="1" customWidth="1"/>
    <col min="52" max="52" width="26.53515625" bestFit="1" customWidth="1"/>
    <col min="53" max="53" width="27" bestFit="1" customWidth="1"/>
    <col min="54" max="54" width="24.84375" bestFit="1" customWidth="1"/>
    <col min="55" max="55" width="29.23046875" bestFit="1" customWidth="1"/>
    <col min="56" max="56" width="31.84375" bestFit="1" customWidth="1"/>
    <col min="57" max="57" width="21.765625" bestFit="1" customWidth="1"/>
  </cols>
  <sheetData>
    <row r="1" spans="1:52" ht="18.45" x14ac:dyDescent="0.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1441</v>
      </c>
      <c r="O3" t="s">
        <v>67</v>
      </c>
      <c r="P3" t="s">
        <v>70</v>
      </c>
      <c r="Q3" t="s">
        <v>88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90</v>
      </c>
      <c r="AM3" t="s">
        <v>91</v>
      </c>
      <c r="AN3" t="s">
        <v>92</v>
      </c>
      <c r="AO3" s="5">
        <v>1822</v>
      </c>
      <c r="AP3" s="5">
        <v>419.30475629376491</v>
      </c>
      <c r="AQ3" s="5">
        <v>46.669047558312137</v>
      </c>
      <c r="AR3" s="5">
        <v>1789</v>
      </c>
      <c r="AS3" s="5">
        <v>1855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4">
      <c r="B4" t="s">
        <v>73</v>
      </c>
      <c r="C4" t="s">
        <v>71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1373</v>
      </c>
      <c r="P4" t="s">
        <v>73</v>
      </c>
      <c r="Q4" t="s">
        <v>88</v>
      </c>
      <c r="R4" t="s">
        <v>72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93</v>
      </c>
      <c r="AM4" t="s">
        <v>94</v>
      </c>
      <c r="AN4" t="s">
        <v>82</v>
      </c>
      <c r="AO4" s="5">
        <v>1914.5</v>
      </c>
      <c r="AP4" s="5">
        <v>6.3531023680873471</v>
      </c>
      <c r="AQ4" s="5">
        <v>0.70710678118654757</v>
      </c>
      <c r="AR4" s="5">
        <v>1914</v>
      </c>
      <c r="AS4" s="5">
        <v>1915</v>
      </c>
    </row>
    <row r="5" spans="1:52" x14ac:dyDescent="0.4">
      <c r="B5" t="s">
        <v>74</v>
      </c>
      <c r="C5" t="s">
        <v>71</v>
      </c>
      <c r="D5" t="s">
        <v>72</v>
      </c>
      <c r="E5" s="5">
        <v>48.850898378241553</v>
      </c>
      <c r="F5" s="5">
        <v>1</v>
      </c>
      <c r="G5" s="5">
        <v>620.70951634000141</v>
      </c>
      <c r="H5" s="5">
        <v>69.085603020619033</v>
      </c>
      <c r="I5" s="5">
        <v>0</v>
      </c>
      <c r="J5" s="5">
        <v>97.701796756483105</v>
      </c>
      <c r="K5" s="5">
        <v>0</v>
      </c>
      <c r="L5" s="5">
        <v>5510.2332044471996</v>
      </c>
      <c r="M5" s="5">
        <v>1412</v>
      </c>
      <c r="P5" t="s">
        <v>74</v>
      </c>
      <c r="Q5" t="s">
        <v>88</v>
      </c>
      <c r="R5" t="s">
        <v>72</v>
      </c>
      <c r="S5" s="5">
        <v>0.1300274102571535</v>
      </c>
      <c r="T5" s="5">
        <v>1.6521548960419734</v>
      </c>
      <c r="U5" s="5">
        <v>0.18388652706591696</v>
      </c>
      <c r="V5" s="5">
        <v>0</v>
      </c>
      <c r="W5" s="5">
        <v>0.26005482051430701</v>
      </c>
      <c r="X5" s="5">
        <v>0</v>
      </c>
      <c r="Y5" s="5">
        <v>10</v>
      </c>
      <c r="AL5" t="s">
        <v>95</v>
      </c>
      <c r="AM5" t="s">
        <v>91</v>
      </c>
      <c r="AN5" t="s">
        <v>82</v>
      </c>
      <c r="AO5" s="5">
        <v>1822</v>
      </c>
      <c r="AP5" s="5">
        <v>419.30475629376491</v>
      </c>
      <c r="AQ5" s="5">
        <v>46.669047558312137</v>
      </c>
      <c r="AR5" s="5">
        <v>1789</v>
      </c>
      <c r="AS5" s="5">
        <v>1855</v>
      </c>
    </row>
    <row r="6" spans="1:52" x14ac:dyDescent="0.4">
      <c r="B6" t="s">
        <v>75</v>
      </c>
      <c r="C6" t="s">
        <v>71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1396</v>
      </c>
      <c r="P6" t="s">
        <v>75</v>
      </c>
      <c r="Q6" t="s">
        <v>88</v>
      </c>
      <c r="R6" t="s">
        <v>72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</row>
    <row r="7" spans="1:52" x14ac:dyDescent="0.4">
      <c r="B7" t="s">
        <v>76</v>
      </c>
      <c r="C7" t="s">
        <v>71</v>
      </c>
      <c r="D7" t="s">
        <v>72</v>
      </c>
      <c r="E7" s="5">
        <v>8.3261276770849602</v>
      </c>
      <c r="F7" s="5">
        <v>1</v>
      </c>
      <c r="G7" s="5">
        <v>78.098010239823438</v>
      </c>
      <c r="H7" s="5">
        <v>8.692388291294149</v>
      </c>
      <c r="I7" s="5">
        <v>2.17968097160432</v>
      </c>
      <c r="J7" s="5">
        <v>14.4725743825656</v>
      </c>
      <c r="K7" s="5">
        <v>0</v>
      </c>
      <c r="L7" s="5">
        <v>2500.6580529981202</v>
      </c>
      <c r="M7" s="5">
        <v>1396</v>
      </c>
      <c r="P7" t="s">
        <v>76</v>
      </c>
      <c r="Q7" t="s">
        <v>88</v>
      </c>
      <c r="R7" t="s">
        <v>72</v>
      </c>
      <c r="S7" s="5">
        <v>2.2301402938543179E-2</v>
      </c>
      <c r="T7" s="5">
        <v>0.21064976792539311</v>
      </c>
      <c r="U7" s="5">
        <v>2.3445534280012104E-2</v>
      </c>
      <c r="V7" s="5">
        <v>5.7229066606049603E-3</v>
      </c>
      <c r="W7" s="5">
        <v>3.8879899216481398E-2</v>
      </c>
      <c r="X7" s="5">
        <v>0</v>
      </c>
      <c r="Y7" s="5">
        <v>6</v>
      </c>
    </row>
    <row r="8" spans="1:52" x14ac:dyDescent="0.4">
      <c r="B8" t="s">
        <v>77</v>
      </c>
      <c r="C8" t="s">
        <v>71</v>
      </c>
      <c r="D8" t="s">
        <v>72</v>
      </c>
      <c r="E8" s="5">
        <v>8784.5524031599216</v>
      </c>
      <c r="F8" s="5">
        <v>1</v>
      </c>
      <c r="G8" s="5">
        <v>109467.47900844192</v>
      </c>
      <c r="H8" s="5">
        <v>12183.842198904911</v>
      </c>
      <c r="I8" s="5">
        <v>169.27496340744199</v>
      </c>
      <c r="J8" s="5">
        <v>17399.829842912401</v>
      </c>
      <c r="K8" s="5">
        <v>0</v>
      </c>
      <c r="L8" s="5">
        <v>55639.656953434998</v>
      </c>
      <c r="M8" s="5">
        <v>1373</v>
      </c>
      <c r="P8" t="s">
        <v>77</v>
      </c>
      <c r="Q8" t="s">
        <v>88</v>
      </c>
      <c r="R8" t="s">
        <v>72</v>
      </c>
      <c r="S8" s="5">
        <v>24.801408209843199</v>
      </c>
      <c r="T8" s="5">
        <v>308.79602284573576</v>
      </c>
      <c r="U8" s="5">
        <v>34.369312676979952</v>
      </c>
      <c r="V8" s="5">
        <v>0.49863415122990101</v>
      </c>
      <c r="W8" s="5">
        <v>49.104182268456498</v>
      </c>
      <c r="X8" s="5">
        <v>0</v>
      </c>
      <c r="Y8" s="5">
        <v>143</v>
      </c>
    </row>
    <row r="9" spans="1:52" x14ac:dyDescent="0.4">
      <c r="B9" t="s">
        <v>78</v>
      </c>
      <c r="C9" t="s">
        <v>71</v>
      </c>
      <c r="D9" t="s">
        <v>72</v>
      </c>
      <c r="E9" s="5">
        <v>631.78522141495671</v>
      </c>
      <c r="F9" s="5">
        <v>1</v>
      </c>
      <c r="G9" s="5">
        <v>8023.1289035315531</v>
      </c>
      <c r="H9" s="5">
        <v>892.98243996797373</v>
      </c>
      <c r="I9" s="5">
        <v>0.35128263309346103</v>
      </c>
      <c r="J9" s="5">
        <v>1263.21916019682</v>
      </c>
      <c r="K9" s="5">
        <v>0</v>
      </c>
      <c r="L9" s="5">
        <v>13387.6917381605</v>
      </c>
      <c r="M9" s="5">
        <v>1372</v>
      </c>
      <c r="P9" t="s">
        <v>78</v>
      </c>
      <c r="Q9" t="s">
        <v>88</v>
      </c>
      <c r="R9" t="s">
        <v>72</v>
      </c>
      <c r="S9" s="5">
        <v>1.7153113133139402</v>
      </c>
      <c r="T9" s="5">
        <v>21.783895599900159</v>
      </c>
      <c r="U9" s="5">
        <v>2.4245698254011541</v>
      </c>
      <c r="V9" s="5">
        <v>8.8154831250052102E-4</v>
      </c>
      <c r="W9" s="5">
        <v>3.4297410783153799</v>
      </c>
      <c r="X9" s="5">
        <v>0</v>
      </c>
      <c r="Y9" s="5">
        <v>31</v>
      </c>
    </row>
    <row r="10" spans="1:52" x14ac:dyDescent="0.4">
      <c r="B10" t="s">
        <v>79</v>
      </c>
      <c r="C10" t="s">
        <v>71</v>
      </c>
      <c r="D10" t="s">
        <v>72</v>
      </c>
      <c r="E10" s="5">
        <v>14967.259533019635</v>
      </c>
      <c r="F10" s="5">
        <v>1</v>
      </c>
      <c r="G10" s="5">
        <v>88587.641892597021</v>
      </c>
      <c r="H10" s="5">
        <v>9859.8950059794788</v>
      </c>
      <c r="I10" s="5">
        <v>7995.2609125041699</v>
      </c>
      <c r="J10" s="5">
        <v>21939.258153535098</v>
      </c>
      <c r="K10" s="5">
        <v>0</v>
      </c>
      <c r="L10" s="5">
        <v>40997.457125572699</v>
      </c>
      <c r="M10" s="5">
        <v>1389.5</v>
      </c>
      <c r="P10" t="s">
        <v>79</v>
      </c>
      <c r="Q10" t="s">
        <v>88</v>
      </c>
      <c r="R10" t="s">
        <v>72</v>
      </c>
      <c r="S10" s="5">
        <v>39.828547849397651</v>
      </c>
      <c r="T10" s="5">
        <v>235.66709298278116</v>
      </c>
      <c r="U10" s="5">
        <v>26.229988105923447</v>
      </c>
      <c r="V10" s="5">
        <v>21.2811453892567</v>
      </c>
      <c r="W10" s="5">
        <v>58.375950309538602</v>
      </c>
      <c r="X10" s="5">
        <v>0</v>
      </c>
      <c r="Y10" s="5">
        <v>113</v>
      </c>
    </row>
    <row r="11" spans="1:52" x14ac:dyDescent="0.4">
      <c r="B11" t="s">
        <v>80</v>
      </c>
      <c r="C11" t="s">
        <v>81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1822</v>
      </c>
      <c r="P11" t="s">
        <v>80</v>
      </c>
      <c r="Q11" t="s">
        <v>89</v>
      </c>
      <c r="R11" t="s">
        <v>82</v>
      </c>
      <c r="S11" s="5">
        <v>66.993137145311692</v>
      </c>
      <c r="T11" s="5">
        <v>53.13902933381992</v>
      </c>
      <c r="U11" s="5">
        <v>5.914428229011393</v>
      </c>
      <c r="V11" s="5">
        <v>62.811004837736597</v>
      </c>
      <c r="W11" s="5">
        <v>71.175269452886795</v>
      </c>
      <c r="X11" s="5">
        <v>0</v>
      </c>
      <c r="Y11" s="5">
        <v>150</v>
      </c>
    </row>
    <row r="12" spans="1:52" x14ac:dyDescent="0.4">
      <c r="C12" t="s">
        <v>83</v>
      </c>
      <c r="D12" t="s">
        <v>82</v>
      </c>
      <c r="E12" s="5">
        <v>119.29474033045651</v>
      </c>
      <c r="F12" s="5">
        <v>1</v>
      </c>
      <c r="G12" s="5">
        <v>1.1303449692741792</v>
      </c>
      <c r="H12" s="5">
        <v>0.12580854935830349</v>
      </c>
      <c r="I12" s="5">
        <v>119.20578025207401</v>
      </c>
      <c r="J12" s="5">
        <v>119.383700408839</v>
      </c>
      <c r="K12" s="5">
        <v>60.837583458196598</v>
      </c>
      <c r="L12" s="5">
        <v>184.70404099719599</v>
      </c>
      <c r="M12" s="5">
        <v>1822</v>
      </c>
    </row>
    <row r="13" spans="1:52" x14ac:dyDescent="0.4">
      <c r="C13" t="s">
        <v>84</v>
      </c>
      <c r="D13" t="s">
        <v>82</v>
      </c>
      <c r="E13" s="5">
        <v>18366.0661731662</v>
      </c>
      <c r="F13" s="5">
        <v>1</v>
      </c>
      <c r="G13" s="5">
        <v>11711.757096718706</v>
      </c>
      <c r="H13" s="5">
        <v>1303.530524598279</v>
      </c>
      <c r="I13" s="5">
        <v>17444.3308997391</v>
      </c>
      <c r="J13" s="5">
        <v>19287.801446593301</v>
      </c>
      <c r="K13" s="5">
        <v>76.887539743562201</v>
      </c>
      <c r="L13" s="5">
        <v>58309.490476908599</v>
      </c>
      <c r="M13" s="5">
        <v>1822</v>
      </c>
    </row>
    <row r="14" spans="1:52" x14ac:dyDescent="0.4">
      <c r="C14" t="s">
        <v>85</v>
      </c>
      <c r="D14" t="s">
        <v>82</v>
      </c>
      <c r="E14" s="5">
        <v>19.895035045002352</v>
      </c>
      <c r="F14" s="5">
        <v>1</v>
      </c>
      <c r="G14" s="5">
        <v>0.66135343768006127</v>
      </c>
      <c r="H14" s="5">
        <v>7.3609312970254429E-2</v>
      </c>
      <c r="I14" s="5">
        <v>19.842985400642601</v>
      </c>
      <c r="J14" s="5">
        <v>19.9470846893621</v>
      </c>
      <c r="K14" s="5">
        <v>6.1603978132479797</v>
      </c>
      <c r="L14" s="5">
        <v>49.039712226658601</v>
      </c>
      <c r="M14" s="5">
        <v>1822</v>
      </c>
    </row>
    <row r="15" spans="1:52" x14ac:dyDescent="0.4">
      <c r="C15" t="s">
        <v>86</v>
      </c>
      <c r="D15" t="s">
        <v>82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1822</v>
      </c>
    </row>
    <row r="16" spans="1:52" x14ac:dyDescent="0.4">
      <c r="C16" t="s">
        <v>87</v>
      </c>
      <c r="D16" t="s">
        <v>82</v>
      </c>
      <c r="E16" s="5">
        <v>18226.876397790751</v>
      </c>
      <c r="F16" s="5">
        <v>1</v>
      </c>
      <c r="G16" s="5">
        <v>11713.548795125744</v>
      </c>
      <c r="H16" s="5">
        <v>1303.7299424606172</v>
      </c>
      <c r="I16" s="5">
        <v>17305.000114640901</v>
      </c>
      <c r="J16" s="5">
        <v>19148.752680940601</v>
      </c>
      <c r="K16" s="5">
        <v>0</v>
      </c>
      <c r="L16" s="5">
        <v>58180.081219518303</v>
      </c>
      <c r="M16" s="5">
        <v>1822</v>
      </c>
    </row>
  </sheetData>
  <dataConsolidate/>
  <conditionalFormatting pivot="1" sqref="G3:G16">
    <cfRule type="expression" dxfId="61" priority="10">
      <formula>G3=200000000000000000000</formula>
    </cfRule>
  </conditionalFormatting>
  <conditionalFormatting pivot="1" sqref="T3:T11">
    <cfRule type="expression" dxfId="60" priority="9">
      <formula>T3=200000000000000000000</formula>
    </cfRule>
  </conditionalFormatting>
  <conditionalFormatting pivot="1" sqref="T3:T11">
    <cfRule type="expression" dxfId="59" priority="8">
      <formula>T3=300000000000000000000</formula>
    </cfRule>
  </conditionalFormatting>
  <conditionalFormatting pivot="1" sqref="G3:G16">
    <cfRule type="expression" dxfId="58" priority="7">
      <formula>G3=300000000000000000000</formula>
    </cfRule>
  </conditionalFormatting>
  <conditionalFormatting pivot="1" sqref="F3:F16">
    <cfRule type="expression" dxfId="57" priority="6">
      <formula>F3=0</formula>
    </cfRule>
  </conditionalFormatting>
  <conditionalFormatting pivot="1" sqref="F3:F16">
    <cfRule type="expression" dxfId="56" priority="5">
      <formula>F3=1</formula>
    </cfRule>
  </conditionalFormatting>
  <conditionalFormatting pivot="1" sqref="T3:T11">
    <cfRule type="expression" dxfId="55" priority="4">
      <formula>T3=400000000000000000000</formula>
    </cfRule>
  </conditionalFormatting>
  <conditionalFormatting pivot="1" sqref="AP3:AP5">
    <cfRule type="expression" dxfId="54" priority="3">
      <formula>AP3=400000000000000000000</formula>
    </cfRule>
  </conditionalFormatting>
  <conditionalFormatting pivot="1" sqref="AF3">
    <cfRule type="expression" dxfId="53" priority="2">
      <formula>AF3=400000000000000000000</formula>
    </cfRule>
  </conditionalFormatting>
  <conditionalFormatting pivot="1" sqref="G3:G16">
    <cfRule type="expression" dxfId="52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9"/>
  <sheetViews>
    <sheetView workbookViewId="0">
      <selection activeCell="K2" sqref="K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2.15234375" bestFit="1" customWidth="1"/>
    <col min="6" max="6" width="8.69140625" bestFit="1" customWidth="1"/>
    <col min="7" max="7" width="11.84375" bestFit="1" customWidth="1"/>
    <col min="8" max="8" width="22.07421875" bestFit="1" customWidth="1"/>
    <col min="9" max="10" width="11.84375" bestFit="1" customWidth="1"/>
    <col min="11" max="11" width="20.921875" bestFit="1" customWidth="1"/>
    <col min="12" max="12" width="57.61328125" bestFit="1" customWidth="1"/>
    <col min="13" max="13" width="16" bestFit="1" customWidth="1"/>
    <col min="14" max="14" width="18.69140625" bestFit="1" customWidth="1"/>
    <col min="15" max="15" width="16.69140625" bestFit="1" customWidth="1"/>
    <col min="16" max="16" width="18.84375" bestFit="1" customWidth="1"/>
    <col min="17" max="17" width="11.84375" bestFit="1" customWidth="1"/>
    <col min="18" max="18" width="18" bestFit="1" customWidth="1"/>
    <col min="19" max="19" width="18.3828125" bestFit="1" customWidth="1"/>
    <col min="20" max="20" width="17.15234375" bestFit="1" customWidth="1"/>
    <col min="21" max="21" width="17.53515625" bestFit="1" customWidth="1"/>
    <col min="22" max="22" width="27.84375" bestFit="1" customWidth="1"/>
    <col min="23" max="23" width="19.53515625" bestFit="1" customWidth="1"/>
    <col min="24" max="24" width="22.53515625" bestFit="1" customWidth="1"/>
    <col min="25" max="25" width="21" bestFit="1" customWidth="1"/>
  </cols>
  <sheetData>
    <row r="1" spans="1:2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1438</v>
      </c>
      <c r="L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2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1441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2</v>
      </c>
      <c r="Y2">
        <f>IF(DiscreteStatsTable[[#This Row],[RepsRequested]]=DiscreteStatsTable[[#This Row],[RepsWithStatObserved]],1,0)</f>
        <v>1</v>
      </c>
    </row>
    <row r="3" spans="1:25" x14ac:dyDescent="0.4">
      <c r="A3" t="s">
        <v>67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0</v>
      </c>
      <c r="I3">
        <v>0</v>
      </c>
      <c r="J3">
        <v>0</v>
      </c>
      <c r="K3">
        <v>1444</v>
      </c>
      <c r="L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2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1441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2</v>
      </c>
      <c r="Y3">
        <f>IF(DiscreteStatsTable[[#This Row],[RepsRequested]]=DiscreteStatsTable[[#This Row],[RepsWithStatObserved]],1,0)</f>
        <v>1</v>
      </c>
    </row>
    <row r="4" spans="1:25" x14ac:dyDescent="0.4">
      <c r="A4" t="s">
        <v>67</v>
      </c>
      <c r="B4" t="s">
        <v>69</v>
      </c>
      <c r="C4">
        <v>1</v>
      </c>
      <c r="D4" t="s">
        <v>73</v>
      </c>
      <c r="E4" t="s">
        <v>71</v>
      </c>
      <c r="F4" t="s">
        <v>72</v>
      </c>
      <c r="G4">
        <v>0</v>
      </c>
      <c r="H4">
        <v>0</v>
      </c>
      <c r="I4">
        <v>0</v>
      </c>
      <c r="J4">
        <v>0</v>
      </c>
      <c r="K4">
        <v>1427</v>
      </c>
      <c r="L4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2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1373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2</v>
      </c>
      <c r="Y4">
        <f>IF(DiscreteStatsTable[[#This Row],[RepsRequested]]=DiscreteStatsTable[[#This Row],[RepsWithStatObserved]],1,0)</f>
        <v>1</v>
      </c>
    </row>
    <row r="5" spans="1:25" x14ac:dyDescent="0.4">
      <c r="A5" t="s">
        <v>67</v>
      </c>
      <c r="B5" t="s">
        <v>69</v>
      </c>
      <c r="C5">
        <v>2</v>
      </c>
      <c r="D5" t="s">
        <v>73</v>
      </c>
      <c r="E5" t="s">
        <v>71</v>
      </c>
      <c r="F5" t="s">
        <v>72</v>
      </c>
      <c r="G5">
        <v>0</v>
      </c>
      <c r="H5">
        <v>0</v>
      </c>
      <c r="I5">
        <v>0</v>
      </c>
      <c r="J5">
        <v>0</v>
      </c>
      <c r="K5">
        <v>1319</v>
      </c>
      <c r="L5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2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1373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2</v>
      </c>
      <c r="Y5">
        <f>IF(DiscreteStatsTable[[#This Row],[RepsRequested]]=DiscreteStatsTable[[#This Row],[RepsWithStatObserved]],1,0)</f>
        <v>1</v>
      </c>
    </row>
    <row r="6" spans="1:25" x14ac:dyDescent="0.4">
      <c r="A6" t="s">
        <v>67</v>
      </c>
      <c r="B6" t="s">
        <v>69</v>
      </c>
      <c r="C6">
        <v>1</v>
      </c>
      <c r="D6" t="s">
        <v>74</v>
      </c>
      <c r="E6" t="s">
        <v>71</v>
      </c>
      <c r="F6" t="s">
        <v>72</v>
      </c>
      <c r="G6">
        <v>0</v>
      </c>
      <c r="H6">
        <v>0</v>
      </c>
      <c r="I6">
        <v>0</v>
      </c>
      <c r="J6">
        <v>0</v>
      </c>
      <c r="K6">
        <v>1425</v>
      </c>
      <c r="L6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2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48.850898378241553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69.085603020619033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620.70951634000141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97.701796756483105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5510.2332044471996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1412</v>
      </c>
      <c r="W6">
        <f>IF((DiscreteStatsTable[[#This Row],[RepsRequested]]&gt;1),DiscreteStatsTable[[#This Row],[HalfWidth]],DiscreteStatsTable[[#This Row],[BatchMeansHalfWidth]])</f>
        <v>620.70951634000141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2</v>
      </c>
      <c r="Y6">
        <f>IF(DiscreteStatsTable[[#This Row],[RepsRequested]]=DiscreteStatsTable[[#This Row],[RepsWithStatObserved]],1,0)</f>
        <v>1</v>
      </c>
    </row>
    <row r="7" spans="1:25" x14ac:dyDescent="0.4">
      <c r="A7" t="s">
        <v>67</v>
      </c>
      <c r="B7" t="s">
        <v>69</v>
      </c>
      <c r="C7">
        <v>2</v>
      </c>
      <c r="D7" t="s">
        <v>74</v>
      </c>
      <c r="E7" t="s">
        <v>71</v>
      </c>
      <c r="F7" t="s">
        <v>72</v>
      </c>
      <c r="G7">
        <v>97.701796756483105</v>
      </c>
      <c r="H7">
        <v>3E+20</v>
      </c>
      <c r="I7">
        <v>0</v>
      </c>
      <c r="J7">
        <v>5510.2332044471996</v>
      </c>
      <c r="K7">
        <v>1399</v>
      </c>
      <c r="L7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2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48.850898378241553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69.085603020619033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620.70951634000141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97.701796756483105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5510.2332044471996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1412</v>
      </c>
      <c r="W7">
        <f>IF((DiscreteStatsTable[[#This Row],[RepsRequested]]&gt;1),DiscreteStatsTable[[#This Row],[HalfWidth]],DiscreteStatsTable[[#This Row],[BatchMeansHalfWidth]])</f>
        <v>620.70951634000141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2</v>
      </c>
      <c r="Y7">
        <f>IF(DiscreteStatsTable[[#This Row],[RepsRequested]]=DiscreteStatsTable[[#This Row],[RepsWithStatObserved]],1,0)</f>
        <v>1</v>
      </c>
    </row>
    <row r="8" spans="1:25" x14ac:dyDescent="0.4">
      <c r="A8" t="s">
        <v>67</v>
      </c>
      <c r="B8" t="s">
        <v>69</v>
      </c>
      <c r="C8">
        <v>1</v>
      </c>
      <c r="D8" t="s">
        <v>75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1380</v>
      </c>
      <c r="L8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2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1396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2</v>
      </c>
      <c r="Y8">
        <f>IF(DiscreteStatsTable[[#This Row],[RepsRequested]]=DiscreteStatsTable[[#This Row],[RepsWithStatObserved]],1,0)</f>
        <v>1</v>
      </c>
    </row>
    <row r="9" spans="1:25" x14ac:dyDescent="0.4">
      <c r="A9" t="s">
        <v>67</v>
      </c>
      <c r="B9" t="s">
        <v>69</v>
      </c>
      <c r="C9">
        <v>2</v>
      </c>
      <c r="D9" t="s">
        <v>75</v>
      </c>
      <c r="E9" t="s">
        <v>71</v>
      </c>
      <c r="F9" t="s">
        <v>72</v>
      </c>
      <c r="G9">
        <v>0</v>
      </c>
      <c r="H9">
        <v>0</v>
      </c>
      <c r="I9">
        <v>0</v>
      </c>
      <c r="J9">
        <v>0</v>
      </c>
      <c r="K9">
        <v>1412</v>
      </c>
      <c r="L9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2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1396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2</v>
      </c>
      <c r="Y9">
        <f>IF(DiscreteStatsTable[[#This Row],[RepsRequested]]=DiscreteStatsTable[[#This Row],[RepsWithStatObserved]],1,0)</f>
        <v>1</v>
      </c>
    </row>
    <row r="10" spans="1:25" x14ac:dyDescent="0.4">
      <c r="A10" t="s">
        <v>67</v>
      </c>
      <c r="B10" t="s">
        <v>69</v>
      </c>
      <c r="C10">
        <v>1</v>
      </c>
      <c r="D10" t="s">
        <v>76</v>
      </c>
      <c r="E10" t="s">
        <v>71</v>
      </c>
      <c r="F10" t="s">
        <v>72</v>
      </c>
      <c r="G10">
        <v>2.17968097160432</v>
      </c>
      <c r="H10">
        <v>3.2497544230442799</v>
      </c>
      <c r="I10">
        <v>0</v>
      </c>
      <c r="J10">
        <v>812.45372102927695</v>
      </c>
      <c r="K10">
        <v>1380</v>
      </c>
      <c r="L10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2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8.3261276770849602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8.692388291294149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78.098010239823438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2.17968097160432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14.4725743825656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2500.6580529981202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1396</v>
      </c>
      <c r="W10">
        <f>IF((DiscreteStatsTable[[#This Row],[RepsRequested]]&gt;1),DiscreteStatsTable[[#This Row],[HalfWidth]],DiscreteStatsTable[[#This Row],[BatchMeansHalfWidth]])</f>
        <v>78.098010239823438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2</v>
      </c>
      <c r="Y10">
        <f>IF(DiscreteStatsTable[[#This Row],[RepsRequested]]=DiscreteStatsTable[[#This Row],[RepsWithStatObserved]],1,0)</f>
        <v>1</v>
      </c>
    </row>
    <row r="11" spans="1:25" x14ac:dyDescent="0.4">
      <c r="A11" t="s">
        <v>67</v>
      </c>
      <c r="B11" t="s">
        <v>69</v>
      </c>
      <c r="C11">
        <v>2</v>
      </c>
      <c r="D11" t="s">
        <v>76</v>
      </c>
      <c r="E11" t="s">
        <v>71</v>
      </c>
      <c r="F11" t="s">
        <v>72</v>
      </c>
      <c r="G11">
        <v>14.4725743825656</v>
      </c>
      <c r="H11">
        <v>3E+20</v>
      </c>
      <c r="I11">
        <v>0</v>
      </c>
      <c r="J11">
        <v>2500.6580529981202</v>
      </c>
      <c r="K11">
        <v>1412</v>
      </c>
      <c r="L11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2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8.3261276770849602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8.692388291294149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78.098010239823438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2.17968097160432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14.4725743825656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2500.6580529981202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1396</v>
      </c>
      <c r="W11">
        <f>IF((DiscreteStatsTable[[#This Row],[RepsRequested]]&gt;1),DiscreteStatsTable[[#This Row],[HalfWidth]],DiscreteStatsTable[[#This Row],[BatchMeansHalfWidth]])</f>
        <v>78.098010239823438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2</v>
      </c>
      <c r="Y11">
        <f>IF(DiscreteStatsTable[[#This Row],[RepsRequested]]=DiscreteStatsTable[[#This Row],[RepsWithStatObserved]],1,0)</f>
        <v>1</v>
      </c>
    </row>
    <row r="12" spans="1:25" x14ac:dyDescent="0.4">
      <c r="A12" t="s">
        <v>67</v>
      </c>
      <c r="B12" t="s">
        <v>69</v>
      </c>
      <c r="C12">
        <v>1</v>
      </c>
      <c r="D12" t="s">
        <v>77</v>
      </c>
      <c r="E12" t="s">
        <v>71</v>
      </c>
      <c r="F12" t="s">
        <v>72</v>
      </c>
      <c r="G12">
        <v>169.27496340744199</v>
      </c>
      <c r="H12">
        <v>3E+20</v>
      </c>
      <c r="I12">
        <v>0</v>
      </c>
      <c r="J12">
        <v>5374.4000734131396</v>
      </c>
      <c r="K12">
        <v>1427</v>
      </c>
      <c r="L12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2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8784.5524031599216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12183.842198904911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109467.47900844192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169.27496340744199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17399.829842912401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55639.656953434998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1373</v>
      </c>
      <c r="W12">
        <f>IF((DiscreteStatsTable[[#This Row],[RepsRequested]]&gt;1),DiscreteStatsTable[[#This Row],[HalfWidth]],DiscreteStatsTable[[#This Row],[BatchMeansHalfWidth]])</f>
        <v>109467.47900844192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2</v>
      </c>
      <c r="Y12">
        <f>IF(DiscreteStatsTable[[#This Row],[RepsRequested]]=DiscreteStatsTable[[#This Row],[RepsWithStatObserved]],1,0)</f>
        <v>1</v>
      </c>
    </row>
    <row r="13" spans="1:25" x14ac:dyDescent="0.4">
      <c r="A13" t="s">
        <v>67</v>
      </c>
      <c r="B13" t="s">
        <v>69</v>
      </c>
      <c r="C13">
        <v>2</v>
      </c>
      <c r="D13" t="s">
        <v>77</v>
      </c>
      <c r="E13" t="s">
        <v>71</v>
      </c>
      <c r="F13" t="s">
        <v>72</v>
      </c>
      <c r="G13">
        <v>17399.829842912401</v>
      </c>
      <c r="H13">
        <v>3E+20</v>
      </c>
      <c r="I13">
        <v>0</v>
      </c>
      <c r="J13">
        <v>55639.656953434998</v>
      </c>
      <c r="K13">
        <v>1319</v>
      </c>
      <c r="L13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2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8784.5524031599216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12183.842198904911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109467.47900844192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169.27496340744199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17399.829842912401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55639.656953434998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1373</v>
      </c>
      <c r="W13">
        <f>IF((DiscreteStatsTable[[#This Row],[RepsRequested]]&gt;1),DiscreteStatsTable[[#This Row],[HalfWidth]],DiscreteStatsTable[[#This Row],[BatchMeansHalfWidth]])</f>
        <v>109467.47900844192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2</v>
      </c>
      <c r="Y13">
        <f>IF(DiscreteStatsTable[[#This Row],[RepsRequested]]=DiscreteStatsTable[[#This Row],[RepsWithStatObserved]],1,0)</f>
        <v>1</v>
      </c>
    </row>
    <row r="14" spans="1:25" x14ac:dyDescent="0.4">
      <c r="A14" t="s">
        <v>67</v>
      </c>
      <c r="B14" t="s">
        <v>69</v>
      </c>
      <c r="C14">
        <v>1</v>
      </c>
      <c r="D14" t="s">
        <v>78</v>
      </c>
      <c r="E14" t="s">
        <v>71</v>
      </c>
      <c r="F14" t="s">
        <v>72</v>
      </c>
      <c r="G14">
        <v>1263.21916019682</v>
      </c>
      <c r="H14">
        <v>3E+20</v>
      </c>
      <c r="I14">
        <v>0</v>
      </c>
      <c r="J14">
        <v>13387.6917381605</v>
      </c>
      <c r="K14">
        <v>1425</v>
      </c>
      <c r="L14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2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631.78522141495671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892.98243996797373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8023.1289035315531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0.35128263309346103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1263.21916019682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13387.6917381605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1372</v>
      </c>
      <c r="W14">
        <f>IF((DiscreteStatsTable[[#This Row],[RepsRequested]]&gt;1),DiscreteStatsTable[[#This Row],[HalfWidth]],DiscreteStatsTable[[#This Row],[BatchMeansHalfWidth]])</f>
        <v>8023.1289035315531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2</v>
      </c>
      <c r="Y14">
        <f>IF(DiscreteStatsTable[[#This Row],[RepsRequested]]=DiscreteStatsTable[[#This Row],[RepsWithStatObserved]],1,0)</f>
        <v>1</v>
      </c>
    </row>
    <row r="15" spans="1:25" x14ac:dyDescent="0.4">
      <c r="A15" t="s">
        <v>67</v>
      </c>
      <c r="B15" t="s">
        <v>69</v>
      </c>
      <c r="C15">
        <v>2</v>
      </c>
      <c r="D15" t="s">
        <v>78</v>
      </c>
      <c r="E15" t="s">
        <v>71</v>
      </c>
      <c r="F15" t="s">
        <v>72</v>
      </c>
      <c r="G15">
        <v>0.35128263309346103</v>
      </c>
      <c r="H15">
        <v>0.74651288206954003</v>
      </c>
      <c r="I15">
        <v>0</v>
      </c>
      <c r="J15">
        <v>443.10981074952002</v>
      </c>
      <c r="K15">
        <v>1319</v>
      </c>
      <c r="L1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2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631.78522141495671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892.98243996797373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8023.1289035315531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0.35128263309346103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1263.21916019682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13387.6917381605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1372</v>
      </c>
      <c r="W15">
        <f>IF((DiscreteStatsTable[[#This Row],[RepsRequested]]&gt;1),DiscreteStatsTable[[#This Row],[HalfWidth]],DiscreteStatsTable[[#This Row],[BatchMeansHalfWidth]])</f>
        <v>8023.1289035315531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2</v>
      </c>
      <c r="Y15">
        <f>IF(DiscreteStatsTable[[#This Row],[RepsRequested]]=DiscreteStatsTable[[#This Row],[RepsWithStatObserved]],1,0)</f>
        <v>1</v>
      </c>
    </row>
    <row r="16" spans="1:25" x14ac:dyDescent="0.4">
      <c r="A16" t="s">
        <v>67</v>
      </c>
      <c r="B16" t="s">
        <v>69</v>
      </c>
      <c r="C16">
        <v>1</v>
      </c>
      <c r="D16" t="s">
        <v>79</v>
      </c>
      <c r="E16" t="s">
        <v>71</v>
      </c>
      <c r="F16" t="s">
        <v>72</v>
      </c>
      <c r="G16">
        <v>21939.258153535098</v>
      </c>
      <c r="H16">
        <v>3E+20</v>
      </c>
      <c r="I16">
        <v>0</v>
      </c>
      <c r="J16">
        <v>40997.457125572699</v>
      </c>
      <c r="K16">
        <v>1380</v>
      </c>
      <c r="L16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2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14967.259533019635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9859.8950059794788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88587.641892597021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7995.2609125041699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21939.258153535098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40997.457125572699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1389.5</v>
      </c>
      <c r="W16">
        <f>IF((DiscreteStatsTable[[#This Row],[RepsRequested]]&gt;1),DiscreteStatsTable[[#This Row],[HalfWidth]],DiscreteStatsTable[[#This Row],[BatchMeansHalfWidth]])</f>
        <v>88587.641892597021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2</v>
      </c>
      <c r="Y16">
        <f>IF(DiscreteStatsTable[[#This Row],[RepsRequested]]=DiscreteStatsTable[[#This Row],[RepsWithStatObserved]],1,0)</f>
        <v>1</v>
      </c>
    </row>
    <row r="17" spans="1:25" x14ac:dyDescent="0.4">
      <c r="A17" t="s">
        <v>67</v>
      </c>
      <c r="B17" t="s">
        <v>69</v>
      </c>
      <c r="C17">
        <v>2</v>
      </c>
      <c r="D17" t="s">
        <v>79</v>
      </c>
      <c r="E17" t="s">
        <v>71</v>
      </c>
      <c r="F17" t="s">
        <v>72</v>
      </c>
      <c r="G17">
        <v>7995.2609125041699</v>
      </c>
      <c r="H17">
        <v>3E+20</v>
      </c>
      <c r="I17">
        <v>0</v>
      </c>
      <c r="J17">
        <v>29575.610710470599</v>
      </c>
      <c r="K17">
        <v>1399</v>
      </c>
      <c r="L17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2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14967.259533019635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9859.8950059794788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88587.641892597021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7995.2609125041699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21939.258153535098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40997.457125572699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1389.5</v>
      </c>
      <c r="W17">
        <f>IF((DiscreteStatsTable[[#This Row],[RepsRequested]]&gt;1),DiscreteStatsTable[[#This Row],[HalfWidth]],DiscreteStatsTable[[#This Row],[BatchMeansHalfWidth]])</f>
        <v>88587.641892597021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2</v>
      </c>
      <c r="Y17">
        <f>IF(DiscreteStatsTable[[#This Row],[RepsRequested]]=DiscreteStatsTable[[#This Row],[RepsWithStatObserved]],1,0)</f>
        <v>1</v>
      </c>
    </row>
    <row r="18" spans="1:25" x14ac:dyDescent="0.4">
      <c r="A18" t="s">
        <v>67</v>
      </c>
      <c r="B18" t="s">
        <v>69</v>
      </c>
      <c r="C18">
        <v>1</v>
      </c>
      <c r="D18" t="s">
        <v>80</v>
      </c>
      <c r="E18" t="s">
        <v>81</v>
      </c>
      <c r="F18" t="s">
        <v>82</v>
      </c>
      <c r="G18">
        <v>0</v>
      </c>
      <c r="H18">
        <v>0</v>
      </c>
      <c r="I18">
        <v>0</v>
      </c>
      <c r="J18">
        <v>0</v>
      </c>
      <c r="K18">
        <v>1855</v>
      </c>
      <c r="L18" t="str">
        <f>DiscreteStatsTable[[#This Row],[ProjectName]]&amp;DiscreteStatsTable[[#This Row],[Name]]&amp;DiscreteStatsTable[[#This Row],[Type]]&amp;DiscreteStatsTable[[#This Row],[Source]]</f>
        <v>Unnamed ProjectTouristNVA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2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1822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2</v>
      </c>
      <c r="Y18">
        <f>IF(DiscreteStatsTable[[#This Row],[RepsRequested]]=DiscreteStatsTable[[#This Row],[RepsWithStatObserved]],1,0)</f>
        <v>1</v>
      </c>
    </row>
    <row r="19" spans="1:25" x14ac:dyDescent="0.4">
      <c r="A19" t="s">
        <v>67</v>
      </c>
      <c r="B19" t="s">
        <v>69</v>
      </c>
      <c r="C19">
        <v>1</v>
      </c>
      <c r="D19" t="s">
        <v>80</v>
      </c>
      <c r="E19" t="s">
        <v>83</v>
      </c>
      <c r="F19" t="s">
        <v>82</v>
      </c>
      <c r="G19">
        <v>119.383700408839</v>
      </c>
      <c r="H19">
        <v>1.3755448667641299</v>
      </c>
      <c r="I19">
        <v>60.837583458196598</v>
      </c>
      <c r="J19">
        <v>184.70404099719599</v>
      </c>
      <c r="K19">
        <v>1855</v>
      </c>
      <c r="L19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2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119.29474033045651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0.12580854935830349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1.1303449692741792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119.20578025207401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119.383700408839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60.837583458196598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184.70404099719599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1822</v>
      </c>
      <c r="W19">
        <f>IF((DiscreteStatsTable[[#This Row],[RepsRequested]]&gt;1),DiscreteStatsTable[[#This Row],[HalfWidth]],DiscreteStatsTable[[#This Row],[BatchMeansHalfWidth]])</f>
        <v>1.1303449692741792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2</v>
      </c>
      <c r="Y19">
        <f>IF(DiscreteStatsTable[[#This Row],[RepsRequested]]=DiscreteStatsTable[[#This Row],[RepsWithStatObserved]],1,0)</f>
        <v>1</v>
      </c>
    </row>
    <row r="20" spans="1:25" x14ac:dyDescent="0.4">
      <c r="A20" t="s">
        <v>67</v>
      </c>
      <c r="B20" t="s">
        <v>69</v>
      </c>
      <c r="C20">
        <v>1</v>
      </c>
      <c r="D20" t="s">
        <v>80</v>
      </c>
      <c r="E20" t="s">
        <v>84</v>
      </c>
      <c r="F20" t="s">
        <v>82</v>
      </c>
      <c r="G20">
        <v>17444.3308997391</v>
      </c>
      <c r="H20">
        <v>3E+20</v>
      </c>
      <c r="I20">
        <v>78.735651901981299</v>
      </c>
      <c r="J20">
        <v>41347.608125289298</v>
      </c>
      <c r="K20">
        <v>1855</v>
      </c>
      <c r="L20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2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18366.0661731662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1303.530524598279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11711.757096718706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17444.3308997391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19287.801446593301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76.887539743562201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58309.490476908599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1822</v>
      </c>
      <c r="W20">
        <f>IF((DiscreteStatsTable[[#This Row],[RepsRequested]]&gt;1),DiscreteStatsTable[[#This Row],[HalfWidth]],DiscreteStatsTable[[#This Row],[BatchMeansHalfWidth]])</f>
        <v>11711.757096718706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2</v>
      </c>
      <c r="Y20">
        <f>IF(DiscreteStatsTable[[#This Row],[RepsRequested]]=DiscreteStatsTable[[#This Row],[RepsWithStatObserved]],1,0)</f>
        <v>1</v>
      </c>
    </row>
    <row r="21" spans="1:25" x14ac:dyDescent="0.4">
      <c r="A21" t="s">
        <v>67</v>
      </c>
      <c r="B21" t="s">
        <v>69</v>
      </c>
      <c r="C21">
        <v>1</v>
      </c>
      <c r="D21" t="s">
        <v>80</v>
      </c>
      <c r="E21" t="s">
        <v>85</v>
      </c>
      <c r="F21" t="s">
        <v>82</v>
      </c>
      <c r="G21">
        <v>19.9470846893621</v>
      </c>
      <c r="H21">
        <v>0.34781216859358099</v>
      </c>
      <c r="I21">
        <v>6.1603978132479797</v>
      </c>
      <c r="J21">
        <v>49.039712226658601</v>
      </c>
      <c r="K21">
        <v>1855</v>
      </c>
      <c r="L21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2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19.895035045002352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7.3609312970254429E-2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0.66135343768006127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19.842985400642601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19.9470846893621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6.1603978132479797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49.039712226658601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1822</v>
      </c>
      <c r="W21">
        <f>IF((DiscreteStatsTable[[#This Row],[RepsRequested]]&gt;1),DiscreteStatsTable[[#This Row],[HalfWidth]],DiscreteStatsTable[[#This Row],[BatchMeansHalfWidth]])</f>
        <v>0.66135343768006127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2</v>
      </c>
      <c r="Y21">
        <f>IF(DiscreteStatsTable[[#This Row],[RepsRequested]]=DiscreteStatsTable[[#This Row],[RepsWithStatObserved]],1,0)</f>
        <v>1</v>
      </c>
    </row>
    <row r="22" spans="1:25" x14ac:dyDescent="0.4">
      <c r="A22" t="s">
        <v>67</v>
      </c>
      <c r="B22" t="s">
        <v>69</v>
      </c>
      <c r="C22">
        <v>1</v>
      </c>
      <c r="D22" t="s">
        <v>80</v>
      </c>
      <c r="E22" t="s">
        <v>86</v>
      </c>
      <c r="F22" t="s">
        <v>82</v>
      </c>
      <c r="G22">
        <v>0</v>
      </c>
      <c r="H22">
        <v>0</v>
      </c>
      <c r="I22">
        <v>0</v>
      </c>
      <c r="J22">
        <v>0</v>
      </c>
      <c r="K22">
        <v>1855</v>
      </c>
      <c r="L22" t="str">
        <f>DiscreteStatsTable[[#This Row],[ProjectName]]&amp;DiscreteStatsTable[[#This Row],[Name]]&amp;DiscreteStatsTable[[#This Row],[Type]]&amp;DiscreteStatsTable[[#This Row],[Source]]</f>
        <v>Unnamed ProjectTouristVA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2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1822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2</v>
      </c>
      <c r="Y22">
        <f>IF(DiscreteStatsTable[[#This Row],[RepsRequested]]=DiscreteStatsTable[[#This Row],[RepsWithStatObserved]],1,0)</f>
        <v>1</v>
      </c>
    </row>
    <row r="23" spans="1:25" x14ac:dyDescent="0.4">
      <c r="A23" t="s">
        <v>67</v>
      </c>
      <c r="B23" t="s">
        <v>69</v>
      </c>
      <c r="C23">
        <v>1</v>
      </c>
      <c r="D23" t="s">
        <v>80</v>
      </c>
      <c r="E23" t="s">
        <v>87</v>
      </c>
      <c r="F23" t="s">
        <v>82</v>
      </c>
      <c r="G23">
        <v>17305.000114640901</v>
      </c>
      <c r="H23">
        <v>3E+20</v>
      </c>
      <c r="I23">
        <v>0</v>
      </c>
      <c r="J23">
        <v>41200.334391045799</v>
      </c>
      <c r="K23">
        <v>1855</v>
      </c>
      <c r="L23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2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18226.876397790751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1303.7299424606172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11713.548795125744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17305.000114640901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19148.752680940601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58180.081219518303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1822</v>
      </c>
      <c r="W23">
        <f>IF((DiscreteStatsTable[[#This Row],[RepsRequested]]&gt;1),DiscreteStatsTable[[#This Row],[HalfWidth]],DiscreteStatsTable[[#This Row],[BatchMeansHalfWidth]])</f>
        <v>11713.548795125744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2</v>
      </c>
      <c r="Y23">
        <f>IF(DiscreteStatsTable[[#This Row],[RepsRequested]]=DiscreteStatsTable[[#This Row],[RepsWithStatObserved]],1,0)</f>
        <v>1</v>
      </c>
    </row>
    <row r="24" spans="1:25" x14ac:dyDescent="0.4">
      <c r="A24" t="s">
        <v>67</v>
      </c>
      <c r="B24" t="s">
        <v>69</v>
      </c>
      <c r="C24">
        <v>2</v>
      </c>
      <c r="D24" t="s">
        <v>80</v>
      </c>
      <c r="E24" t="s">
        <v>81</v>
      </c>
      <c r="F24" t="s">
        <v>82</v>
      </c>
      <c r="G24">
        <v>0</v>
      </c>
      <c r="H24">
        <v>0</v>
      </c>
      <c r="I24">
        <v>0</v>
      </c>
      <c r="J24">
        <v>0</v>
      </c>
      <c r="K24">
        <v>1789</v>
      </c>
      <c r="L24" t="str">
        <f>DiscreteStatsTable[[#This Row],[ProjectName]]&amp;DiscreteStatsTable[[#This Row],[Name]]&amp;DiscreteStatsTable[[#This Row],[Type]]&amp;DiscreteStatsTable[[#This Row],[Source]]</f>
        <v>Unnamed ProjectTouristNVA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2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1822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2</v>
      </c>
      <c r="Y24">
        <f>IF(DiscreteStatsTable[[#This Row],[RepsRequested]]=DiscreteStatsTable[[#This Row],[RepsWithStatObserved]],1,0)</f>
        <v>1</v>
      </c>
    </row>
    <row r="25" spans="1:25" x14ac:dyDescent="0.4">
      <c r="A25" t="s">
        <v>67</v>
      </c>
      <c r="B25" t="s">
        <v>69</v>
      </c>
      <c r="C25">
        <v>2</v>
      </c>
      <c r="D25" t="s">
        <v>80</v>
      </c>
      <c r="E25" t="s">
        <v>83</v>
      </c>
      <c r="F25" t="s">
        <v>82</v>
      </c>
      <c r="G25">
        <v>119.20578025207401</v>
      </c>
      <c r="H25">
        <v>1.3150690308644</v>
      </c>
      <c r="I25">
        <v>64.273010962858706</v>
      </c>
      <c r="J25">
        <v>177.046595770225</v>
      </c>
      <c r="K25">
        <v>1789</v>
      </c>
      <c r="L2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2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119.29474033045651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0.12580854935830349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1.1303449692741792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119.20578025207401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119.383700408839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60.837583458196598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184.70404099719599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1822</v>
      </c>
      <c r="W25">
        <f>IF((DiscreteStatsTable[[#This Row],[RepsRequested]]&gt;1),DiscreteStatsTable[[#This Row],[HalfWidth]],DiscreteStatsTable[[#This Row],[BatchMeansHalfWidth]])</f>
        <v>1.1303449692741792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2</v>
      </c>
      <c r="Y25">
        <f>IF(DiscreteStatsTable[[#This Row],[RepsRequested]]=DiscreteStatsTable[[#This Row],[RepsWithStatObserved]],1,0)</f>
        <v>1</v>
      </c>
    </row>
    <row r="26" spans="1:25" x14ac:dyDescent="0.4">
      <c r="A26" t="s">
        <v>67</v>
      </c>
      <c r="B26" t="s">
        <v>69</v>
      </c>
      <c r="C26">
        <v>2</v>
      </c>
      <c r="D26" t="s">
        <v>80</v>
      </c>
      <c r="E26" t="s">
        <v>84</v>
      </c>
      <c r="F26" t="s">
        <v>82</v>
      </c>
      <c r="G26">
        <v>19287.801446593301</v>
      </c>
      <c r="H26">
        <v>3E+20</v>
      </c>
      <c r="I26">
        <v>76.887539743562201</v>
      </c>
      <c r="J26">
        <v>58309.490476908599</v>
      </c>
      <c r="K26">
        <v>1789</v>
      </c>
      <c r="L26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2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18366.0661731662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1303.530524598279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11711.757096718706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17444.3308997391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19287.801446593301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76.887539743562201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58309.490476908599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1822</v>
      </c>
      <c r="W26">
        <f>IF((DiscreteStatsTable[[#This Row],[RepsRequested]]&gt;1),DiscreteStatsTable[[#This Row],[HalfWidth]],DiscreteStatsTable[[#This Row],[BatchMeansHalfWidth]])</f>
        <v>11711.757096718706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2</v>
      </c>
      <c r="Y26">
        <f>IF(DiscreteStatsTable[[#This Row],[RepsRequested]]=DiscreteStatsTable[[#This Row],[RepsWithStatObserved]],1,0)</f>
        <v>1</v>
      </c>
    </row>
    <row r="27" spans="1:25" x14ac:dyDescent="0.4">
      <c r="A27" t="s">
        <v>67</v>
      </c>
      <c r="B27" t="s">
        <v>69</v>
      </c>
      <c r="C27">
        <v>2</v>
      </c>
      <c r="D27" t="s">
        <v>80</v>
      </c>
      <c r="E27" t="s">
        <v>85</v>
      </c>
      <c r="F27" t="s">
        <v>82</v>
      </c>
      <c r="G27">
        <v>19.842985400642601</v>
      </c>
      <c r="H27">
        <v>0.31685964391195598</v>
      </c>
      <c r="I27">
        <v>6.2307523846684498</v>
      </c>
      <c r="J27">
        <v>48.845901351771303</v>
      </c>
      <c r="K27">
        <v>1789</v>
      </c>
      <c r="L27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2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19.895035045002352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7.3609312970254429E-2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0.66135343768006127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19.842985400642601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19.9470846893621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6.1603978132479797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49.039712226658601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1822</v>
      </c>
      <c r="W27">
        <f>IF((DiscreteStatsTable[[#This Row],[RepsRequested]]&gt;1),DiscreteStatsTable[[#This Row],[HalfWidth]],DiscreteStatsTable[[#This Row],[BatchMeansHalfWidth]])</f>
        <v>0.66135343768006127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2</v>
      </c>
      <c r="Y27">
        <f>IF(DiscreteStatsTable[[#This Row],[RepsRequested]]=DiscreteStatsTable[[#This Row],[RepsWithStatObserved]],1,0)</f>
        <v>1</v>
      </c>
    </row>
    <row r="28" spans="1:25" x14ac:dyDescent="0.4">
      <c r="A28" t="s">
        <v>67</v>
      </c>
      <c r="B28" t="s">
        <v>69</v>
      </c>
      <c r="C28">
        <v>2</v>
      </c>
      <c r="D28" t="s">
        <v>80</v>
      </c>
      <c r="E28" t="s">
        <v>86</v>
      </c>
      <c r="F28" t="s">
        <v>82</v>
      </c>
      <c r="G28">
        <v>0</v>
      </c>
      <c r="H28">
        <v>0</v>
      </c>
      <c r="I28">
        <v>0</v>
      </c>
      <c r="J28">
        <v>0</v>
      </c>
      <c r="K28">
        <v>1789</v>
      </c>
      <c r="L28" t="str">
        <f>DiscreteStatsTable[[#This Row],[ProjectName]]&amp;DiscreteStatsTable[[#This Row],[Name]]&amp;DiscreteStatsTable[[#This Row],[Type]]&amp;DiscreteStatsTable[[#This Row],[Source]]</f>
        <v>Unnamed ProjectTouristVA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2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1822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2</v>
      </c>
      <c r="Y28">
        <f>IF(DiscreteStatsTable[[#This Row],[RepsRequested]]=DiscreteStatsTable[[#This Row],[RepsWithStatObserved]],1,0)</f>
        <v>1</v>
      </c>
    </row>
    <row r="29" spans="1:25" x14ac:dyDescent="0.4">
      <c r="A29" t="s">
        <v>67</v>
      </c>
      <c r="B29" t="s">
        <v>69</v>
      </c>
      <c r="C29">
        <v>2</v>
      </c>
      <c r="D29" t="s">
        <v>80</v>
      </c>
      <c r="E29" t="s">
        <v>87</v>
      </c>
      <c r="F29" t="s">
        <v>82</v>
      </c>
      <c r="G29">
        <v>19148.752680940601</v>
      </c>
      <c r="H29">
        <v>3E+20</v>
      </c>
      <c r="I29">
        <v>0</v>
      </c>
      <c r="J29">
        <v>58180.081219518303</v>
      </c>
      <c r="K29">
        <v>1789</v>
      </c>
      <c r="L29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2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18226.876397790751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1303.7299424606172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11713.548795125744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17305.000114640901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19148.752680940601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58180.081219518303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1822</v>
      </c>
      <c r="W29">
        <f>IF((DiscreteStatsTable[[#This Row],[RepsRequested]]&gt;1),DiscreteStatsTable[[#This Row],[HalfWidth]],DiscreteStatsTable[[#This Row],[BatchMeansHalfWidth]])</f>
        <v>11713.548795125744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2</v>
      </c>
      <c r="Y29">
        <f>IF(DiscreteStatsTable[[#This Row],[RepsRequested]]=DiscreteStatsTable[[#This Row],[RepsWithStatObserved]],1,0)</f>
        <v>1</v>
      </c>
    </row>
  </sheetData>
  <phoneticPr fontId="2" type="noConversion"/>
  <conditionalFormatting sqref="H2:H29 Q2:Q29">
    <cfRule type="expression" dxfId="50" priority="23">
      <formula>H2=200000000000000000000</formula>
    </cfRule>
  </conditionalFormatting>
  <conditionalFormatting sqref="H2:H29">
    <cfRule type="expression" dxfId="49" priority="21">
      <formula>H2=300000000000000000000</formula>
    </cfRule>
  </conditionalFormatting>
  <conditionalFormatting sqref="L2:Y29">
    <cfRule type="expression" dxfId="48" priority="19">
      <formula>MOD(ROW(),2)=0</formula>
    </cfRule>
  </conditionalFormatting>
  <conditionalFormatting sqref="Y2:Y29">
    <cfRule type="expression" dxfId="47" priority="14">
      <formula>Y2=0</formula>
    </cfRule>
    <cfRule type="expression" dxfId="46" priority="16">
      <formula>Y2=1</formula>
    </cfRule>
  </conditionalFormatting>
  <conditionalFormatting sqref="Y3:Y29">
    <cfRule type="expression" dxfId="45" priority="15">
      <formula>Y3=1</formula>
    </cfRule>
  </conditionalFormatting>
  <conditionalFormatting sqref="W2:W29">
    <cfRule type="expression" dxfId="44" priority="6">
      <formula>W2=300000000000000000000</formula>
    </cfRule>
    <cfRule type="expression" dxfId="43" priority="7">
      <formula>W2=200000000000000000000</formula>
    </cfRule>
  </conditionalFormatting>
  <conditionalFormatting sqref="Q2:Q29 W2:W29">
    <cfRule type="expression" dxfId="4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9"/>
  <sheetViews>
    <sheetView workbookViewId="0">
      <selection activeCell="D2" sqref="D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4.4609375" bestFit="1" customWidth="1"/>
    <col min="6" max="6" width="8.69140625" bestFit="1" customWidth="1"/>
    <col min="7" max="7" width="11.84375" bestFit="1" customWidth="1"/>
    <col min="8" max="8" width="22.07421875" bestFit="1" customWidth="1"/>
    <col min="9" max="9" width="11.15234375" bestFit="1" customWidth="1"/>
    <col min="10" max="10" width="11.53515625" bestFit="1" customWidth="1"/>
    <col min="11" max="11" width="19.07421875" bestFit="1" customWidth="1"/>
    <col min="12" max="12" width="11.07421875" bestFit="1" customWidth="1"/>
    <col min="13" max="13" width="60.3828125" bestFit="1" customWidth="1"/>
    <col min="14" max="14" width="16" bestFit="1" customWidth="1"/>
    <col min="15" max="15" width="18.69140625" bestFit="1" customWidth="1"/>
    <col min="16" max="16" width="16.69140625" bestFit="1" customWidth="1"/>
    <col min="17" max="17" width="18.84375" bestFit="1" customWidth="1"/>
    <col min="18" max="18" width="11.84375" bestFit="1" customWidth="1"/>
    <col min="19" max="19" width="18" bestFit="1" customWidth="1"/>
    <col min="20" max="20" width="18.3828125" bestFit="1" customWidth="1"/>
    <col min="21" max="21" width="19.53515625" bestFit="1" customWidth="1"/>
    <col min="22" max="22" width="20" bestFit="1" customWidth="1"/>
  </cols>
  <sheetData>
    <row r="1" spans="1:21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">
      <c r="A2" t="s">
        <v>67</v>
      </c>
      <c r="B2" t="s">
        <v>69</v>
      </c>
      <c r="C2">
        <v>1</v>
      </c>
      <c r="D2" t="s">
        <v>70</v>
      </c>
      <c r="E2" t="s">
        <v>88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2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4">
      <c r="A3" t="s">
        <v>67</v>
      </c>
      <c r="B3" t="s">
        <v>69</v>
      </c>
      <c r="C3">
        <v>1</v>
      </c>
      <c r="D3" t="s">
        <v>73</v>
      </c>
      <c r="E3" t="s">
        <v>88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2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4">
      <c r="A4" t="s">
        <v>67</v>
      </c>
      <c r="B4" t="s">
        <v>69</v>
      </c>
      <c r="C4">
        <v>1</v>
      </c>
      <c r="D4" t="s">
        <v>74</v>
      </c>
      <c r="E4" t="s">
        <v>88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2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0.1300274102571535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0.18388652706591696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1.6521548960419734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0.26005482051430701</v>
      </c>
      <c r="U4">
        <f>IF((ContinuousStatsTable[[#This Row],[RepsRequested]]&gt;1),ContinuousStatsTable[[#This Row],[HalfWidth]],ContinuousStatsTable[[#This Row],[BatchMeansHalfWidth]])</f>
        <v>1.6521548960419734</v>
      </c>
    </row>
    <row r="5" spans="1:21" x14ac:dyDescent="0.4">
      <c r="A5" t="s">
        <v>67</v>
      </c>
      <c r="B5" t="s">
        <v>69</v>
      </c>
      <c r="C5">
        <v>1</v>
      </c>
      <c r="D5" t="s">
        <v>75</v>
      </c>
      <c r="E5" t="s">
        <v>88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2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4">
      <c r="A6" t="s">
        <v>67</v>
      </c>
      <c r="B6" t="s">
        <v>69</v>
      </c>
      <c r="C6">
        <v>1</v>
      </c>
      <c r="D6" t="s">
        <v>76</v>
      </c>
      <c r="E6" t="s">
        <v>88</v>
      </c>
      <c r="F6" t="s">
        <v>72</v>
      </c>
      <c r="G6">
        <v>5.7229066606049603E-3</v>
      </c>
      <c r="H6">
        <v>2E+20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2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2.2301402938543179E-2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2.3445534280012104E-2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0.21064976792539311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5.7229066606049603E-3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3.8879899216481398E-2</v>
      </c>
      <c r="U6">
        <f>IF((ContinuousStatsTable[[#This Row],[RepsRequested]]&gt;1),ContinuousStatsTable[[#This Row],[HalfWidth]],ContinuousStatsTable[[#This Row],[BatchMeansHalfWidth]])</f>
        <v>0.21064976792539311</v>
      </c>
    </row>
    <row r="7" spans="1:21" x14ac:dyDescent="0.4">
      <c r="A7" t="s">
        <v>67</v>
      </c>
      <c r="B7" t="s">
        <v>69</v>
      </c>
      <c r="C7">
        <v>1</v>
      </c>
      <c r="D7" t="s">
        <v>77</v>
      </c>
      <c r="E7" t="s">
        <v>88</v>
      </c>
      <c r="F7" t="s">
        <v>72</v>
      </c>
      <c r="G7">
        <v>0.49863415122990101</v>
      </c>
      <c r="H7">
        <v>2E+20</v>
      </c>
      <c r="I7">
        <v>0</v>
      </c>
      <c r="J7">
        <v>13</v>
      </c>
      <c r="K7">
        <v>11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2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24.801408209843199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34.369312676979952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308.79602284573576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0.49863415122990101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49.104182268456498</v>
      </c>
      <c r="U7">
        <f>IF((ContinuousStatsTable[[#This Row],[RepsRequested]]&gt;1),ContinuousStatsTable[[#This Row],[HalfWidth]],ContinuousStatsTable[[#This Row],[BatchMeansHalfWidth]])</f>
        <v>308.79602284573576</v>
      </c>
    </row>
    <row r="8" spans="1:21" x14ac:dyDescent="0.4">
      <c r="A8" t="s">
        <v>67</v>
      </c>
      <c r="B8" t="s">
        <v>69</v>
      </c>
      <c r="C8">
        <v>1</v>
      </c>
      <c r="D8" t="s">
        <v>78</v>
      </c>
      <c r="E8" t="s">
        <v>88</v>
      </c>
      <c r="F8" t="s">
        <v>72</v>
      </c>
      <c r="G8">
        <v>3.4297410783153799</v>
      </c>
      <c r="H8">
        <v>3E+20</v>
      </c>
      <c r="I8">
        <v>0</v>
      </c>
      <c r="J8">
        <v>31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2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1.7153113133139402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2.4245698254011541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21.783895599900159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8.8154831250052102E-4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3.4297410783153799</v>
      </c>
      <c r="U8">
        <f>IF((ContinuousStatsTable[[#This Row],[RepsRequested]]&gt;1),ContinuousStatsTable[[#This Row],[HalfWidth]],ContinuousStatsTable[[#This Row],[BatchMeansHalfWidth]])</f>
        <v>21.783895599900159</v>
      </c>
    </row>
    <row r="9" spans="1:21" x14ac:dyDescent="0.4">
      <c r="A9" t="s">
        <v>67</v>
      </c>
      <c r="B9" t="s">
        <v>69</v>
      </c>
      <c r="C9">
        <v>1</v>
      </c>
      <c r="D9" t="s">
        <v>79</v>
      </c>
      <c r="E9" t="s">
        <v>88</v>
      </c>
      <c r="F9" t="s">
        <v>72</v>
      </c>
      <c r="G9">
        <v>58.375950309538602</v>
      </c>
      <c r="H9">
        <v>3E+20</v>
      </c>
      <c r="I9">
        <v>0</v>
      </c>
      <c r="J9">
        <v>113</v>
      </c>
      <c r="K9">
        <v>45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2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39.828547849397651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26.229988105923447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235.66709298278116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21.2811453892567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58.375950309538602</v>
      </c>
      <c r="U9">
        <f>IF((ContinuousStatsTable[[#This Row],[RepsRequested]]&gt;1),ContinuousStatsTable[[#This Row],[HalfWidth]],ContinuousStatsTable[[#This Row],[BatchMeansHalfWidth]])</f>
        <v>235.66709298278116</v>
      </c>
    </row>
    <row r="10" spans="1:21" x14ac:dyDescent="0.4">
      <c r="A10" t="s">
        <v>67</v>
      </c>
      <c r="B10" t="s">
        <v>69</v>
      </c>
      <c r="C10">
        <v>1</v>
      </c>
      <c r="D10" t="s">
        <v>80</v>
      </c>
      <c r="E10" t="s">
        <v>89</v>
      </c>
      <c r="F10" t="s">
        <v>82</v>
      </c>
      <c r="G10">
        <v>62.811004837736597</v>
      </c>
      <c r="H10">
        <v>3E+20</v>
      </c>
      <c r="I10">
        <v>0</v>
      </c>
      <c r="J10">
        <v>116</v>
      </c>
      <c r="K10">
        <v>60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2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66.993137145311692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5.914428229011393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53.13902933381992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62.811004837736597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71.175269452886795</v>
      </c>
      <c r="U10">
        <f>IF((ContinuousStatsTable[[#This Row],[RepsRequested]]&gt;1),ContinuousStatsTable[[#This Row],[HalfWidth]],ContinuousStatsTable[[#This Row],[BatchMeansHalfWidth]])</f>
        <v>53.13902933381992</v>
      </c>
    </row>
    <row r="11" spans="1:21" x14ac:dyDescent="0.4">
      <c r="A11" t="s">
        <v>67</v>
      </c>
      <c r="B11" t="s">
        <v>69</v>
      </c>
      <c r="C11">
        <v>2</v>
      </c>
      <c r="D11" t="s">
        <v>70</v>
      </c>
      <c r="E11" t="s">
        <v>88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2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4">
      <c r="A12" t="s">
        <v>67</v>
      </c>
      <c r="B12" t="s">
        <v>69</v>
      </c>
      <c r="C12">
        <v>2</v>
      </c>
      <c r="D12" t="s">
        <v>73</v>
      </c>
      <c r="E12" t="s">
        <v>88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2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>
        <f>IF((ContinuousStatsTable[[#This Row],[RepsRequested]]&gt;1),ContinuousStatsTable[[#This Row],[HalfWidth]],ContinuousStatsTable[[#This Row],[BatchMeansHalfWidth]])</f>
        <v>0</v>
      </c>
    </row>
    <row r="13" spans="1:21" x14ac:dyDescent="0.4">
      <c r="A13" t="s">
        <v>67</v>
      </c>
      <c r="B13" t="s">
        <v>69</v>
      </c>
      <c r="C13">
        <v>2</v>
      </c>
      <c r="D13" t="s">
        <v>74</v>
      </c>
      <c r="E13" t="s">
        <v>88</v>
      </c>
      <c r="F13" t="s">
        <v>72</v>
      </c>
      <c r="G13">
        <v>0.26005482051430701</v>
      </c>
      <c r="H13">
        <v>2E+20</v>
      </c>
      <c r="I13">
        <v>0</v>
      </c>
      <c r="J13">
        <v>10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2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0.1300274102571535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0.18388652706591696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1.6521548960419734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0.26005482051430701</v>
      </c>
      <c r="U13">
        <f>IF((ContinuousStatsTable[[#This Row],[RepsRequested]]&gt;1),ContinuousStatsTable[[#This Row],[HalfWidth]],ContinuousStatsTable[[#This Row],[BatchMeansHalfWidth]])</f>
        <v>1.6521548960419734</v>
      </c>
    </row>
    <row r="14" spans="1:21" x14ac:dyDescent="0.4">
      <c r="A14" t="s">
        <v>67</v>
      </c>
      <c r="B14" t="s">
        <v>69</v>
      </c>
      <c r="C14">
        <v>2</v>
      </c>
      <c r="D14" t="s">
        <v>75</v>
      </c>
      <c r="E14" t="s">
        <v>88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2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4">
      <c r="A15" t="s">
        <v>67</v>
      </c>
      <c r="B15" t="s">
        <v>69</v>
      </c>
      <c r="C15">
        <v>2</v>
      </c>
      <c r="D15" t="s">
        <v>76</v>
      </c>
      <c r="E15" t="s">
        <v>88</v>
      </c>
      <c r="F15" t="s">
        <v>72</v>
      </c>
      <c r="G15">
        <v>3.8879899216481398E-2</v>
      </c>
      <c r="H15">
        <v>2E+20</v>
      </c>
      <c r="I15">
        <v>0</v>
      </c>
      <c r="J15">
        <v>6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2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2.2301402938543179E-2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2.3445534280012104E-2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0.21064976792539311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5.7229066606049603E-3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3.8879899216481398E-2</v>
      </c>
      <c r="U15">
        <f>IF((ContinuousStatsTable[[#This Row],[RepsRequested]]&gt;1),ContinuousStatsTable[[#This Row],[HalfWidth]],ContinuousStatsTable[[#This Row],[BatchMeansHalfWidth]])</f>
        <v>0.21064976792539311</v>
      </c>
    </row>
    <row r="16" spans="1:21" x14ac:dyDescent="0.4">
      <c r="A16" t="s">
        <v>67</v>
      </c>
      <c r="B16" t="s">
        <v>69</v>
      </c>
      <c r="C16">
        <v>2</v>
      </c>
      <c r="D16" t="s">
        <v>77</v>
      </c>
      <c r="E16" t="s">
        <v>88</v>
      </c>
      <c r="F16" t="s">
        <v>72</v>
      </c>
      <c r="G16">
        <v>49.104182268456498</v>
      </c>
      <c r="H16">
        <v>3E+20</v>
      </c>
      <c r="I16">
        <v>0</v>
      </c>
      <c r="J16">
        <v>143</v>
      </c>
      <c r="K16">
        <v>125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2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24.801408209843199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34.369312676979952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308.79602284573576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0.49863415122990101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49.104182268456498</v>
      </c>
      <c r="U16">
        <f>IF((ContinuousStatsTable[[#This Row],[RepsRequested]]&gt;1),ContinuousStatsTable[[#This Row],[HalfWidth]],ContinuousStatsTable[[#This Row],[BatchMeansHalfWidth]])</f>
        <v>308.79602284573576</v>
      </c>
    </row>
    <row r="17" spans="1:21" x14ac:dyDescent="0.4">
      <c r="A17" t="s">
        <v>67</v>
      </c>
      <c r="B17" t="s">
        <v>69</v>
      </c>
      <c r="C17">
        <v>2</v>
      </c>
      <c r="D17" t="s">
        <v>78</v>
      </c>
      <c r="E17" t="s">
        <v>88</v>
      </c>
      <c r="F17" t="s">
        <v>72</v>
      </c>
      <c r="G17">
        <v>8.8154831250052102E-4</v>
      </c>
      <c r="H17">
        <v>2E+20</v>
      </c>
      <c r="I17">
        <v>0</v>
      </c>
      <c r="J17">
        <v>1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2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1.7153113133139402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2.4245698254011541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21.783895599900159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8.8154831250052102E-4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3.4297410783153799</v>
      </c>
      <c r="U17">
        <f>IF((ContinuousStatsTable[[#This Row],[RepsRequested]]&gt;1),ContinuousStatsTable[[#This Row],[HalfWidth]],ContinuousStatsTable[[#This Row],[BatchMeansHalfWidth]])</f>
        <v>21.783895599900159</v>
      </c>
    </row>
    <row r="18" spans="1:21" x14ac:dyDescent="0.4">
      <c r="A18" t="s">
        <v>67</v>
      </c>
      <c r="B18" t="s">
        <v>69</v>
      </c>
      <c r="C18">
        <v>2</v>
      </c>
      <c r="D18" t="s">
        <v>79</v>
      </c>
      <c r="E18" t="s">
        <v>88</v>
      </c>
      <c r="F18" t="s">
        <v>72</v>
      </c>
      <c r="G18">
        <v>21.2811453892567</v>
      </c>
      <c r="H18">
        <v>3E+20</v>
      </c>
      <c r="I18">
        <v>0</v>
      </c>
      <c r="J18">
        <v>80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2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39.828547849397651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26.229988105923447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235.66709298278116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21.2811453892567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58.375950309538602</v>
      </c>
      <c r="U18">
        <f>IF((ContinuousStatsTable[[#This Row],[RepsRequested]]&gt;1),ContinuousStatsTable[[#This Row],[HalfWidth]],ContinuousStatsTable[[#This Row],[BatchMeansHalfWidth]])</f>
        <v>235.66709298278116</v>
      </c>
    </row>
    <row r="19" spans="1:21" x14ac:dyDescent="0.4">
      <c r="A19" t="s">
        <v>67</v>
      </c>
      <c r="B19" t="s">
        <v>69</v>
      </c>
      <c r="C19">
        <v>2</v>
      </c>
      <c r="D19" t="s">
        <v>80</v>
      </c>
      <c r="E19" t="s">
        <v>89</v>
      </c>
      <c r="F19" t="s">
        <v>82</v>
      </c>
      <c r="G19">
        <v>71.175269452886795</v>
      </c>
      <c r="H19">
        <v>3E+20</v>
      </c>
      <c r="I19">
        <v>0</v>
      </c>
      <c r="J19">
        <v>150</v>
      </c>
      <c r="K19">
        <v>125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2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66.993137145311692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5.914428229011393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53.13902933381992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62.811004837736597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71.175269452886795</v>
      </c>
      <c r="U19">
        <f>IF((ContinuousStatsTable[[#This Row],[RepsRequested]]&gt;1),ContinuousStatsTable[[#This Row],[HalfWidth]],ContinuousStatsTable[[#This Row],[BatchMeansHalfWidth]])</f>
        <v>53.13902933381992</v>
      </c>
    </row>
  </sheetData>
  <phoneticPr fontId="2" type="noConversion"/>
  <conditionalFormatting sqref="H2:H19">
    <cfRule type="expression" dxfId="27" priority="9">
      <formula>H2=200000000000000000000</formula>
    </cfRule>
  </conditionalFormatting>
  <conditionalFormatting sqref="H2:H19">
    <cfRule type="expression" dxfId="26" priority="7">
      <formula>H2=300000000000000000000</formula>
    </cfRule>
  </conditionalFormatting>
  <conditionalFormatting sqref="M2:U19">
    <cfRule type="expression" dxfId="25" priority="5">
      <formula>MOD(ROW(),2)=0</formula>
    </cfRule>
  </conditionalFormatting>
  <conditionalFormatting sqref="U2:U19">
    <cfRule type="expression" dxfId="24" priority="3">
      <formula>U2=200000000000000000000</formula>
    </cfRule>
    <cfRule type="expression" dxfId="23" priority="4">
      <formula>U2=300000000000000000000</formula>
    </cfRule>
  </conditionalFormatting>
  <conditionalFormatting sqref="R2:R19 U2:U19">
    <cfRule type="expression" dxfId="22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7.07421875" bestFit="1" customWidth="1"/>
    <col min="6" max="6" width="8.69140625" bestFit="1" customWidth="1"/>
    <col min="7" max="7" width="15.765625" bestFit="1" customWidth="1"/>
    <col min="8" max="8" width="13.3828125" bestFit="1" customWidth="1"/>
    <col min="9" max="9" width="16" bestFit="1" customWidth="1"/>
    <col min="10" max="10" width="9.84375" bestFit="1" customWidth="1"/>
    <col min="11" max="11" width="18.61328125" bestFit="1" customWidth="1"/>
    <col min="12" max="12" width="18.84375" bestFit="1" customWidth="1"/>
    <col min="13" max="13" width="11.53515625" bestFit="1" customWidth="1"/>
    <col min="14" max="14" width="11.15234375" bestFit="1" customWidth="1"/>
    <col min="15" max="15" width="11.53515625" bestFit="1" customWidth="1"/>
  </cols>
  <sheetData>
    <row r="1" spans="1:1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7"/>
  <sheetViews>
    <sheetView workbookViewId="0">
      <selection activeCell="H2" sqref="H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17.3046875" bestFit="1" customWidth="1"/>
    <col min="5" max="5" width="11.15234375" bestFit="1" customWidth="1"/>
    <col min="6" max="6" width="8.69140625" bestFit="1" customWidth="1"/>
    <col min="7" max="7" width="15.765625" bestFit="1" customWidth="1"/>
    <col min="8" max="8" width="11.07421875" bestFit="1" customWidth="1"/>
    <col min="9" max="9" width="48.3828125" bestFit="1" customWidth="1"/>
    <col min="10" max="10" width="16" bestFit="1" customWidth="1"/>
    <col min="11" max="11" width="9.84375" bestFit="1" customWidth="1"/>
    <col min="12" max="12" width="18.61328125" bestFit="1" customWidth="1"/>
    <col min="13" max="13" width="18.84375" bestFit="1" customWidth="1"/>
    <col min="14" max="14" width="11.84375" bestFit="1" customWidth="1"/>
    <col min="15" max="15" width="11.15234375" bestFit="1" customWidth="1"/>
    <col min="16" max="16" width="11.5351562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">
      <c r="A2" t="s">
        <v>67</v>
      </c>
      <c r="B2" t="s">
        <v>69</v>
      </c>
      <c r="C2">
        <v>1</v>
      </c>
      <c r="D2" t="s">
        <v>90</v>
      </c>
      <c r="E2" t="s">
        <v>91</v>
      </c>
      <c r="F2" t="s">
        <v>92</v>
      </c>
      <c r="G2">
        <v>1855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2</v>
      </c>
      <c r="K2" cm="1">
        <f t="array" ref="K2">IFERROR(AVERAGE(IF((OutputTable[GroupByKey]=OutputTable[[#This Row],[GroupByKey]]),(OutputTable[GroupByKey]=OutputTable[[#This Row],[GroupByKey]])*OutputTable[RecordedValue])),0)</f>
        <v>1822</v>
      </c>
      <c r="L2" cm="1">
        <f t="array" ref="L2">IFERROR(_xlfn.STDEV.S(IF((OutputTable[GroupByKey]=OutputTable[[#This Row],[GroupByKey]]),(OutputTable[GroupByKey]=OutputTable[[#This Row],[GroupByKey]])*OutputTable[RecordedValue])),0)</f>
        <v>46.669047558312137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419.30475629376491</v>
      </c>
      <c r="O2" cm="1">
        <f t="array" ref="O2">MIN(IF((OutputTable[GroupByKey]=OutputTable[[#This Row],[GroupByKey]]),(OutputTable[GroupByKey]=OutputTable[[#This Row],[GroupByKey]])*OutputTable[RecordedValue]))</f>
        <v>1789</v>
      </c>
      <c r="P2" cm="1">
        <f t="array" ref="P2">MAX(IF((OutputTable[GroupByKey]=OutputTable[[#This Row],[GroupByKey]]),(OutputTable[GroupByKey]=OutputTable[[#This Row],[GroupByKey]])*OutputTable[RecordedValue]))</f>
        <v>1855</v>
      </c>
    </row>
    <row r="3" spans="1:16" x14ac:dyDescent="0.4">
      <c r="A3" t="s">
        <v>67</v>
      </c>
      <c r="B3" t="s">
        <v>69</v>
      </c>
      <c r="C3">
        <v>1</v>
      </c>
      <c r="D3" t="s">
        <v>93</v>
      </c>
      <c r="E3" t="s">
        <v>94</v>
      </c>
      <c r="F3" t="s">
        <v>82</v>
      </c>
      <c r="G3">
        <v>1915</v>
      </c>
      <c r="H3">
        <v>0</v>
      </c>
      <c r="I3" t="str">
        <f>OutputTable[[#This Row],[ProjectName]]&amp;OutputTable[[#This Row],[Name]]&amp;OutputTable[[#This Row],[Type]]&amp;OutputTable[[#This Row],[Source]]</f>
        <v>Unnamed ProjectTourist.NumberInNumber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2</v>
      </c>
      <c r="K3" cm="1">
        <f t="array" ref="K3">IFERROR(AVERAGE(IF((OutputTable[GroupByKey]=OutputTable[[#This Row],[GroupByKey]]),(OutputTable[GroupByKey]=OutputTable[[#This Row],[GroupByKey]])*OutputTable[RecordedValue])),0)</f>
        <v>1914.5</v>
      </c>
      <c r="L3" cm="1">
        <f t="array" ref="L3">IFERROR(_xlfn.STDEV.S(IF((OutputTable[GroupByKey]=OutputTable[[#This Row],[GroupByKey]]),(OutputTable[GroupByKey]=OutputTable[[#This Row],[GroupByKey]])*OutputTable[RecordedValue])),0)</f>
        <v>0.70710678118654757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6.3531023680873471</v>
      </c>
      <c r="O3" cm="1">
        <f t="array" ref="O3">MIN(IF((OutputTable[GroupByKey]=OutputTable[[#This Row],[GroupByKey]]),(OutputTable[GroupByKey]=OutputTable[[#This Row],[GroupByKey]])*OutputTable[RecordedValue]))</f>
        <v>1914</v>
      </c>
      <c r="P3" cm="1">
        <f t="array" ref="P3">MAX(IF((OutputTable[GroupByKey]=OutputTable[[#This Row],[GroupByKey]]),(OutputTable[GroupByKey]=OutputTable[[#This Row],[GroupByKey]])*OutputTable[RecordedValue]))</f>
        <v>1915</v>
      </c>
    </row>
    <row r="4" spans="1:16" x14ac:dyDescent="0.4">
      <c r="A4" t="s">
        <v>67</v>
      </c>
      <c r="B4" t="s">
        <v>69</v>
      </c>
      <c r="C4">
        <v>1</v>
      </c>
      <c r="D4" t="s">
        <v>95</v>
      </c>
      <c r="E4" t="s">
        <v>91</v>
      </c>
      <c r="F4" t="s">
        <v>82</v>
      </c>
      <c r="G4">
        <v>1855</v>
      </c>
      <c r="H4">
        <v>0</v>
      </c>
      <c r="I4" t="str">
        <f>OutputTable[[#This Row],[ProjectName]]&amp;OutputTable[[#This Row],[Name]]&amp;OutputTable[[#This Row],[Type]]&amp;OutputTable[[#This Row],[Source]]</f>
        <v>Unnamed ProjectTourist.NumberOutNumber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2</v>
      </c>
      <c r="K4" cm="1">
        <f t="array" ref="K4">IFERROR(AVERAGE(IF((OutputTable[GroupByKey]=OutputTable[[#This Row],[GroupByKey]]),(OutputTable[GroupByKey]=OutputTable[[#This Row],[GroupByKey]])*OutputTable[RecordedValue])),0)</f>
        <v>1822</v>
      </c>
      <c r="L4" cm="1">
        <f t="array" ref="L4">IFERROR(_xlfn.STDEV.S(IF((OutputTable[GroupByKey]=OutputTable[[#This Row],[GroupByKey]]),(OutputTable[GroupByKey]=OutputTable[[#This Row],[GroupByKey]])*OutputTable[RecordedValue])),0)</f>
        <v>46.669047558312137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419.30475629376491</v>
      </c>
      <c r="O4" cm="1">
        <f t="array" ref="O4">MIN(IF((OutputTable[GroupByKey]=OutputTable[[#This Row],[GroupByKey]]),(OutputTable[GroupByKey]=OutputTable[[#This Row],[GroupByKey]])*OutputTable[RecordedValue]))</f>
        <v>1789</v>
      </c>
      <c r="P4" cm="1">
        <f t="array" ref="P4">MAX(IF((OutputTable[GroupByKey]=OutputTable[[#This Row],[GroupByKey]]),(OutputTable[GroupByKey]=OutputTable[[#This Row],[GroupByKey]])*OutputTable[RecordedValue]))</f>
        <v>1855</v>
      </c>
    </row>
    <row r="5" spans="1:16" x14ac:dyDescent="0.4">
      <c r="A5" t="s">
        <v>67</v>
      </c>
      <c r="B5" t="s">
        <v>69</v>
      </c>
      <c r="C5">
        <v>2</v>
      </c>
      <c r="D5" t="s">
        <v>90</v>
      </c>
      <c r="E5" t="s">
        <v>91</v>
      </c>
      <c r="F5" t="s">
        <v>92</v>
      </c>
      <c r="G5">
        <v>1789</v>
      </c>
      <c r="H5">
        <v>0</v>
      </c>
      <c r="I5" t="str">
        <f>OutputTable[[#This Row],[ProjectName]]&amp;OutputTable[[#This Row],[Name]]&amp;OutputTable[[#This Row],[Type]]&amp;OutputTable[[#This Row],[Source]]</f>
        <v>Unnamed ProjectSystem.NumberOutNumber OutSystem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2</v>
      </c>
      <c r="K5" cm="1">
        <f t="array" ref="K5">IFERROR(AVERAGE(IF((OutputTable[GroupByKey]=OutputTable[[#This Row],[GroupByKey]]),(OutputTable[GroupByKey]=OutputTable[[#This Row],[GroupByKey]])*OutputTable[RecordedValue])),0)</f>
        <v>1822</v>
      </c>
      <c r="L5" cm="1">
        <f t="array" ref="L5">IFERROR(_xlfn.STDEV.S(IF((OutputTable[GroupByKey]=OutputTable[[#This Row],[GroupByKey]]),(OutputTable[GroupByKey]=OutputTable[[#This Row],[GroupByKey]])*OutputTable[RecordedValue])),0)</f>
        <v>46.669047558312137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419.30475629376491</v>
      </c>
      <c r="O5" cm="1">
        <f t="array" ref="O5">MIN(IF((OutputTable[GroupByKey]=OutputTable[[#This Row],[GroupByKey]]),(OutputTable[GroupByKey]=OutputTable[[#This Row],[GroupByKey]])*OutputTable[RecordedValue]))</f>
        <v>1789</v>
      </c>
      <c r="P5" cm="1">
        <f t="array" ref="P5">MAX(IF((OutputTable[GroupByKey]=OutputTable[[#This Row],[GroupByKey]]),(OutputTable[GroupByKey]=OutputTable[[#This Row],[GroupByKey]])*OutputTable[RecordedValue]))</f>
        <v>1855</v>
      </c>
    </row>
    <row r="6" spans="1:16" x14ac:dyDescent="0.4">
      <c r="A6" t="s">
        <v>67</v>
      </c>
      <c r="B6" t="s">
        <v>69</v>
      </c>
      <c r="C6">
        <v>2</v>
      </c>
      <c r="D6" t="s">
        <v>93</v>
      </c>
      <c r="E6" t="s">
        <v>94</v>
      </c>
      <c r="F6" t="s">
        <v>82</v>
      </c>
      <c r="G6">
        <v>1914</v>
      </c>
      <c r="H6">
        <v>0</v>
      </c>
      <c r="I6" t="str">
        <f>OutputTable[[#This Row],[ProjectName]]&amp;OutputTable[[#This Row],[Name]]&amp;OutputTable[[#This Row],[Type]]&amp;OutputTable[[#This Row],[Source]]</f>
        <v>Unnamed ProjectTourist.NumberInNumber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2</v>
      </c>
      <c r="K6" cm="1">
        <f t="array" ref="K6">IFERROR(AVERAGE(IF((OutputTable[GroupByKey]=OutputTable[[#This Row],[GroupByKey]]),(OutputTable[GroupByKey]=OutputTable[[#This Row],[GroupByKey]])*OutputTable[RecordedValue])),0)</f>
        <v>1914.5</v>
      </c>
      <c r="L6" cm="1">
        <f t="array" ref="L6">IFERROR(_xlfn.STDEV.S(IF((OutputTable[GroupByKey]=OutputTable[[#This Row],[GroupByKey]]),(OutputTable[GroupByKey]=OutputTable[[#This Row],[GroupByKey]])*OutputTable[RecordedValue])),0)</f>
        <v>0.70710678118654757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6.3531023680873471</v>
      </c>
      <c r="O6" cm="1">
        <f t="array" ref="O6">MIN(IF((OutputTable[GroupByKey]=OutputTable[[#This Row],[GroupByKey]]),(OutputTable[GroupByKey]=OutputTable[[#This Row],[GroupByKey]])*OutputTable[RecordedValue]))</f>
        <v>1914</v>
      </c>
      <c r="P6" cm="1">
        <f t="array" ref="P6">MAX(IF((OutputTable[GroupByKey]=OutputTable[[#This Row],[GroupByKey]]),(OutputTable[GroupByKey]=OutputTable[[#This Row],[GroupByKey]])*OutputTable[RecordedValue]))</f>
        <v>1915</v>
      </c>
    </row>
    <row r="7" spans="1:16" x14ac:dyDescent="0.4">
      <c r="A7" t="s">
        <v>67</v>
      </c>
      <c r="B7" t="s">
        <v>69</v>
      </c>
      <c r="C7">
        <v>2</v>
      </c>
      <c r="D7" t="s">
        <v>95</v>
      </c>
      <c r="E7" t="s">
        <v>91</v>
      </c>
      <c r="F7" t="s">
        <v>82</v>
      </c>
      <c r="G7">
        <v>1789</v>
      </c>
      <c r="H7">
        <v>0</v>
      </c>
      <c r="I7" t="str">
        <f>OutputTable[[#This Row],[ProjectName]]&amp;OutputTable[[#This Row],[Name]]&amp;OutputTable[[#This Row],[Type]]&amp;OutputTable[[#This Row],[Source]]</f>
        <v>Unnamed ProjectTourist.NumberOutNumber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2</v>
      </c>
      <c r="K7" cm="1">
        <f t="array" ref="K7">IFERROR(AVERAGE(IF((OutputTable[GroupByKey]=OutputTable[[#This Row],[GroupByKey]]),(OutputTable[GroupByKey]=OutputTable[[#This Row],[GroupByKey]])*OutputTable[RecordedValue])),0)</f>
        <v>1822</v>
      </c>
      <c r="L7" cm="1">
        <f t="array" ref="L7">IFERROR(_xlfn.STDEV.S(IF((OutputTable[GroupByKey]=OutputTable[[#This Row],[GroupByKey]]),(OutputTable[GroupByKey]=OutputTable[[#This Row],[GroupByKey]])*OutputTable[RecordedValue])),0)</f>
        <v>46.669047558312137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419.30475629376491</v>
      </c>
      <c r="O7" cm="1">
        <f t="array" ref="O7">MIN(IF((OutputTable[GroupByKey]=OutputTable[[#This Row],[GroupByKey]]),(OutputTable[GroupByKey]=OutputTable[[#This Row],[GroupByKey]])*OutputTable[RecordedValue]))</f>
        <v>1789</v>
      </c>
      <c r="P7" cm="1">
        <f t="array" ref="P7">MAX(IF((OutputTable[GroupByKey]=OutputTable[[#This Row],[GroupByKey]]),(OutputTable[GroupByKey]=OutputTable[[#This Row],[GroupByKey]])*OutputTable[RecordedValue]))</f>
        <v>1855</v>
      </c>
    </row>
  </sheetData>
  <phoneticPr fontId="2" type="noConversion"/>
  <conditionalFormatting sqref="I2:P7">
    <cfRule type="expression" dxfId="10" priority="2">
      <formula>MOD(ROW(),2)=0</formula>
    </cfRule>
  </conditionalFormatting>
  <conditionalFormatting sqref="N2:N7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10.4609375" bestFit="1" customWidth="1"/>
    <col min="6" max="6" width="8.69140625" bestFit="1" customWidth="1"/>
    <col min="7" max="7" width="20.07421875" bestFit="1" customWidth="1"/>
    <col min="8" max="8" width="20.921875" bestFit="1" customWidth="1"/>
    <col min="9" max="9" width="23.07421875" bestFit="1" customWidth="1"/>
    <col min="10" max="10" width="24.3046875" bestFit="1" customWidth="1"/>
    <col min="11" max="11" width="13.3828125" bestFit="1" customWidth="1"/>
    <col min="12" max="12" width="28.07421875" bestFit="1" customWidth="1"/>
    <col min="13" max="13" width="28.921875" bestFit="1" customWidth="1"/>
    <col min="14" max="14" width="16" bestFit="1" customWidth="1"/>
    <col min="15" max="15" width="26.921875" bestFit="1" customWidth="1"/>
    <col min="16" max="16" width="27.84375" bestFit="1" customWidth="1"/>
    <col min="17" max="17" width="29.23046875" bestFit="1" customWidth="1"/>
    <col min="18" max="18" width="28.3046875" bestFit="1" customWidth="1"/>
    <col min="19" max="19" width="26.23046875" bestFit="1" customWidth="1"/>
    <col min="20" max="20" width="29.84375" bestFit="1" customWidth="1"/>
    <col min="21" max="21" width="31.84375" bestFit="1" customWidth="1"/>
    <col min="22" max="22" width="32.0742187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4">
      <c r="B17" s="3"/>
    </row>
    <row r="18" spans="2:2" x14ac:dyDescent="0.4">
      <c r="B18" s="3"/>
    </row>
    <row r="19" spans="2:2" x14ac:dyDescent="0.4">
      <c r="B19" s="3"/>
    </row>
    <row r="20" spans="2:2" x14ac:dyDescent="0.4">
      <c r="B20" s="3"/>
    </row>
    <row r="21" spans="2:2" x14ac:dyDescent="0.4">
      <c r="B21" s="3"/>
    </row>
    <row r="22" spans="2:2" x14ac:dyDescent="0.4">
      <c r="B22" s="3"/>
    </row>
    <row r="23" spans="2:2" x14ac:dyDescent="0.4">
      <c r="B23" s="3"/>
    </row>
    <row r="24" spans="2:2" x14ac:dyDescent="0.4">
      <c r="B24" s="3"/>
    </row>
    <row r="25" spans="2:2" x14ac:dyDescent="0.4">
      <c r="B25" s="3"/>
    </row>
    <row r="26" spans="2:2" x14ac:dyDescent="0.4">
      <c r="B26" s="3"/>
    </row>
    <row r="27" spans="2:2" x14ac:dyDescent="0.4">
      <c r="B27" s="3"/>
    </row>
    <row r="28" spans="2:2" x14ac:dyDescent="0.4">
      <c r="B28" s="3"/>
    </row>
    <row r="29" spans="2:2" x14ac:dyDescent="0.4">
      <c r="B29" s="3"/>
    </row>
    <row r="30" spans="2:2" x14ac:dyDescent="0.4">
      <c r="B30" s="3"/>
    </row>
    <row r="31" spans="2:2" x14ac:dyDescent="0.4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Du Zhiyuan</cp:lastModifiedBy>
  <cp:lastPrinted>2022-03-22T10:33:10Z</cp:lastPrinted>
  <dcterms:created xsi:type="dcterms:W3CDTF">2020-06-29T21:30:31Z</dcterms:created>
  <dcterms:modified xsi:type="dcterms:W3CDTF">2025-03-21T08:13:39Z</dcterms:modified>
</cp:coreProperties>
</file>