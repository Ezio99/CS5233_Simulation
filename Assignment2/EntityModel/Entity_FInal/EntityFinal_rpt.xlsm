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Arena_64\Model\Assignment 2\Entity_FInal\"/>
    </mc:Choice>
  </mc:AlternateContent>
  <xr:revisionPtr revIDLastSave="0" documentId="13_ncr:1_{E65F1DDA-6484-4156-B1E2-B19F0A9DB4AF}" xr6:coauthVersionLast="47" xr6:coauthVersionMax="47" xr10:uidLastSave="{00000000-0000-0000-0000-000000000000}"/>
  <bookViews>
    <workbookView xWindow="-110" yWindow="-110" windowWidth="25820" windowHeight="139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ContinuousTimeStatsByRep!$A$1:$L$35</definedName>
    <definedName name="ExternalData_1" localSheetId="4" hidden="1">CounterStatsByRep!$A$1:$G$2</definedName>
    <definedName name="ExternalData_1" localSheetId="2" hidden="1">DiscreteTimeStatsByRep!$A$1:$K$27</definedName>
    <definedName name="ExternalData_1" localSheetId="6" hidden="1">FrequencyStatsByRep!$A$1:$J$2</definedName>
    <definedName name="ExternalData_1" localSheetId="5" hidden="1">OutputStatsByRep!$A$1:$H$14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K5" i="20" s="1" a="1"/>
  <c r="K5" i="20" s="1"/>
  <c r="I6" i="20"/>
  <c r="I7" i="20"/>
  <c r="I8" i="20"/>
  <c r="I9" i="20"/>
  <c r="I10" i="20"/>
  <c r="I11" i="20"/>
  <c r="I12" i="20"/>
  <c r="I13" i="20"/>
  <c r="I14" i="20"/>
  <c r="P14" i="20" s="1" a="1"/>
  <c r="P14" i="20" s="1"/>
  <c r="J2" i="20" a="1"/>
  <c r="J2" i="20" s="1"/>
  <c r="J3" i="20" a="1"/>
  <c r="J3" i="20" s="1"/>
  <c r="J4" i="20" a="1"/>
  <c r="J4" i="20" s="1"/>
  <c r="J5" i="20" a="1"/>
  <c r="J5" i="20" s="1"/>
  <c r="J6" i="20" a="1"/>
  <c r="J6" i="20"/>
  <c r="J7" i="20" a="1"/>
  <c r="J7" i="20"/>
  <c r="J8" i="20" a="1"/>
  <c r="J8" i="20"/>
  <c r="J9" i="20" a="1"/>
  <c r="J9" i="20"/>
  <c r="J10" i="20" a="1"/>
  <c r="J10" i="20"/>
  <c r="J11" i="20" a="1"/>
  <c r="J11" i="20" s="1"/>
  <c r="J12" i="20" a="1"/>
  <c r="J12" i="20" s="1"/>
  <c r="J13" i="20" a="1"/>
  <c r="J13" i="20" s="1"/>
  <c r="J14" i="20" a="1"/>
  <c r="J14" i="20" s="1"/>
  <c r="M2" i="20" a="1"/>
  <c r="M2" i="20"/>
  <c r="M3" i="20" a="1"/>
  <c r="M3" i="20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/>
  <c r="M10" i="20" a="1"/>
  <c r="M10" i="20"/>
  <c r="M11" i="20" a="1"/>
  <c r="M11" i="20" s="1"/>
  <c r="M12" i="20" a="1"/>
  <c r="M12" i="20" s="1"/>
  <c r="M13" i="20" a="1"/>
  <c r="M13" i="20" s="1"/>
  <c r="M14" i="20" a="1"/>
  <c r="M14" i="20" s="1"/>
  <c r="P3" i="20" a="1"/>
  <c r="P3" i="20" s="1"/>
  <c r="P11" i="20" a="1"/>
  <c r="P11" i="20" s="1"/>
  <c r="M2" i="18"/>
  <c r="M3" i="18"/>
  <c r="M4" i="18"/>
  <c r="M5" i="18"/>
  <c r="M6" i="18"/>
  <c r="M7" i="18"/>
  <c r="M8" i="18"/>
  <c r="T4" i="18" s="1" a="1"/>
  <c r="T4" i="18" s="1"/>
  <c r="M9" i="18"/>
  <c r="M10" i="18"/>
  <c r="O8" i="18" s="1" a="1"/>
  <c r="O8" i="18" s="1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T24" i="18" s="1" a="1"/>
  <c r="T24" i="18" s="1"/>
  <c r="M25" i="18"/>
  <c r="M26" i="18"/>
  <c r="M27" i="18"/>
  <c r="M28" i="18"/>
  <c r="M29" i="18"/>
  <c r="M30" i="18"/>
  <c r="M31" i="18"/>
  <c r="M32" i="18"/>
  <c r="M33" i="18"/>
  <c r="M34" i="18"/>
  <c r="M35" i="18"/>
  <c r="N2" i="18" a="1"/>
  <c r="N2" i="18" s="1"/>
  <c r="N3" i="18" a="1"/>
  <c r="N3" i="18" s="1"/>
  <c r="N4" i="18" a="1"/>
  <c r="N4" i="18" s="1"/>
  <c r="U4" i="18" s="1"/>
  <c r="N5" i="18" a="1"/>
  <c r="N5" i="18"/>
  <c r="N6" i="18" a="1"/>
  <c r="N6" i="18" s="1"/>
  <c r="N7" i="18" a="1"/>
  <c r="N7" i="18" s="1"/>
  <c r="U7" i="18" s="1"/>
  <c r="N8" i="18" a="1"/>
  <c r="N8" i="18"/>
  <c r="U8" i="18" s="1"/>
  <c r="N9" i="18" a="1"/>
  <c r="N9" i="18"/>
  <c r="N10" i="18" a="1"/>
  <c r="N10" i="18" s="1"/>
  <c r="U10" i="18" s="1"/>
  <c r="N11" i="18" a="1"/>
  <c r="N11" i="18" s="1"/>
  <c r="U11" i="18" s="1"/>
  <c r="N12" i="18" a="1"/>
  <c r="N12" i="18"/>
  <c r="U12" i="18" s="1"/>
  <c r="N13" i="18" a="1"/>
  <c r="N13" i="18" s="1"/>
  <c r="U13" i="18" s="1"/>
  <c r="N14" i="18" a="1"/>
  <c r="N14" i="18"/>
  <c r="N15" i="18" a="1"/>
  <c r="N15" i="18" s="1"/>
  <c r="N16" i="18" a="1"/>
  <c r="N16" i="18" s="1"/>
  <c r="U16" i="18" s="1"/>
  <c r="N17" i="18" a="1"/>
  <c r="N17" i="18"/>
  <c r="U17" i="18" s="1"/>
  <c r="N18" i="18" a="1"/>
  <c r="N18" i="18" s="1"/>
  <c r="N19" i="18" a="1"/>
  <c r="N19" i="18" s="1"/>
  <c r="N20" i="18" a="1"/>
  <c r="N20" i="18"/>
  <c r="U20" i="18" s="1"/>
  <c r="N21" i="18" a="1"/>
  <c r="N21" i="18" s="1"/>
  <c r="N22" i="18" a="1"/>
  <c r="N22" i="18" s="1"/>
  <c r="N23" i="18" a="1"/>
  <c r="N23" i="18" s="1"/>
  <c r="N24" i="18" a="1"/>
  <c r="N24" i="18"/>
  <c r="N25" i="18" a="1"/>
  <c r="N25" i="18"/>
  <c r="N26" i="18" a="1"/>
  <c r="N26" i="18" s="1"/>
  <c r="N27" i="18" a="1"/>
  <c r="N27" i="18" s="1"/>
  <c r="U27" i="18" s="1"/>
  <c r="N28" i="18" a="1"/>
  <c r="N28" i="18"/>
  <c r="U28" i="18" s="1"/>
  <c r="N29" i="18" a="1"/>
  <c r="N29" i="18"/>
  <c r="U29" i="18" s="1"/>
  <c r="N30" i="18" a="1"/>
  <c r="N30" i="18" s="1"/>
  <c r="N31" i="18" a="1"/>
  <c r="N31" i="18" s="1"/>
  <c r="N32" i="18" a="1"/>
  <c r="N32" i="18"/>
  <c r="N33" i="18" a="1"/>
  <c r="N33" i="18" s="1"/>
  <c r="U33" i="18" s="1"/>
  <c r="N34" i="18" a="1"/>
  <c r="N34" i="18" s="1"/>
  <c r="N35" i="18" a="1"/>
  <c r="N35" i="18" s="1"/>
  <c r="Q2" i="18" a="1"/>
  <c r="Q2" i="18"/>
  <c r="Q3" i="18" a="1"/>
  <c r="Q3" i="18"/>
  <c r="Q4" i="18" a="1"/>
  <c r="Q4" i="18" s="1"/>
  <c r="Q5" i="18" a="1"/>
  <c r="Q5" i="18" s="1"/>
  <c r="Q6" i="18" a="1"/>
  <c r="Q6" i="18" s="1"/>
  <c r="Q7" i="18" a="1"/>
  <c r="Q7" i="18"/>
  <c r="Q8" i="18" a="1"/>
  <c r="Q8" i="18" s="1"/>
  <c r="Q9" i="18" a="1"/>
  <c r="Q9" i="18" s="1"/>
  <c r="Q10" i="18" a="1"/>
  <c r="Q10" i="18"/>
  <c r="Q11" i="18" a="1"/>
  <c r="Q11" i="18" s="1"/>
  <c r="Q12" i="18" a="1"/>
  <c r="Q12" i="18" s="1"/>
  <c r="Q13" i="18" a="1"/>
  <c r="Q13" i="18" s="1"/>
  <c r="Q14" i="18" a="1"/>
  <c r="Q14" i="18"/>
  <c r="Q15" i="18" a="1"/>
  <c r="Q15" i="18"/>
  <c r="Q16" i="18" a="1"/>
  <c r="Q16" i="18" s="1"/>
  <c r="Q17" i="18" a="1"/>
  <c r="Q17" i="18" s="1"/>
  <c r="Q18" i="18" a="1"/>
  <c r="Q18" i="18" s="1"/>
  <c r="Q19" i="18" a="1"/>
  <c r="Q19" i="18"/>
  <c r="Q20" i="18" a="1"/>
  <c r="Q20" i="18" s="1"/>
  <c r="Q21" i="18" a="1"/>
  <c r="Q21" i="18" s="1"/>
  <c r="Q22" i="18" a="1"/>
  <c r="Q22" i="18"/>
  <c r="Q23" i="18" a="1"/>
  <c r="Q23" i="18"/>
  <c r="Q24" i="18" a="1"/>
  <c r="Q24" i="18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/>
  <c r="Q31" i="18" a="1"/>
  <c r="Q31" i="18" s="1"/>
  <c r="Q32" i="18" a="1"/>
  <c r="Q32" i="18" s="1"/>
  <c r="Q33" i="18" a="1"/>
  <c r="Q33" i="18" s="1"/>
  <c r="Q34" i="18" a="1"/>
  <c r="Q34" i="18"/>
  <c r="Q35" i="18" a="1"/>
  <c r="Q35" i="18"/>
  <c r="U2" i="18"/>
  <c r="U24" i="18"/>
  <c r="U32" i="18"/>
  <c r="U34" i="18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U17" i="17" s="1" a="1"/>
  <c r="U17" i="17" s="1"/>
  <c r="L18" i="17"/>
  <c r="L19" i="17"/>
  <c r="L20" i="17"/>
  <c r="L21" i="17"/>
  <c r="L22" i="17"/>
  <c r="L23" i="17"/>
  <c r="L24" i="17"/>
  <c r="L25" i="17"/>
  <c r="L26" i="17"/>
  <c r="L27" i="17"/>
  <c r="M2" i="17" a="1"/>
  <c r="M2" i="17" s="1"/>
  <c r="W2" i="17" s="1"/>
  <c r="M3" i="17" a="1"/>
  <c r="M3" i="17"/>
  <c r="M4" i="17" a="1"/>
  <c r="M4" i="17"/>
  <c r="M5" i="17" a="1"/>
  <c r="M5" i="17" s="1"/>
  <c r="M6" i="17" a="1"/>
  <c r="M6" i="17" s="1"/>
  <c r="W6" i="17" s="1"/>
  <c r="M7" i="17" a="1"/>
  <c r="M7" i="17" s="1"/>
  <c r="M8" i="17" a="1"/>
  <c r="M8" i="17" s="1"/>
  <c r="W8" i="17" s="1"/>
  <c r="M9" i="17" a="1"/>
  <c r="M9" i="17"/>
  <c r="W9" i="17" s="1"/>
  <c r="M10" i="17" a="1"/>
  <c r="M10" i="17"/>
  <c r="W10" i="17" s="1"/>
  <c r="M11" i="17" a="1"/>
  <c r="M11" i="17"/>
  <c r="W11" i="17" s="1"/>
  <c r="M12" i="17" a="1"/>
  <c r="M12" i="17"/>
  <c r="M13" i="17" a="1"/>
  <c r="M13" i="17" s="1"/>
  <c r="M14" i="17" a="1"/>
  <c r="M14" i="17" s="1"/>
  <c r="W14" i="17" s="1"/>
  <c r="M15" i="17" a="1"/>
  <c r="M15" i="17" s="1"/>
  <c r="M16" i="17" a="1"/>
  <c r="M16" i="17" s="1"/>
  <c r="W16" i="17" s="1"/>
  <c r="M17" i="17" a="1"/>
  <c r="M17" i="17" s="1"/>
  <c r="M18" i="17" a="1"/>
  <c r="M18" i="17"/>
  <c r="M19" i="17" a="1"/>
  <c r="M19" i="17"/>
  <c r="M20" i="17" a="1"/>
  <c r="M20" i="17"/>
  <c r="M21" i="17" a="1"/>
  <c r="M21" i="17" s="1"/>
  <c r="M22" i="17" a="1"/>
  <c r="M22" i="17"/>
  <c r="W22" i="17" s="1"/>
  <c r="M23" i="17" a="1"/>
  <c r="M23" i="17" s="1"/>
  <c r="W23" i="17" s="1"/>
  <c r="M24" i="17" a="1"/>
  <c r="M24" i="17" s="1"/>
  <c r="W24" i="17" s="1"/>
  <c r="M25" i="17" a="1"/>
  <c r="M25" i="17"/>
  <c r="W25" i="17" s="1"/>
  <c r="M26" i="17" a="1"/>
  <c r="M26" i="17" s="1"/>
  <c r="W26" i="17" s="1"/>
  <c r="M27" i="17" a="1"/>
  <c r="M27" i="17" s="1"/>
  <c r="W27" i="17" s="1"/>
  <c r="P2" i="17" a="1"/>
  <c r="P2" i="17"/>
  <c r="P3" i="17" a="1"/>
  <c r="P3" i="17" s="1"/>
  <c r="P4" i="17" a="1"/>
  <c r="P4" i="17"/>
  <c r="P5" i="17" a="1"/>
  <c r="P5" i="17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/>
  <c r="P13" i="17" a="1"/>
  <c r="P13" i="17"/>
  <c r="P14" i="17" a="1"/>
  <c r="P14" i="17"/>
  <c r="P15" i="17" a="1"/>
  <c r="P15" i="17" s="1"/>
  <c r="P16" i="17" a="1"/>
  <c r="P16" i="17" s="1"/>
  <c r="P17" i="17" a="1"/>
  <c r="P17" i="17" s="1"/>
  <c r="P18" i="17" a="1"/>
  <c r="P18" i="17"/>
  <c r="P19" i="17" a="1"/>
  <c r="P19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26" i="17" a="1"/>
  <c r="P26" i="17"/>
  <c r="P27" i="17" a="1"/>
  <c r="P27" i="17" s="1"/>
  <c r="W7" i="17"/>
  <c r="G2" i="16"/>
  <c r="L11" i="20" l="1" a="1"/>
  <c r="L11" i="20" s="1"/>
  <c r="N11" i="20" s="1"/>
  <c r="L10" i="20" a="1"/>
  <c r="L10" i="20" s="1"/>
  <c r="P6" i="20" a="1"/>
  <c r="P6" i="20" s="1"/>
  <c r="N10" i="20"/>
  <c r="K14" i="20" a="1"/>
  <c r="K14" i="20" s="1"/>
  <c r="P12" i="20" a="1"/>
  <c r="P12" i="20" s="1"/>
  <c r="P4" i="20" a="1"/>
  <c r="P4" i="20" s="1"/>
  <c r="O9" i="20" a="1"/>
  <c r="O9" i="20" s="1"/>
  <c r="L9" i="20" a="1"/>
  <c r="L9" i="20" s="1"/>
  <c r="N9" i="20" s="1"/>
  <c r="O13" i="20" a="1"/>
  <c r="O13" i="20" s="1"/>
  <c r="L8" i="20" a="1"/>
  <c r="L8" i="20" s="1"/>
  <c r="N8" i="20" s="1"/>
  <c r="K13" i="20" a="1"/>
  <c r="K13" i="20" s="1"/>
  <c r="O8" i="20" a="1"/>
  <c r="O8" i="20" s="1"/>
  <c r="K6" i="20" a="1"/>
  <c r="K6" i="20" s="1"/>
  <c r="N12" i="20"/>
  <c r="P9" i="20" a="1"/>
  <c r="P9" i="20" s="1"/>
  <c r="K11" i="20" a="1"/>
  <c r="K11" i="20" s="1"/>
  <c r="K3" i="20" a="1"/>
  <c r="K3" i="20" s="1"/>
  <c r="K4" i="20" a="1"/>
  <c r="K4" i="20" s="1"/>
  <c r="K2" i="20" a="1"/>
  <c r="K2" i="20" s="1"/>
  <c r="O7" i="20" a="1"/>
  <c r="O7" i="20" s="1"/>
  <c r="L6" i="20" a="1"/>
  <c r="L6" i="20" s="1"/>
  <c r="N6" i="20" s="1"/>
  <c r="P7" i="20" a="1"/>
  <c r="P7" i="20" s="1"/>
  <c r="L12" i="20" a="1"/>
  <c r="L12" i="20" s="1"/>
  <c r="L4" i="20" a="1"/>
  <c r="L4" i="20" s="1"/>
  <c r="N4" i="20" s="1"/>
  <c r="K9" i="20" a="1"/>
  <c r="K9" i="20" s="1"/>
  <c r="L7" i="20" a="1"/>
  <c r="L7" i="20" s="1"/>
  <c r="N7" i="20" s="1"/>
  <c r="O14" i="20" a="1"/>
  <c r="O14" i="20" s="1"/>
  <c r="L5" i="20" a="1"/>
  <c r="L5" i="20" s="1"/>
  <c r="N5" i="20" s="1"/>
  <c r="O11" i="20" a="1"/>
  <c r="O11" i="20" s="1"/>
  <c r="O3" i="20" a="1"/>
  <c r="O3" i="20" s="1"/>
  <c r="P10" i="20" a="1"/>
  <c r="P10" i="20" s="1"/>
  <c r="O5" i="20" a="1"/>
  <c r="O5" i="20" s="1"/>
  <c r="O12" i="20" a="1"/>
  <c r="O12" i="20" s="1"/>
  <c r="L3" i="20" a="1"/>
  <c r="L3" i="20" s="1"/>
  <c r="N3" i="20" s="1"/>
  <c r="K8" i="20" a="1"/>
  <c r="K8" i="20" s="1"/>
  <c r="P2" i="20" a="1"/>
  <c r="P2" i="20" s="1"/>
  <c r="P8" i="20" a="1"/>
  <c r="P8" i="20" s="1"/>
  <c r="L13" i="20" a="1"/>
  <c r="L13" i="20" s="1"/>
  <c r="N13" i="20" s="1"/>
  <c r="P13" i="20" a="1"/>
  <c r="P13" i="20" s="1"/>
  <c r="P5" i="20" a="1"/>
  <c r="P5" i="20" s="1"/>
  <c r="O10" i="20" a="1"/>
  <c r="O10" i="20" s="1"/>
  <c r="O2" i="20" a="1"/>
  <c r="O2" i="20" s="1"/>
  <c r="K12" i="20" a="1"/>
  <c r="K12" i="20" s="1"/>
  <c r="L14" i="20" a="1"/>
  <c r="L14" i="20" s="1"/>
  <c r="N14" i="20" s="1"/>
  <c r="O4" i="20" a="1"/>
  <c r="O4" i="20" s="1"/>
  <c r="L2" i="20" a="1"/>
  <c r="L2" i="20" s="1"/>
  <c r="N2" i="20" s="1"/>
  <c r="K7" i="20" a="1"/>
  <c r="K7" i="20" s="1"/>
  <c r="O6" i="20" a="1"/>
  <c r="O6" i="20" s="1"/>
  <c r="K10" i="20" a="1"/>
  <c r="K10" i="20" s="1"/>
  <c r="O30" i="18" a="1"/>
  <c r="O30" i="18" s="1"/>
  <c r="O4" i="18" a="1"/>
  <c r="O4" i="18" s="1"/>
  <c r="S14" i="18" a="1"/>
  <c r="S14" i="18" s="1"/>
  <c r="P2" i="18" a="1"/>
  <c r="P2" i="18" s="1"/>
  <c r="R2" i="18" s="1"/>
  <c r="P22" i="18" a="1"/>
  <c r="P22" i="18" s="1"/>
  <c r="O28" i="18" a="1"/>
  <c r="O28" i="18" s="1"/>
  <c r="O24" i="18" a="1"/>
  <c r="O24" i="18" s="1"/>
  <c r="S29" i="18" a="1"/>
  <c r="S29" i="18" s="1"/>
  <c r="T15" i="18" a="1"/>
  <c r="T15" i="18" s="1"/>
  <c r="U30" i="18"/>
  <c r="R30" i="18"/>
  <c r="S13" i="18" a="1"/>
  <c r="S13" i="18" s="1"/>
  <c r="S9" i="18" a="1"/>
  <c r="S9" i="18" s="1"/>
  <c r="S33" i="18" a="1"/>
  <c r="S33" i="18" s="1"/>
  <c r="T28" i="18" a="1"/>
  <c r="T28" i="18" s="1"/>
  <c r="T7" i="18" a="1"/>
  <c r="T7" i="18" s="1"/>
  <c r="S17" i="18" a="1"/>
  <c r="S17" i="18" s="1"/>
  <c r="P30" i="18" a="1"/>
  <c r="P30" i="18" s="1"/>
  <c r="O13" i="18" a="1"/>
  <c r="O13" i="18" s="1"/>
  <c r="O33" i="18" a="1"/>
  <c r="O33" i="18" s="1"/>
  <c r="O17" i="18" a="1"/>
  <c r="O17" i="18" s="1"/>
  <c r="U18" i="18"/>
  <c r="P3" i="18" a="1"/>
  <c r="P3" i="18" s="1"/>
  <c r="R3" i="18" s="1"/>
  <c r="U9" i="18"/>
  <c r="T27" i="18" a="1"/>
  <c r="T27" i="18" s="1"/>
  <c r="T6" i="18" a="1"/>
  <c r="T6" i="18" s="1"/>
  <c r="P27" i="18" a="1"/>
  <c r="P27" i="18" s="1"/>
  <c r="R27" i="18" s="1"/>
  <c r="O12" i="18" a="1"/>
  <c r="O12" i="18" s="1"/>
  <c r="U19" i="18"/>
  <c r="O14" i="18" a="1"/>
  <c r="O14" i="18" s="1"/>
  <c r="T3" i="18" a="1"/>
  <c r="T3" i="18" s="1"/>
  <c r="T22" i="18" a="1"/>
  <c r="T22" i="18" s="1"/>
  <c r="O29" i="18" a="1"/>
  <c r="O29" i="18" s="1"/>
  <c r="T20" i="18" a="1"/>
  <c r="T20" i="18" s="1"/>
  <c r="O26" i="18" a="1"/>
  <c r="O26" i="18" s="1"/>
  <c r="S30" i="18" a="1"/>
  <c r="S30" i="18" s="1"/>
  <c r="O25" i="18" a="1"/>
  <c r="O25" i="18" s="1"/>
  <c r="T23" i="18" a="1"/>
  <c r="T23" i="18" s="1"/>
  <c r="O5" i="18" a="1"/>
  <c r="O5" i="18" s="1"/>
  <c r="S12" i="18" a="1"/>
  <c r="S12" i="18" s="1"/>
  <c r="P12" i="18" a="1"/>
  <c r="P12" i="18" s="1"/>
  <c r="R12" i="18" s="1"/>
  <c r="S6" i="18" a="1"/>
  <c r="S6" i="18" s="1"/>
  <c r="P19" i="18" a="1"/>
  <c r="P19" i="18" s="1"/>
  <c r="R19" i="18" s="1"/>
  <c r="U25" i="18"/>
  <c r="O10" i="18" a="1"/>
  <c r="O10" i="18" s="1"/>
  <c r="U35" i="18"/>
  <c r="U15" i="18"/>
  <c r="O9" i="18" a="1"/>
  <c r="O9" i="18" s="1"/>
  <c r="T19" i="18" a="1"/>
  <c r="T19" i="18" s="1"/>
  <c r="S5" i="18" a="1"/>
  <c r="S5" i="18" s="1"/>
  <c r="P18" i="18" a="1"/>
  <c r="P18" i="18" s="1"/>
  <c r="R18" i="18" s="1"/>
  <c r="U14" i="18"/>
  <c r="P14" i="18" a="1"/>
  <c r="P14" i="18" s="1"/>
  <c r="R14" i="18" s="1"/>
  <c r="O32" i="18" a="1"/>
  <c r="O32" i="18" s="1"/>
  <c r="S28" i="18" a="1"/>
  <c r="S28" i="18" s="1"/>
  <c r="P28" i="18" a="1"/>
  <c r="P28" i="18" s="1"/>
  <c r="R28" i="18" s="1"/>
  <c r="S11" i="18" a="1"/>
  <c r="S11" i="18" s="1"/>
  <c r="U6" i="18"/>
  <c r="S25" i="18" a="1"/>
  <c r="S25" i="18" s="1"/>
  <c r="O21" i="18" a="1"/>
  <c r="O21" i="18" s="1"/>
  <c r="U26" i="18"/>
  <c r="P11" i="18" a="1"/>
  <c r="P11" i="18" s="1"/>
  <c r="R11" i="18" s="1"/>
  <c r="R22" i="18"/>
  <c r="U3" i="18"/>
  <c r="S22" i="18" a="1"/>
  <c r="S22" i="18" s="1"/>
  <c r="O20" i="18" a="1"/>
  <c r="O20" i="18" s="1"/>
  <c r="S20" i="18" a="1"/>
  <c r="S20" i="18" s="1"/>
  <c r="P20" i="18" a="1"/>
  <c r="P20" i="18" s="1"/>
  <c r="R20" i="18" s="1"/>
  <c r="S4" i="18" a="1"/>
  <c r="S4" i="18" s="1"/>
  <c r="P4" i="18" a="1"/>
  <c r="P4" i="18" s="1"/>
  <c r="R4" i="18" s="1"/>
  <c r="U23" i="18"/>
  <c r="P10" i="18" a="1"/>
  <c r="P10" i="18" s="1"/>
  <c r="R10" i="18" s="1"/>
  <c r="O16" i="18" a="1"/>
  <c r="O16" i="18" s="1"/>
  <c r="U31" i="18"/>
  <c r="S35" i="18" a="1"/>
  <c r="S35" i="18" s="1"/>
  <c r="O35" i="18" a="1"/>
  <c r="O35" i="18" s="1"/>
  <c r="S19" i="18" a="1"/>
  <c r="S19" i="18" s="1"/>
  <c r="O19" i="18" a="1"/>
  <c r="O19" i="18" s="1"/>
  <c r="S18" i="18" a="1"/>
  <c r="S18" i="18" s="1"/>
  <c r="S26" i="18" a="1"/>
  <c r="S26" i="18" s="1"/>
  <c r="S34" i="18" a="1"/>
  <c r="S34" i="18" s="1"/>
  <c r="T8" i="18" a="1"/>
  <c r="T8" i="18" s="1"/>
  <c r="T16" i="18" a="1"/>
  <c r="T16" i="18" s="1"/>
  <c r="T10" i="18" a="1"/>
  <c r="T10" i="18" s="1"/>
  <c r="T26" i="18" a="1"/>
  <c r="T26" i="18" s="1"/>
  <c r="S3" i="18" a="1"/>
  <c r="S3" i="18" s="1"/>
  <c r="O3" i="18" a="1"/>
  <c r="O3" i="18" s="1"/>
  <c r="P33" i="18" a="1"/>
  <c r="P33" i="18" s="1"/>
  <c r="R33" i="18" s="1"/>
  <c r="T2" i="18" a="1"/>
  <c r="T2" i="18" s="1"/>
  <c r="T18" i="18" a="1"/>
  <c r="T18" i="18" s="1"/>
  <c r="T34" i="18" a="1"/>
  <c r="T34" i="18" s="1"/>
  <c r="O7" i="18" a="1"/>
  <c r="O7" i="18" s="1"/>
  <c r="O23" i="18" a="1"/>
  <c r="O23" i="18" s="1"/>
  <c r="P21" i="18" a="1"/>
  <c r="P21" i="18" s="1"/>
  <c r="R21" i="18" s="1"/>
  <c r="S8" i="18" a="1"/>
  <c r="S8" i="18" s="1"/>
  <c r="S24" i="18" a="1"/>
  <c r="S24" i="18" s="1"/>
  <c r="O15" i="18" a="1"/>
  <c r="O15" i="18" s="1"/>
  <c r="O31" i="18" a="1"/>
  <c r="O31" i="18" s="1"/>
  <c r="P5" i="18" a="1"/>
  <c r="P5" i="18" s="1"/>
  <c r="R5" i="18" s="1"/>
  <c r="S16" i="18" a="1"/>
  <c r="S16" i="18" s="1"/>
  <c r="S32" i="18" a="1"/>
  <c r="S32" i="18" s="1"/>
  <c r="P26" i="18" a="1"/>
  <c r="P26" i="18" s="1"/>
  <c r="R26" i="18" s="1"/>
  <c r="T29" i="18" a="1"/>
  <c r="T29" i="18" s="1"/>
  <c r="P29" i="18" a="1"/>
  <c r="P29" i="18" s="1"/>
  <c r="R29" i="18" s="1"/>
  <c r="P13" i="18" a="1"/>
  <c r="P13" i="18" s="1"/>
  <c r="R13" i="18" s="1"/>
  <c r="T13" i="18" a="1"/>
  <c r="T13" i="18" s="1"/>
  <c r="S27" i="18" a="1"/>
  <c r="S27" i="18" s="1"/>
  <c r="T35" i="18" a="1"/>
  <c r="T35" i="18" s="1"/>
  <c r="T32" i="18" a="1"/>
  <c r="T32" i="18" s="1"/>
  <c r="T14" i="18" a="1"/>
  <c r="T14" i="18" s="1"/>
  <c r="T31" i="18" a="1"/>
  <c r="T31" i="18" s="1"/>
  <c r="T12" i="18" a="1"/>
  <c r="T12" i="18" s="1"/>
  <c r="P35" i="18" a="1"/>
  <c r="P35" i="18" s="1"/>
  <c r="R35" i="18" s="1"/>
  <c r="U22" i="18"/>
  <c r="T30" i="18" a="1"/>
  <c r="T30" i="18" s="1"/>
  <c r="T11" i="18" a="1"/>
  <c r="T11" i="18" s="1"/>
  <c r="S21" i="18" a="1"/>
  <c r="S21" i="18" s="1"/>
  <c r="P34" i="18" a="1"/>
  <c r="P34" i="18" s="1"/>
  <c r="R34" i="18" s="1"/>
  <c r="P6" i="18" a="1"/>
  <c r="P6" i="18" s="1"/>
  <c r="R6" i="18" s="1"/>
  <c r="O34" i="18" a="1"/>
  <c r="O34" i="18" s="1"/>
  <c r="O18" i="18" a="1"/>
  <c r="O18" i="18" s="1"/>
  <c r="P7" i="18" a="1"/>
  <c r="P7" i="18" s="1"/>
  <c r="R7" i="18" s="1"/>
  <c r="U21" i="18"/>
  <c r="T21" i="18" a="1"/>
  <c r="T21" i="18" s="1"/>
  <c r="S31" i="18" a="1"/>
  <c r="S31" i="18" s="1"/>
  <c r="S15" i="18" a="1"/>
  <c r="S15" i="18" s="1"/>
  <c r="O6" i="18" a="1"/>
  <c r="O6" i="18" s="1"/>
  <c r="U5" i="18"/>
  <c r="T5" i="18" a="1"/>
  <c r="T5" i="18" s="1"/>
  <c r="S23" i="18" a="1"/>
  <c r="S23" i="18" s="1"/>
  <c r="S7" i="18" a="1"/>
  <c r="S7" i="18" s="1"/>
  <c r="O22" i="18" a="1"/>
  <c r="O22" i="18" s="1"/>
  <c r="P17" i="18" a="1"/>
  <c r="P17" i="18" s="1"/>
  <c r="R17" i="18" s="1"/>
  <c r="T17" i="18" a="1"/>
  <c r="T17" i="18" s="1"/>
  <c r="P24" i="18" a="1"/>
  <c r="P24" i="18" s="1"/>
  <c r="R24" i="18" s="1"/>
  <c r="P16" i="18" a="1"/>
  <c r="P16" i="18" s="1"/>
  <c r="R16" i="18" s="1"/>
  <c r="O2" i="18" a="1"/>
  <c r="O2" i="18" s="1"/>
  <c r="P25" i="18" a="1"/>
  <c r="P25" i="18" s="1"/>
  <c r="R25" i="18" s="1"/>
  <c r="P9" i="18" a="1"/>
  <c r="P9" i="18" s="1"/>
  <c r="R9" i="18" s="1"/>
  <c r="O27" i="18" a="1"/>
  <c r="O27" i="18" s="1"/>
  <c r="O11" i="18" a="1"/>
  <c r="O11" i="18" s="1"/>
  <c r="T33" i="18" a="1"/>
  <c r="T33" i="18" s="1"/>
  <c r="T25" i="18" a="1"/>
  <c r="T25" i="18" s="1"/>
  <c r="T9" i="18" a="1"/>
  <c r="T9" i="18" s="1"/>
  <c r="P32" i="18" a="1"/>
  <c r="P32" i="18" s="1"/>
  <c r="R32" i="18" s="1"/>
  <c r="P8" i="18" a="1"/>
  <c r="P8" i="18" s="1"/>
  <c r="R8" i="18" s="1"/>
  <c r="S10" i="18" a="1"/>
  <c r="S10" i="18" s="1"/>
  <c r="S2" i="18" a="1"/>
  <c r="S2" i="18" s="1"/>
  <c r="P31" i="18" a="1"/>
  <c r="P31" i="18" s="1"/>
  <c r="R31" i="18" s="1"/>
  <c r="P23" i="18" a="1"/>
  <c r="P23" i="18" s="1"/>
  <c r="R23" i="18" s="1"/>
  <c r="P15" i="18" a="1"/>
  <c r="P15" i="18" s="1"/>
  <c r="R15" i="18" s="1"/>
  <c r="X26" i="17" a="1"/>
  <c r="X26" i="17" s="1"/>
  <c r="Y26" i="17" s="1"/>
  <c r="R23" i="17" a="1"/>
  <c r="R23" i="17" s="1"/>
  <c r="R6" i="17" a="1"/>
  <c r="R6" i="17" s="1"/>
  <c r="R22" i="17" a="1"/>
  <c r="R22" i="17" s="1"/>
  <c r="T27" i="17" a="1"/>
  <c r="T27" i="17" s="1"/>
  <c r="V14" i="17" a="1"/>
  <c r="V14" i="17" s="1"/>
  <c r="N9" i="17" a="1"/>
  <c r="N9" i="17" s="1"/>
  <c r="T19" i="17" a="1"/>
  <c r="T19" i="17" s="1"/>
  <c r="O25" i="17" a="1"/>
  <c r="O25" i="17" s="1"/>
  <c r="T18" i="17" a="1"/>
  <c r="T18" i="17" s="1"/>
  <c r="O7" i="17" a="1"/>
  <c r="O7" i="17" s="1"/>
  <c r="U8" i="17" a="1"/>
  <c r="U8" i="17" s="1"/>
  <c r="S15" i="17" a="1"/>
  <c r="S15" i="17" s="1"/>
  <c r="U15" i="17" a="1"/>
  <c r="U15" i="17" s="1"/>
  <c r="T15" i="17" a="1"/>
  <c r="T15" i="17" s="1"/>
  <c r="N15" i="17" a="1"/>
  <c r="N15" i="17" s="1"/>
  <c r="X23" i="17" a="1"/>
  <c r="X23" i="17" s="1"/>
  <c r="Y23" i="17" s="1"/>
  <c r="T26" i="17" a="1"/>
  <c r="T26" i="17" s="1"/>
  <c r="R14" i="17" a="1"/>
  <c r="R14" i="17" s="1"/>
  <c r="U25" i="17" a="1"/>
  <c r="U25" i="17" s="1"/>
  <c r="R24" i="17" a="1"/>
  <c r="R24" i="17" s="1"/>
  <c r="N19" i="17" a="1"/>
  <c r="N19" i="17" s="1"/>
  <c r="X15" i="17" a="1"/>
  <c r="X15" i="17" s="1"/>
  <c r="U24" i="17" a="1"/>
  <c r="U24" i="17" s="1"/>
  <c r="S12" i="17" a="1"/>
  <c r="S12" i="17" s="1"/>
  <c r="T2" i="17" a="1"/>
  <c r="T2" i="17" s="1"/>
  <c r="N17" i="17" a="1"/>
  <c r="N17" i="17" s="1"/>
  <c r="Y13" i="17"/>
  <c r="W13" i="17"/>
  <c r="V7" i="17" a="1"/>
  <c r="V7" i="17" s="1"/>
  <c r="O16" i="17" a="1"/>
  <c r="O16" i="17" s="1"/>
  <c r="S14" i="17" a="1"/>
  <c r="S14" i="17" s="1"/>
  <c r="X18" i="17" a="1"/>
  <c r="X18" i="17" s="1"/>
  <c r="Y18" i="17" s="1"/>
  <c r="T14" i="17" a="1"/>
  <c r="T14" i="17" s="1"/>
  <c r="X14" i="17" a="1"/>
  <c r="X14" i="17" s="1"/>
  <c r="Y14" i="17" s="1"/>
  <c r="O14" i="17" a="1"/>
  <c r="O14" i="17" s="1"/>
  <c r="N14" i="17" a="1"/>
  <c r="N14" i="17" s="1"/>
  <c r="U14" i="17" a="1"/>
  <c r="U14" i="17" s="1"/>
  <c r="V6" i="17" a="1"/>
  <c r="V6" i="17" s="1"/>
  <c r="O15" i="17" a="1"/>
  <c r="O15" i="17" s="1"/>
  <c r="N11" i="17" a="1"/>
  <c r="N11" i="17" s="1"/>
  <c r="N2" i="17" a="1"/>
  <c r="N2" i="17" s="1"/>
  <c r="T11" i="17" a="1"/>
  <c r="T11" i="17" s="1"/>
  <c r="N3" i="17" a="1"/>
  <c r="N3" i="17" s="1"/>
  <c r="X8" i="17" a="1"/>
  <c r="X8" i="17" s="1"/>
  <c r="Y8" i="17" s="1"/>
  <c r="Q8" i="17" s="1"/>
  <c r="W4" i="17"/>
  <c r="W12" i="17"/>
  <c r="W3" i="17"/>
  <c r="V24" i="17" a="1"/>
  <c r="V24" i="17" s="1"/>
  <c r="W19" i="17"/>
  <c r="O8" i="17" a="1"/>
  <c r="O8" i="17" s="1"/>
  <c r="S5" i="17" a="1"/>
  <c r="S5" i="17" s="1"/>
  <c r="T10" i="17" a="1"/>
  <c r="T10" i="17" s="1"/>
  <c r="N25" i="17" a="1"/>
  <c r="N25" i="17" s="1"/>
  <c r="O23" i="17" a="1"/>
  <c r="O23" i="17" s="1"/>
  <c r="R16" i="17" a="1"/>
  <c r="R16" i="17" s="1"/>
  <c r="V16" i="17" a="1"/>
  <c r="V16" i="17" s="1"/>
  <c r="S16" i="17" a="1"/>
  <c r="S16" i="17" s="1"/>
  <c r="T16" i="17" a="1"/>
  <c r="T16" i="17" s="1"/>
  <c r="N16" i="17" a="1"/>
  <c r="N16" i="17" s="1"/>
  <c r="N10" i="17" a="1"/>
  <c r="N10" i="17" s="1"/>
  <c r="W21" i="17"/>
  <c r="S20" i="17" a="1"/>
  <c r="S20" i="17" s="1"/>
  <c r="N27" i="17" a="1"/>
  <c r="N27" i="17" s="1"/>
  <c r="X16" i="17" a="1"/>
  <c r="X16" i="17" s="1"/>
  <c r="Y16" i="17" s="1"/>
  <c r="O26" i="17" a="1"/>
  <c r="O26" i="17" s="1"/>
  <c r="Q26" i="17" s="1"/>
  <c r="V23" i="17" a="1"/>
  <c r="V23" i="17" s="1"/>
  <c r="N22" i="17" a="1"/>
  <c r="N22" i="17" s="1"/>
  <c r="V22" i="17" a="1"/>
  <c r="V22" i="17" s="1"/>
  <c r="U16" i="17" a="1"/>
  <c r="U16" i="17" s="1"/>
  <c r="S4" i="17" a="1"/>
  <c r="S4" i="17" s="1"/>
  <c r="X7" i="17" a="1"/>
  <c r="X7" i="17" s="1"/>
  <c r="Y7" i="17" s="1"/>
  <c r="Y15" i="17"/>
  <c r="Q15" i="17" s="1"/>
  <c r="W15" i="17"/>
  <c r="O17" i="17" a="1"/>
  <c r="O17" i="17" s="1"/>
  <c r="X17" i="17" a="1"/>
  <c r="X17" i="17" s="1"/>
  <c r="Y17" i="17" s="1"/>
  <c r="Q17" i="17" s="1"/>
  <c r="R17" i="17" a="1"/>
  <c r="R17" i="17" s="1"/>
  <c r="V17" i="17" a="1"/>
  <c r="V17" i="17" s="1"/>
  <c r="T17" i="17" a="1"/>
  <c r="T17" i="17" s="1"/>
  <c r="S17" i="17" a="1"/>
  <c r="S17" i="17" s="1"/>
  <c r="X24" i="17" a="1"/>
  <c r="X24" i="17" s="1"/>
  <c r="Y24" i="17" s="1"/>
  <c r="S21" i="17" a="1"/>
  <c r="S21" i="17" s="1"/>
  <c r="R15" i="17" a="1"/>
  <c r="R15" i="17" s="1"/>
  <c r="W20" i="17"/>
  <c r="T12" i="17" a="1"/>
  <c r="T12" i="17" s="1"/>
  <c r="S13" i="17" a="1"/>
  <c r="S13" i="17" s="1"/>
  <c r="R7" i="17" a="1"/>
  <c r="R7" i="17" s="1"/>
  <c r="N26" i="17" a="1"/>
  <c r="N26" i="17" s="1"/>
  <c r="V15" i="17" a="1"/>
  <c r="V15" i="17" s="1"/>
  <c r="U9" i="17" a="1"/>
  <c r="U9" i="17" s="1"/>
  <c r="T3" i="17" a="1"/>
  <c r="T3" i="17" s="1"/>
  <c r="O24" i="17" a="1"/>
  <c r="O24" i="17" s="1"/>
  <c r="N18" i="17" a="1"/>
  <c r="N18" i="17" s="1"/>
  <c r="W5" i="17"/>
  <c r="V5" i="17" a="1"/>
  <c r="V5" i="17" s="1"/>
  <c r="T25" i="17" a="1"/>
  <c r="T25" i="17" s="1"/>
  <c r="S19" i="17" a="1"/>
  <c r="S19" i="17" s="1"/>
  <c r="R5" i="17" a="1"/>
  <c r="R5" i="17" s="1"/>
  <c r="N24" i="17" a="1"/>
  <c r="N24" i="17" s="1"/>
  <c r="V20" i="17" a="1"/>
  <c r="V20" i="17" s="1"/>
  <c r="U22" i="17" a="1"/>
  <c r="U22" i="17" s="1"/>
  <c r="S26" i="17" a="1"/>
  <c r="S26" i="17" s="1"/>
  <c r="R20" i="17" a="1"/>
  <c r="R20" i="17" s="1"/>
  <c r="O21" i="17" a="1"/>
  <c r="O21" i="17" s="1"/>
  <c r="O5" i="17" a="1"/>
  <c r="O5" i="17" s="1"/>
  <c r="N7" i="17" a="1"/>
  <c r="N7" i="17" s="1"/>
  <c r="W17" i="17"/>
  <c r="X20" i="17" a="1"/>
  <c r="X20" i="17" s="1"/>
  <c r="Y20" i="17" s="1"/>
  <c r="X12" i="17" a="1"/>
  <c r="X12" i="17" s="1"/>
  <c r="Y12" i="17" s="1"/>
  <c r="V19" i="17" a="1"/>
  <c r="V19" i="17" s="1"/>
  <c r="V11" i="17" a="1"/>
  <c r="V11" i="17" s="1"/>
  <c r="U21" i="17" a="1"/>
  <c r="U21" i="17" s="1"/>
  <c r="U13" i="17" a="1"/>
  <c r="U13" i="17" s="1"/>
  <c r="U5" i="17" a="1"/>
  <c r="U5" i="17" s="1"/>
  <c r="T7" i="17" a="1"/>
  <c r="T7" i="17" s="1"/>
  <c r="S25" i="17" a="1"/>
  <c r="S25" i="17" s="1"/>
  <c r="S9" i="17" a="1"/>
  <c r="S9" i="17" s="1"/>
  <c r="R27" i="17" a="1"/>
  <c r="R27" i="17" s="1"/>
  <c r="R3" i="17" a="1"/>
  <c r="R3" i="17" s="1"/>
  <c r="O4" i="17" a="1"/>
  <c r="O4" i="17" s="1"/>
  <c r="N6" i="17" a="1"/>
  <c r="N6" i="17" s="1"/>
  <c r="X6" i="17" a="1"/>
  <c r="X6" i="17" s="1"/>
  <c r="Y6" i="17" s="1"/>
  <c r="V13" i="17" a="1"/>
  <c r="V13" i="17" s="1"/>
  <c r="T9" i="17" a="1"/>
  <c r="T9" i="17" s="1"/>
  <c r="R21" i="17" a="1"/>
  <c r="R21" i="17" s="1"/>
  <c r="N8" i="17" a="1"/>
  <c r="N8" i="17" s="1"/>
  <c r="X5" i="17" a="1"/>
  <c r="X5" i="17" s="1"/>
  <c r="Y5" i="17" s="1"/>
  <c r="W18" i="17"/>
  <c r="V12" i="17" a="1"/>
  <c r="V12" i="17" s="1"/>
  <c r="T8" i="17" a="1"/>
  <c r="T8" i="17" s="1"/>
  <c r="S2" i="17" a="1"/>
  <c r="S2" i="17" s="1"/>
  <c r="R12" i="17" a="1"/>
  <c r="R12" i="17" s="1"/>
  <c r="O13" i="17" a="1"/>
  <c r="O13" i="17" s="1"/>
  <c r="N23" i="17" a="1"/>
  <c r="N23" i="17" s="1"/>
  <c r="X4" i="17" a="1"/>
  <c r="X4" i="17" s="1"/>
  <c r="Y4" i="17" s="1"/>
  <c r="Q4" i="17" s="1"/>
  <c r="V27" i="17" a="1"/>
  <c r="V27" i="17" s="1"/>
  <c r="V3" i="17" a="1"/>
  <c r="V3" i="17" s="1"/>
  <c r="T23" i="17" a="1"/>
  <c r="T23" i="17" s="1"/>
  <c r="R19" i="17" a="1"/>
  <c r="R19" i="17" s="1"/>
  <c r="R11" i="17" a="1"/>
  <c r="R11" i="17" s="1"/>
  <c r="O20" i="17" a="1"/>
  <c r="O20" i="17" s="1"/>
  <c r="O12" i="17" a="1"/>
  <c r="O12" i="17" s="1"/>
  <c r="V21" i="17" a="1"/>
  <c r="V21" i="17" s="1"/>
  <c r="U23" i="17" a="1"/>
  <c r="U23" i="17" s="1"/>
  <c r="S27" i="17" a="1"/>
  <c r="S27" i="17" s="1"/>
  <c r="S11" i="17" a="1"/>
  <c r="S11" i="17" s="1"/>
  <c r="R13" i="17" a="1"/>
  <c r="R13" i="17" s="1"/>
  <c r="O22" i="17" a="1"/>
  <c r="O22" i="17" s="1"/>
  <c r="X21" i="17" a="1"/>
  <c r="X21" i="17" s="1"/>
  <c r="Y21" i="17" s="1"/>
  <c r="V4" i="17" a="1"/>
  <c r="V4" i="17" s="1"/>
  <c r="T24" i="17" a="1"/>
  <c r="T24" i="17" s="1"/>
  <c r="S18" i="17" a="1"/>
  <c r="S18" i="17" s="1"/>
  <c r="R4" i="17" a="1"/>
  <c r="R4" i="17" s="1"/>
  <c r="X27" i="17" a="1"/>
  <c r="X27" i="17" s="1"/>
  <c r="Y27" i="17" s="1"/>
  <c r="X3" i="17" a="1"/>
  <c r="X3" i="17" s="1"/>
  <c r="Y3" i="17" s="1"/>
  <c r="Q3" i="17" s="1"/>
  <c r="V18" i="17" a="1"/>
  <c r="V18" i="17" s="1"/>
  <c r="V10" i="17" a="1"/>
  <c r="V10" i="17" s="1"/>
  <c r="U20" i="17" a="1"/>
  <c r="U20" i="17" s="1"/>
  <c r="U12" i="17" a="1"/>
  <c r="U12" i="17" s="1"/>
  <c r="T22" i="17" a="1"/>
  <c r="T22" i="17" s="1"/>
  <c r="T6" i="17" a="1"/>
  <c r="T6" i="17" s="1"/>
  <c r="S8" i="17" a="1"/>
  <c r="S8" i="17" s="1"/>
  <c r="R26" i="17" a="1"/>
  <c r="R26" i="17" s="1"/>
  <c r="R18" i="17" a="1"/>
  <c r="R18" i="17" s="1"/>
  <c r="R10" i="17" a="1"/>
  <c r="R10" i="17" s="1"/>
  <c r="O19" i="17" a="1"/>
  <c r="O19" i="17" s="1"/>
  <c r="O3" i="17" a="1"/>
  <c r="O3" i="17" s="1"/>
  <c r="N21" i="17" a="1"/>
  <c r="N21" i="17" s="1"/>
  <c r="N13" i="17" a="1"/>
  <c r="N13" i="17" s="1"/>
  <c r="X22" i="17" a="1"/>
  <c r="X22" i="17" s="1"/>
  <c r="Y22" i="17" s="1"/>
  <c r="U7" i="17" a="1"/>
  <c r="U7" i="17" s="1"/>
  <c r="S3" i="17" a="1"/>
  <c r="S3" i="17" s="1"/>
  <c r="O6" i="17" a="1"/>
  <c r="O6" i="17" s="1"/>
  <c r="X13" i="17" a="1"/>
  <c r="X13" i="17" s="1"/>
  <c r="U6" i="17" a="1"/>
  <c r="U6" i="17" s="1"/>
  <c r="S10" i="17" a="1"/>
  <c r="S10" i="17" s="1"/>
  <c r="X19" i="17" a="1"/>
  <c r="X19" i="17" s="1"/>
  <c r="Y19" i="17" s="1"/>
  <c r="X11" i="17" a="1"/>
  <c r="X11" i="17" s="1"/>
  <c r="Y11" i="17" s="1"/>
  <c r="V26" i="17" a="1"/>
  <c r="V26" i="17" s="1"/>
  <c r="V2" i="17" a="1"/>
  <c r="V2" i="17" s="1"/>
  <c r="U4" i="17" a="1"/>
  <c r="U4" i="17" s="1"/>
  <c r="S24" i="17" a="1"/>
  <c r="S24" i="17" s="1"/>
  <c r="R2" i="17" a="1"/>
  <c r="R2" i="17" s="1"/>
  <c r="O27" i="17" a="1"/>
  <c r="O27" i="17" s="1"/>
  <c r="O11" i="17" a="1"/>
  <c r="O11" i="17" s="1"/>
  <c r="N5" i="17" a="1"/>
  <c r="N5" i="17" s="1"/>
  <c r="N4" i="17" a="1"/>
  <c r="N4" i="17" s="1"/>
  <c r="X10" i="17" a="1"/>
  <c r="X10" i="17" s="1"/>
  <c r="Y10" i="17" s="1"/>
  <c r="X2" i="17" a="1"/>
  <c r="X2" i="17" s="1"/>
  <c r="Y2" i="17" s="1"/>
  <c r="V25" i="17" a="1"/>
  <c r="V25" i="17" s="1"/>
  <c r="V9" i="17" a="1"/>
  <c r="V9" i="17" s="1"/>
  <c r="U27" i="17" a="1"/>
  <c r="U27" i="17" s="1"/>
  <c r="U19" i="17" a="1"/>
  <c r="U19" i="17" s="1"/>
  <c r="U11" i="17" a="1"/>
  <c r="U11" i="17" s="1"/>
  <c r="U3" i="17" a="1"/>
  <c r="U3" i="17" s="1"/>
  <c r="T21" i="17" a="1"/>
  <c r="T21" i="17" s="1"/>
  <c r="T13" i="17" a="1"/>
  <c r="T13" i="17" s="1"/>
  <c r="T5" i="17" a="1"/>
  <c r="T5" i="17" s="1"/>
  <c r="S23" i="17" a="1"/>
  <c r="S23" i="17" s="1"/>
  <c r="S7" i="17" a="1"/>
  <c r="S7" i="17" s="1"/>
  <c r="R25" i="17" a="1"/>
  <c r="R25" i="17" s="1"/>
  <c r="R9" i="17" a="1"/>
  <c r="R9" i="17" s="1"/>
  <c r="O18" i="17" a="1"/>
  <c r="O18" i="17" s="1"/>
  <c r="O10" i="17" a="1"/>
  <c r="O10" i="17" s="1"/>
  <c r="O2" i="17" a="1"/>
  <c r="O2" i="17" s="1"/>
  <c r="N20" i="17" a="1"/>
  <c r="N20" i="17" s="1"/>
  <c r="N12" i="17" a="1"/>
  <c r="N12" i="17" s="1"/>
  <c r="X25" i="17" a="1"/>
  <c r="X25" i="17" s="1"/>
  <c r="Y25" i="17" s="1"/>
  <c r="X9" i="17" a="1"/>
  <c r="X9" i="17" s="1"/>
  <c r="Y9" i="17" s="1"/>
  <c r="V8" i="17" a="1"/>
  <c r="V8" i="17" s="1"/>
  <c r="U26" i="17" a="1"/>
  <c r="U26" i="17" s="1"/>
  <c r="U18" i="17" a="1"/>
  <c r="U18" i="17" s="1"/>
  <c r="U10" i="17" a="1"/>
  <c r="U10" i="17" s="1"/>
  <c r="U2" i="17" a="1"/>
  <c r="U2" i="17" s="1"/>
  <c r="T20" i="17" a="1"/>
  <c r="T20" i="17" s="1"/>
  <c r="T4" i="17" a="1"/>
  <c r="T4" i="17" s="1"/>
  <c r="S22" i="17" a="1"/>
  <c r="S22" i="17" s="1"/>
  <c r="S6" i="17" a="1"/>
  <c r="S6" i="17" s="1"/>
  <c r="R8" i="17" a="1"/>
  <c r="R8" i="17" s="1"/>
  <c r="O9" i="17" a="1"/>
  <c r="O9" i="17" s="1"/>
  <c r="Q12" i="17" l="1"/>
  <c r="Q19" i="17"/>
  <c r="Q18" i="17"/>
  <c r="Q23" i="17"/>
  <c r="Q21" i="17"/>
  <c r="Q2" i="17"/>
  <c r="Q20" i="17"/>
  <c r="Q7" i="17"/>
  <c r="Q25" i="17"/>
  <c r="Q11" i="17"/>
  <c r="Q24" i="17"/>
  <c r="Q16" i="17"/>
  <c r="Q13" i="17"/>
  <c r="Q9" i="17"/>
  <c r="Q5" i="17"/>
  <c r="Q10" i="17"/>
  <c r="Q22" i="17"/>
  <c r="Q27" i="17"/>
  <c r="Q6" i="17"/>
  <c r="Q14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d:\arena_64\model\assignment 2\entity_final\entityfinal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d:\arena_64\model\assignment 2\entity_final\entityfinal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d:\arena_64\model\assignment 2\entity_final\entityfinal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d:\arena_64\model\assignment 2\entity_final\entityfinal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d:\arena_64\model\assignment 2\entity_final\entityfinal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d:\arena_64\model\assignment 2\entity_final\entityfinal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<sst xmlns="http://schemas.openxmlformats.org/spreadsheetml/2006/main" count="738" uniqueCount="129">
  <si>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</si>
  <si>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</si>
  <si>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</si>
  <si>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</si>
  <si>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</si>
  <si>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</si>
  <si>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</si>
  <si>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</si>
  <si>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</si>
  <si>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</si>
  <si>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</si>
  <si>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</si>
  <si>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</si>
  <si>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</si>
  <si>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</si>
  <si>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</si>
  <si>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</si>
  <si>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</si>
  <si>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</si>
  <si>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</si>
  <si>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</si>
  <si>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</si>
  <si>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</si>
  <si>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</si>
  <si>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</si>
  <si>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</si>
  <si>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</si>
  <si>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</si>
  <si>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</si>
  <si>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</si>
  <si>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</si>
  <si>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</si>
  <si>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</si>
  <si>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</si>
  <si>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</si>
  <si>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</si>
  <si>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</si>
  <si>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</si>
  <si>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</si>
  <si>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</si>
  <si>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</si>
  <si>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</si>
  <si>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</si>
  <si>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</si>
  <si>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</si>
  <si>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</si>
  <si>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</si>
  <si>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</si>
  <si>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</si>
  <si>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</si>
  <si>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</si>
  <si>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</si>
  <si>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</si>
  <si>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</si>
  <si>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</si>
  <si>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</si>
  <si>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</si>
  <si>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</si>
  <si>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</si>
  <si>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</si>
  <si>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</si>
  <si>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</si>
  <si>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</si>
  <si>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</si>
  <si>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</si>
  <si>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</si>
  <si>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</si>
  <si>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</si>
  <si>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D:\Arena_64\Model\Assignment 2\Entity_FInal\EntityFinal.p</t>
  </si>
  <si>
    <t>2025-03-21 18:06:17</t>
  </si>
  <si>
    <t>Match Tourist to Bike A.Queue1</t>
  </si>
  <si>
    <t>Waiting Time</t>
  </si>
  <si>
    <t>Queue</t>
  </si>
  <si>
    <t>Match Tourist to Bike A.Queue2</t>
  </si>
  <si>
    <t>Match Tourist to Bike B.Queue1</t>
  </si>
  <si>
    <t>Match Tourist to Bike B.Queue2</t>
  </si>
  <si>
    <t>Match Tourist to Bike C.Queue1</t>
  </si>
  <si>
    <t>Match Tourist to Bike C.Queue2</t>
  </si>
  <si>
    <t>Match Tourist to Bike D.Queue1</t>
  </si>
  <si>
    <t>Match Tourist to Bike D.Queue2</t>
  </si>
  <si>
    <t>Put Bike in Dock B.Queue</t>
  </si>
  <si>
    <t>Put Bike in Dock C.Queue</t>
  </si>
  <si>
    <t>Put Bike in Dock D.Queue</t>
  </si>
  <si>
    <t>Put Bike in Dock.Queue</t>
  </si>
  <si>
    <t>Tourist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</si>
  <si>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</si>
  <si>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</si>
  <si>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</si>
  <si>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</si>
  <si>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</si>
  <si>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</si>
  <si>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</si>
  <si>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Wait for a Free Bike A.Queue</t>
  </si>
  <si>
    <t>Wait for a Free Bike B.Queue</t>
  </si>
  <si>
    <t>Wait for a Free Bike C.Queue</t>
  </si>
  <si>
    <t>Wait for a Free Bike D.Queue</t>
  </si>
  <si>
    <t>Wait for free dock A.Queue</t>
  </si>
  <si>
    <t>Wait for free dock B.Queue</t>
  </si>
  <si>
    <t>Wait for free dock C.Queue</t>
  </si>
  <si>
    <t>Wait for free dock D.Queue</t>
  </si>
  <si>
    <t>Bike</t>
  </si>
  <si>
    <t>WIP</t>
  </si>
  <si>
    <t>Dock_A</t>
  </si>
  <si>
    <t>Instantaneous Utilization</t>
  </si>
  <si>
    <t>Resource</t>
  </si>
  <si>
    <t>Number Busy</t>
  </si>
  <si>
    <t>Number Scheduled</t>
  </si>
  <si>
    <t>Dock_B</t>
  </si>
  <si>
    <t>Dock_C</t>
  </si>
  <si>
    <t>Dock_D</t>
  </si>
  <si>
    <t>Number Waiting</t>
  </si>
  <si>
    <t>Bike.NumberIn</t>
  </si>
  <si>
    <t>Number In</t>
  </si>
  <si>
    <t>Bike.NumberOut</t>
  </si>
  <si>
    <t>Number Out</t>
  </si>
  <si>
    <t>Dock_A.NumberSeized</t>
  </si>
  <si>
    <t>Total Number Seized</t>
  </si>
  <si>
    <t>Dock_A.ScheduledUtilization</t>
  </si>
  <si>
    <t>Scheduled Utilization</t>
  </si>
  <si>
    <t>Dock_B.NumberSeized</t>
  </si>
  <si>
    <t>Dock_B.ScheduledUtilization</t>
  </si>
  <si>
    <t>Dock_C.NumberSeized</t>
  </si>
  <si>
    <t>Dock_C.ScheduledUtilization</t>
  </si>
  <si>
    <t>Dock_D.NumberSeized</t>
  </si>
  <si>
    <t>Dock_D.ScheduledUtilization</t>
  </si>
  <si>
    <t>System.NumberOut</t>
  </si>
  <si>
    <t>System</t>
  </si>
  <si>
    <t>Tourist.NumberIn</t>
  </si>
  <si>
    <t>Tourist.NumberOut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</si>
</sst>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37.754427314816" createdVersion="7" refreshedVersion="8" minRefreshableVersion="3" recordCount="26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0">
        <s v="Match Tourist to Bike A.Queue1"/>
        <s v="Match Tourist to Bike A.Queue2"/>
        <s v="Match Tourist to Bike B.Queue1"/>
        <s v="Match Tourist to Bike B.Queue2"/>
        <s v="Match Tourist to Bike C.Queue1"/>
        <s v="Match Tourist to Bike C.Queue2"/>
        <s v="Match Tourist to Bike D.Queue1"/>
        <s v="Match Tourist to Bike D.Queue2"/>
        <s v="Put Bike in Dock B.Queue"/>
        <s v="Put Bike in Dock C.Queue"/>
        <s v="Put Bike in Dock D.Queue"/>
        <s v="Put Bike in Dock.Queue"/>
        <s v="Tourist"/>
        <s v="Wait for a Free Bike A.Queue"/>
        <s v="Wait for a Free Bike B.Queue"/>
        <s v="Wait for a Free Bike C.Queue"/>
        <s v="Wait for a Free Bike D.Queue"/>
        <s v="Wait for free dock A.Queue"/>
        <s v="Wait for free dock B.Queue"/>
        <s v="Wait for free dock C.Queue"/>
        <s v="Wait for free dock D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4.664539985665269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68154640969804003"/>
    </cacheField>
    <cacheField name="Maximum" numFmtId="0">
      <sharedItems containsSemiMixedTypes="0" containsString="0" containsNumber="1" minValue="0" maxValue="7.9287914992111501"/>
    </cacheField>
    <cacheField name="NumberObservations" numFmtId="0">
      <sharedItems containsSemiMixedTypes="0" containsString="0" containsNumber="1" containsInteger="1" minValue="59" maxValue="148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4.6645399856652698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4.6645399856652698"/>
    </cacheField>
    <cacheField name="MaximumAverage" numFmtId="0">
      <sharedItems containsSemiMixedTypes="0" containsString="0" containsNumber="1" minValue="0" maxValue="4.6645399856652698"/>
    </cacheField>
    <cacheField name="OverallMinimum" numFmtId="0">
      <sharedItems containsSemiMixedTypes="0" containsString="0" containsNumber="1" minValue="0" maxValue="0.68154640969804003"/>
    </cacheField>
    <cacheField name="OverallMaximum" numFmtId="0">
      <sharedItems containsSemiMixedTypes="0" containsString="0" containsNumber="1" minValue="0" maxValue="7.9287914992111501"/>
    </cacheField>
    <cacheField name="AverageNumberObservations" numFmtId="0">
      <sharedItems containsSemiMixedTypes="0" containsString="0" containsNumber="1" containsInteger="1" minValue="59" maxValue="148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37.754427314816" createdVersion="7" refreshedVersion="8" minRefreshableVersion="3" recordCount="13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91">
        <s v="Bike.NumberIn"/>
        <s v="Bike.NumberOut"/>
        <s v="Dock_A.NumberSeized"/>
        <s v="Dock_A.ScheduledUtilization"/>
        <s v="Dock_B.NumberSeized"/>
        <s v="Dock_B.ScheduledUtilization"/>
        <s v="Dock_C.NumberSeized"/>
        <s v="Dock_C.ScheduledUtilization"/>
        <s v="Dock_D.NumberSeized"/>
        <s v="Dock_D.ScheduledUtilization"/>
        <s v="System.NumberOut"/>
        <s v="Tourist.NumberIn"/>
        <s v="Tourist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95583036262113796" maxValue="57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95583036262113796" maxValue="577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95583036262113796" maxValue="577"/>
    </cacheField>
    <cacheField name="Maximum" numFmtId="0">
      <sharedItems containsSemiMixedTypes="0" containsString="0" containsNumber="1" minValue="0.95583036262113796" maxValue="5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37.75442743055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37.754427430555" createdVersion="7" refreshedVersion="8" minRefreshableVersion="3" recordCount="34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50">
        <s v="Bike"/>
        <s v="Dock_A"/>
        <s v="Dock_B"/>
        <s v="Dock_C"/>
        <s v="Dock_D"/>
        <s v="Match Tourist to Bike A.Queue1"/>
        <s v="Match Tourist to Bike A.Queue2"/>
        <s v="Match Tourist to Bike B.Queue1"/>
        <s v="Match Tourist to Bike B.Queue2"/>
        <s v="Match Tourist to Bike C.Queue1"/>
        <s v="Match Tourist to Bike C.Queue2"/>
        <s v="Match Tourist to Bike D.Queue1"/>
        <s v="Match Tourist to Bike D.Queue2"/>
        <s v="Put Bike in Dock B.Queue"/>
        <s v="Put Bike in Dock C.Queue"/>
        <s v="Put Bike in Dock D.Queue"/>
        <s v="Put Bike in Dock.Queue"/>
        <s v="Tourist"/>
        <s v="Wait for a Free Bike A.Queue"/>
        <s v="Wait for a Free Bike B.Queue"/>
        <s v="Wait for a Free Bike C.Queue"/>
        <s v="Wait for a Free Bike D.Queue"/>
        <s v="Wait for free dock A.Queue"/>
        <s v="Wait for free dock B.Queue"/>
        <s v="Wait for free dock C.Queue"/>
        <s v="Wait for free dock D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" maxValue="327.7093390619750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80"/>
    </cacheField>
    <cacheField name="Maximum" numFmtId="0">
      <sharedItems containsSemiMixedTypes="0" containsString="0" containsNumber="1" containsInteger="1" minValue="0" maxValue="338"/>
    </cacheField>
    <cacheField name="LastRecordedValue" numFmtId="0">
      <sharedItems containsSemiMixedTypes="0" containsString="0" containsNumber="1" minValue="0" maxValue="32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27.7093390619750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27.70933906197502"/>
    </cacheField>
    <cacheField name="MaximumAverage" numFmtId="0">
      <sharedItems containsSemiMixedTypes="0" containsString="0" containsNumber="1" minValue="0" maxValue="327.70933906197502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ibhav Deb" refreshedDate="45737.754427546293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s v="2025-03-21 18:06:17"/>
    <n v="1"/>
    <x v="0"/>
    <x v="0"/>
    <x v="0"/>
    <n v="0"/>
    <n v="2E+20"/>
    <n v="0"/>
    <n v="0"/>
    <n v="68"/>
    <s v="Unnamed ProjectMatch Tourist to Bike A.Queue1Waiting TimeQueue"/>
    <n v="1"/>
    <n v="0"/>
    <n v="0"/>
    <n v="0.95"/>
    <n v="4E+20"/>
    <n v="0"/>
    <n v="0"/>
    <n v="0"/>
    <n v="0"/>
    <n v="68"/>
    <n v="2E+20"/>
    <n v="1"/>
    <n v="1"/>
  </r>
  <r>
    <x v="0"/>
    <s v="2025-03-21 18:06:17"/>
    <n v="1"/>
    <x v="1"/>
    <x v="0"/>
    <x v="0"/>
    <n v="4.4792967983940599"/>
    <n v="2E+20"/>
    <n v="0.36476006724152799"/>
    <n v="7.7798944428576604"/>
    <n v="68"/>
    <s v="Unnamed ProjectMatch Tourist to Bike A.Queue2Waiting TimeQueue"/>
    <n v="1"/>
    <n v="4.4792967983940599"/>
    <n v="0"/>
    <n v="0.95"/>
    <n v="4E+20"/>
    <n v="4.4792967983940599"/>
    <n v="4.4792967983940599"/>
    <n v="0.36476006724152799"/>
    <n v="7.7798944428576604"/>
    <n v="68"/>
    <n v="2E+20"/>
    <n v="1"/>
    <n v="1"/>
  </r>
  <r>
    <x v="0"/>
    <s v="2025-03-21 18:06:17"/>
    <n v="1"/>
    <x v="2"/>
    <x v="0"/>
    <x v="0"/>
    <n v="0"/>
    <n v="2E+20"/>
    <n v="0"/>
    <n v="0"/>
    <n v="61"/>
    <s v="Unnamed ProjectMatch Tourist to Bike B.Queue1Waiting TimeQueue"/>
    <n v="1"/>
    <n v="0"/>
    <n v="0"/>
    <n v="0.95"/>
    <n v="4E+20"/>
    <n v="0"/>
    <n v="0"/>
    <n v="0"/>
    <n v="0"/>
    <n v="61"/>
    <n v="2E+20"/>
    <n v="1"/>
    <n v="1"/>
  </r>
  <r>
    <x v="0"/>
    <s v="2025-03-21 18:06:17"/>
    <n v="1"/>
    <x v="3"/>
    <x v="0"/>
    <x v="0"/>
    <n v="3.76527269329056"/>
    <n v="2E+20"/>
    <n v="0.51040223307947497"/>
    <n v="7.9287914992111501"/>
    <n v="61"/>
    <s v="Unnamed ProjectMatch Tourist to Bike B.Queue2Waiting TimeQueue"/>
    <n v="1"/>
    <n v="3.76527269329056"/>
    <n v="0"/>
    <n v="0.95"/>
    <n v="4E+20"/>
    <n v="3.76527269329056"/>
    <n v="3.76527269329056"/>
    <n v="0.51040223307947497"/>
    <n v="7.9287914992111501"/>
    <n v="61"/>
    <n v="2E+20"/>
    <n v="1"/>
    <n v="1"/>
  </r>
  <r>
    <x v="0"/>
    <s v="2025-03-21 18:06:17"/>
    <n v="1"/>
    <x v="4"/>
    <x v="0"/>
    <x v="0"/>
    <n v="0"/>
    <n v="2E+20"/>
    <n v="0"/>
    <n v="0"/>
    <n v="60"/>
    <s v="Unnamed ProjectMatch Tourist to Bike C.Queue1Waiting TimeQueue"/>
    <n v="1"/>
    <n v="0"/>
    <n v="0"/>
    <n v="0.95"/>
    <n v="4E+20"/>
    <n v="0"/>
    <n v="0"/>
    <n v="0"/>
    <n v="0"/>
    <n v="60"/>
    <n v="2E+20"/>
    <n v="1"/>
    <n v="1"/>
  </r>
  <r>
    <x v="0"/>
    <s v="2025-03-21 18:06:17"/>
    <n v="1"/>
    <x v="5"/>
    <x v="0"/>
    <x v="0"/>
    <n v="4.24164538086458"/>
    <n v="2E+20"/>
    <n v="0.57578021352077802"/>
    <n v="7.8843089522229199"/>
    <n v="60"/>
    <s v="Unnamed ProjectMatch Tourist to Bike C.Queue2Waiting TimeQueue"/>
    <n v="1"/>
    <n v="4.24164538086458"/>
    <n v="0"/>
    <n v="0.95"/>
    <n v="4E+20"/>
    <n v="4.24164538086458"/>
    <n v="4.24164538086458"/>
    <n v="0.57578021352077802"/>
    <n v="7.8843089522229199"/>
    <n v="60"/>
    <n v="2E+20"/>
    <n v="1"/>
    <n v="1"/>
  </r>
  <r>
    <x v="0"/>
    <s v="2025-03-21 18:06:17"/>
    <n v="1"/>
    <x v="6"/>
    <x v="0"/>
    <x v="0"/>
    <n v="0"/>
    <n v="2E+20"/>
    <n v="0"/>
    <n v="0"/>
    <n v="68"/>
    <s v="Unnamed ProjectMatch Tourist to Bike D.Queue1Waiting TimeQueue"/>
    <n v="1"/>
    <n v="0"/>
    <n v="0"/>
    <n v="0.95"/>
    <n v="4E+20"/>
    <n v="0"/>
    <n v="0"/>
    <n v="0"/>
    <n v="0"/>
    <n v="68"/>
    <n v="2E+20"/>
    <n v="1"/>
    <n v="1"/>
  </r>
  <r>
    <x v="0"/>
    <s v="2025-03-21 18:06:17"/>
    <n v="1"/>
    <x v="7"/>
    <x v="0"/>
    <x v="0"/>
    <n v="4.6645399856652698"/>
    <n v="2E+20"/>
    <n v="0.50768210204097997"/>
    <n v="7.7877845684610998"/>
    <n v="68"/>
    <s v="Unnamed ProjectMatch Tourist to Bike D.Queue2Waiting TimeQueue"/>
    <n v="1"/>
    <n v="4.6645399856652698"/>
    <n v="0"/>
    <n v="0.95"/>
    <n v="4E+20"/>
    <n v="4.6645399856652698"/>
    <n v="4.6645399856652698"/>
    <n v="0.50768210204097997"/>
    <n v="7.7877845684610998"/>
    <n v="68"/>
    <n v="2E+20"/>
    <n v="1"/>
    <n v="1"/>
  </r>
  <r>
    <x v="0"/>
    <s v="2025-03-21 18:06:17"/>
    <n v="1"/>
    <x v="8"/>
    <x v="0"/>
    <x v="0"/>
    <n v="0"/>
    <n v="2E+20"/>
    <n v="0"/>
    <n v="0"/>
    <n v="141"/>
    <s v="Unnamed ProjectPut Bike in Dock B.QueueWaiting TimeQueue"/>
    <n v="1"/>
    <n v="0"/>
    <n v="0"/>
    <n v="0.95"/>
    <n v="4E+20"/>
    <n v="0"/>
    <n v="0"/>
    <n v="0"/>
    <n v="0"/>
    <n v="141"/>
    <n v="2E+20"/>
    <n v="1"/>
    <n v="1"/>
  </r>
  <r>
    <x v="0"/>
    <s v="2025-03-21 18:06:17"/>
    <n v="1"/>
    <x v="9"/>
    <x v="0"/>
    <x v="0"/>
    <n v="0"/>
    <n v="2E+20"/>
    <n v="0"/>
    <n v="0"/>
    <n v="140"/>
    <s v="Unnamed ProjectPut Bike in Dock C.QueueWaiting TimeQueue"/>
    <n v="1"/>
    <n v="0"/>
    <n v="0"/>
    <n v="0.95"/>
    <n v="4E+20"/>
    <n v="0"/>
    <n v="0"/>
    <n v="0"/>
    <n v="0"/>
    <n v="140"/>
    <n v="2E+20"/>
    <n v="1"/>
    <n v="1"/>
  </r>
  <r>
    <x v="0"/>
    <s v="2025-03-21 18:06:17"/>
    <n v="1"/>
    <x v="10"/>
    <x v="0"/>
    <x v="0"/>
    <n v="0"/>
    <n v="2E+20"/>
    <n v="0"/>
    <n v="0"/>
    <n v="139"/>
    <s v="Unnamed ProjectPut Bike in Dock D.QueueWaiting TimeQueue"/>
    <n v="1"/>
    <n v="0"/>
    <n v="0"/>
    <n v="0.95"/>
    <n v="4E+20"/>
    <n v="0"/>
    <n v="0"/>
    <n v="0"/>
    <n v="0"/>
    <n v="139"/>
    <n v="2E+20"/>
    <n v="1"/>
    <n v="1"/>
  </r>
  <r>
    <x v="0"/>
    <s v="2025-03-21 18:06:17"/>
    <n v="1"/>
    <x v="11"/>
    <x v="0"/>
    <x v="0"/>
    <n v="0"/>
    <n v="2E+20"/>
    <n v="0"/>
    <n v="0"/>
    <n v="148"/>
    <s v="Unnamed ProjectPut Bike in Dock.QueueWaiting TimeQueue"/>
    <n v="1"/>
    <n v="0"/>
    <n v="0"/>
    <n v="0.95"/>
    <n v="4E+20"/>
    <n v="0"/>
    <n v="0"/>
    <n v="0"/>
    <n v="0"/>
    <n v="148"/>
    <n v="2E+20"/>
    <n v="1"/>
    <n v="1"/>
  </r>
  <r>
    <x v="0"/>
    <s v="2025-03-21 18:06:17"/>
    <n v="1"/>
    <x v="12"/>
    <x v="1"/>
    <x v="1"/>
    <n v="0"/>
    <n v="2E+20"/>
    <n v="0"/>
    <n v="0"/>
    <n v="121"/>
    <s v="Unnamed ProjectTouristNVA TimeEntity"/>
    <n v="1"/>
    <n v="0"/>
    <n v="0"/>
    <n v="0.95"/>
    <n v="4E+20"/>
    <n v="0"/>
    <n v="0"/>
    <n v="0"/>
    <n v="0"/>
    <n v="121"/>
    <n v="2E+20"/>
    <n v="1"/>
    <n v="1"/>
  </r>
  <r>
    <x v="0"/>
    <s v="2025-03-21 18:06:17"/>
    <n v="1"/>
    <x v="12"/>
    <x v="2"/>
    <x v="1"/>
    <n v="0"/>
    <n v="2E+20"/>
    <n v="0"/>
    <n v="0"/>
    <n v="121"/>
    <s v="Unnamed ProjectTouristOther TimeEntity"/>
    <n v="1"/>
    <n v="0"/>
    <n v="0"/>
    <n v="0.95"/>
    <n v="4E+20"/>
    <n v="0"/>
    <n v="0"/>
    <n v="0"/>
    <n v="0"/>
    <n v="121"/>
    <n v="2E+20"/>
    <n v="1"/>
    <n v="1"/>
  </r>
  <r>
    <x v="0"/>
    <s v="2025-03-21 18:06:17"/>
    <n v="1"/>
    <x v="12"/>
    <x v="3"/>
    <x v="1"/>
    <n v="1.86002047497111"/>
    <n v="2E+20"/>
    <n v="0.68154640969804003"/>
    <n v="3.42483915664369"/>
    <n v="121"/>
    <s v="Unnamed ProjectTouristTotal TimeEntity"/>
    <n v="1"/>
    <n v="1.86002047497111"/>
    <n v="0"/>
    <n v="0.95"/>
    <n v="4E+20"/>
    <n v="1.86002047497111"/>
    <n v="1.86002047497111"/>
    <n v="0.68154640969804003"/>
    <n v="3.42483915664369"/>
    <n v="121"/>
    <n v="2E+20"/>
    <n v="1"/>
    <n v="1"/>
  </r>
  <r>
    <x v="0"/>
    <s v="2025-03-21 18:06:17"/>
    <n v="1"/>
    <x v="12"/>
    <x v="4"/>
    <x v="1"/>
    <n v="0.20109248870306101"/>
    <n v="2E+20"/>
    <n v="3.5403990233327E-2"/>
    <n v="0.48127996945957302"/>
    <n v="121"/>
    <s v="Unnamed ProjectTouristTransfer TimeEntity"/>
    <n v="1"/>
    <n v="0.20109248870306101"/>
    <n v="0"/>
    <n v="0.95"/>
    <n v="4E+20"/>
    <n v="0.20109248870306101"/>
    <n v="0.20109248870306101"/>
    <n v="3.5403990233327E-2"/>
    <n v="0.48127996945957302"/>
    <n v="121"/>
    <n v="2E+20"/>
    <n v="1"/>
    <n v="1"/>
  </r>
  <r>
    <x v="0"/>
    <s v="2025-03-21 18:06:17"/>
    <n v="1"/>
    <x v="12"/>
    <x v="5"/>
    <x v="1"/>
    <n v="1.4183707030786299"/>
    <n v="2E+20"/>
    <n v="0.63033136546619895"/>
    <n v="2.30446125801627"/>
    <n v="121"/>
    <s v="Unnamed ProjectTouristVA TimeEntity"/>
    <n v="1"/>
    <n v="1.4183707030786299"/>
    <n v="0"/>
    <n v="0.95"/>
    <n v="4E+20"/>
    <n v="1.4183707030786299"/>
    <n v="1.4183707030786299"/>
    <n v="0.63033136546619895"/>
    <n v="2.30446125801627"/>
    <n v="121"/>
    <n v="2E+20"/>
    <n v="1"/>
    <n v="1"/>
  </r>
  <r>
    <x v="0"/>
    <s v="2025-03-21 18:06:17"/>
    <n v="1"/>
    <x v="12"/>
    <x v="6"/>
    <x v="1"/>
    <n v="0.24055728318942299"/>
    <n v="2E+20"/>
    <n v="0"/>
    <n v="0.91895101004491997"/>
    <n v="121"/>
    <s v="Unnamed ProjectTouristWait TimeEntity"/>
    <n v="1"/>
    <n v="0.24055728318942299"/>
    <n v="0"/>
    <n v="0.95"/>
    <n v="4E+20"/>
    <n v="0.24055728318942299"/>
    <n v="0.24055728318942299"/>
    <n v="0"/>
    <n v="0.91895101004491997"/>
    <n v="121"/>
    <n v="2E+20"/>
    <n v="1"/>
    <n v="1"/>
  </r>
  <r>
    <x v="0"/>
    <s v="2025-03-21 18:06:17"/>
    <n v="1"/>
    <x v="13"/>
    <x v="0"/>
    <x v="0"/>
    <n v="0"/>
    <n v="2E+20"/>
    <n v="0"/>
    <n v="0"/>
    <n v="68"/>
    <s v="Unnamed ProjectWait for a Free Bike A.QueueWaiting TimeQueue"/>
    <n v="1"/>
    <n v="0"/>
    <n v="0"/>
    <n v="0.95"/>
    <n v="4E+20"/>
    <n v="0"/>
    <n v="0"/>
    <n v="0"/>
    <n v="0"/>
    <n v="68"/>
    <n v="2E+20"/>
    <n v="1"/>
    <n v="1"/>
  </r>
  <r>
    <x v="0"/>
    <s v="2025-03-21 18:06:17"/>
    <n v="1"/>
    <x v="14"/>
    <x v="0"/>
    <x v="0"/>
    <n v="0"/>
    <n v="2E+20"/>
    <n v="0"/>
    <n v="0"/>
    <n v="61"/>
    <s v="Unnamed ProjectWait for a Free Bike B.QueueWaiting TimeQueue"/>
    <n v="1"/>
    <n v="0"/>
    <n v="0"/>
    <n v="0.95"/>
    <n v="4E+20"/>
    <n v="0"/>
    <n v="0"/>
    <n v="0"/>
    <n v="0"/>
    <n v="61"/>
    <n v="2E+20"/>
    <n v="1"/>
    <n v="1"/>
  </r>
  <r>
    <x v="0"/>
    <s v="2025-03-21 18:06:17"/>
    <n v="1"/>
    <x v="15"/>
    <x v="0"/>
    <x v="0"/>
    <n v="0"/>
    <n v="2E+20"/>
    <n v="0"/>
    <n v="0"/>
    <n v="60"/>
    <s v="Unnamed ProjectWait for a Free Bike C.QueueWaiting TimeQueue"/>
    <n v="1"/>
    <n v="0"/>
    <n v="0"/>
    <n v="0.95"/>
    <n v="4E+20"/>
    <n v="0"/>
    <n v="0"/>
    <n v="0"/>
    <n v="0"/>
    <n v="60"/>
    <n v="2E+20"/>
    <n v="1"/>
    <n v="1"/>
  </r>
  <r>
    <x v="0"/>
    <s v="2025-03-21 18:06:17"/>
    <n v="1"/>
    <x v="16"/>
    <x v="0"/>
    <x v="0"/>
    <n v="0"/>
    <n v="2E+20"/>
    <n v="0"/>
    <n v="0"/>
    <n v="68"/>
    <s v="Unnamed ProjectWait for a Free Bike D.QueueWaiting TimeQueue"/>
    <n v="1"/>
    <n v="0"/>
    <n v="0"/>
    <n v="0.95"/>
    <n v="4E+20"/>
    <n v="0"/>
    <n v="0"/>
    <n v="0"/>
    <n v="0"/>
    <n v="68"/>
    <n v="2E+20"/>
    <n v="1"/>
    <n v="1"/>
  </r>
  <r>
    <x v="0"/>
    <s v="2025-03-21 18:06:17"/>
    <n v="1"/>
    <x v="17"/>
    <x v="0"/>
    <x v="0"/>
    <n v="2.8231173768781499E-2"/>
    <n v="2E+20"/>
    <n v="0"/>
    <n v="0.33244383893490698"/>
    <n v="68"/>
    <s v="Unnamed ProjectWait for free dock A.QueueWaiting TimeQueue"/>
    <n v="1"/>
    <n v="2.8231173768781499E-2"/>
    <n v="0"/>
    <n v="0.95"/>
    <n v="4E+20"/>
    <n v="2.8231173768781499E-2"/>
    <n v="2.8231173768781499E-2"/>
    <n v="0"/>
    <n v="0.33244383893490698"/>
    <n v="68"/>
    <n v="2E+20"/>
    <n v="1"/>
    <n v="1"/>
  </r>
  <r>
    <x v="0"/>
    <s v="2025-03-21 18:06:17"/>
    <n v="1"/>
    <x v="18"/>
    <x v="0"/>
    <x v="0"/>
    <n v="1.09146347977574E-2"/>
    <n v="2E+20"/>
    <n v="0"/>
    <n v="0.52971364377732"/>
    <n v="61"/>
    <s v="Unnamed ProjectWait for free dock B.QueueWaiting TimeQueue"/>
    <n v="1"/>
    <n v="1.09146347977574E-2"/>
    <n v="0"/>
    <n v="0.95"/>
    <n v="4E+20"/>
    <n v="1.09146347977574E-2"/>
    <n v="1.09146347977574E-2"/>
    <n v="0"/>
    <n v="0.52971364377732"/>
    <n v="61"/>
    <n v="2E+20"/>
    <n v="1"/>
    <n v="1"/>
  </r>
  <r>
    <x v="0"/>
    <s v="2025-03-21 18:06:17"/>
    <n v="1"/>
    <x v="19"/>
    <x v="0"/>
    <x v="0"/>
    <n v="0.41878040602851002"/>
    <n v="2E+20"/>
    <n v="0"/>
    <n v="0.81848713817695795"/>
    <n v="60"/>
    <s v="Unnamed ProjectWait for free dock C.QueueWaiting TimeQueue"/>
    <n v="1"/>
    <n v="0.41878040602851002"/>
    <n v="0"/>
    <n v="0.95"/>
    <n v="4E+20"/>
    <n v="0.41878040602851002"/>
    <n v="0.41878040602851002"/>
    <n v="0"/>
    <n v="0.81848713817695795"/>
    <n v="60"/>
    <n v="2E+20"/>
    <n v="1"/>
    <n v="1"/>
  </r>
  <r>
    <x v="0"/>
    <s v="2025-03-21 18:06:17"/>
    <n v="1"/>
    <x v="20"/>
    <x v="0"/>
    <x v="0"/>
    <n v="8.29795836243888E-2"/>
    <n v="2E+20"/>
    <n v="0"/>
    <n v="0.50541457317974703"/>
    <n v="59"/>
    <s v="Unnamed ProjectWait for free dock D.QueueWaiting TimeQueue"/>
    <n v="1"/>
    <n v="8.29795836243888E-2"/>
    <n v="0"/>
    <n v="0.95"/>
    <n v="4E+20"/>
    <n v="8.29795836243888E-2"/>
    <n v="8.29795836243888E-2"/>
    <n v="0"/>
    <n v="0.50541457317974703"/>
    <n v="59"/>
    <n v="2E+20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s v="2025-03-21 18:06:17"/>
    <n v="1"/>
    <x v="0"/>
    <x v="0"/>
    <x v="0"/>
    <n v="577"/>
    <n v="0"/>
    <s v="Unnamed ProjectBike.NumberInNumber InEntity"/>
    <n v="1"/>
    <n v="577"/>
    <n v="0"/>
    <n v="0.95"/>
    <n v="4E+20"/>
    <n v="577"/>
    <n v="577"/>
  </r>
  <r>
    <x v="0"/>
    <s v="2025-03-21 18:06:17"/>
    <n v="1"/>
    <x v="1"/>
    <x v="1"/>
    <x v="0"/>
    <n v="248"/>
    <n v="0"/>
    <s v="Unnamed ProjectBike.NumberOutNumber OutEntity"/>
    <n v="1"/>
    <n v="248"/>
    <n v="0"/>
    <n v="0.95"/>
    <n v="4E+20"/>
    <n v="248"/>
    <n v="248"/>
  </r>
  <r>
    <x v="0"/>
    <s v="2025-03-21 18:06:17"/>
    <n v="1"/>
    <x v="2"/>
    <x v="2"/>
    <x v="1"/>
    <n v="148"/>
    <n v="0"/>
    <s v="Unnamed ProjectDock_A.NumberSeizedTotal Number SeizedResource"/>
    <n v="1"/>
    <n v="148"/>
    <n v="0"/>
    <n v="0.95"/>
    <n v="4E+20"/>
    <n v="148"/>
    <n v="148"/>
  </r>
  <r>
    <x v="0"/>
    <s v="2025-03-21 18:06:17"/>
    <n v="1"/>
    <x v="3"/>
    <x v="3"/>
    <x v="1"/>
    <n v="0.97178783252283496"/>
    <n v="0"/>
    <s v="Unnamed ProjectDock_A.ScheduledUtilizationScheduled UtilizationResource"/>
    <n v="1"/>
    <n v="0.97178783252283496"/>
    <n v="0"/>
    <n v="0.95"/>
    <n v="4E+20"/>
    <n v="0.97178783252283496"/>
    <n v="0.97178783252283496"/>
  </r>
  <r>
    <x v="0"/>
    <s v="2025-03-21 18:06:17"/>
    <n v="1"/>
    <x v="4"/>
    <x v="2"/>
    <x v="1"/>
    <n v="141"/>
    <n v="0"/>
    <s v="Unnamed ProjectDock_B.NumberSeizedTotal Number SeizedResource"/>
    <n v="1"/>
    <n v="141"/>
    <n v="0"/>
    <n v="0.95"/>
    <n v="4E+20"/>
    <n v="141"/>
    <n v="141"/>
  </r>
  <r>
    <x v="0"/>
    <s v="2025-03-21 18:06:17"/>
    <n v="1"/>
    <x v="5"/>
    <x v="3"/>
    <x v="1"/>
    <n v="0.95583036262113796"/>
    <n v="0"/>
    <s v="Unnamed ProjectDock_B.ScheduledUtilizationScheduled UtilizationResource"/>
    <n v="1"/>
    <n v="0.95583036262113796"/>
    <n v="0"/>
    <n v="0.95"/>
    <n v="4E+20"/>
    <n v="0.95583036262113796"/>
    <n v="0.95583036262113796"/>
  </r>
  <r>
    <x v="0"/>
    <s v="2025-03-21 18:06:17"/>
    <n v="1"/>
    <x v="6"/>
    <x v="2"/>
    <x v="1"/>
    <n v="140"/>
    <n v="0"/>
    <s v="Unnamed ProjectDock_C.NumberSeizedTotal Number SeizedResource"/>
    <n v="1"/>
    <n v="140"/>
    <n v="0"/>
    <n v="0.95"/>
    <n v="4E+20"/>
    <n v="140"/>
    <n v="140"/>
  </r>
  <r>
    <x v="0"/>
    <s v="2025-03-21 18:06:17"/>
    <n v="1"/>
    <x v="7"/>
    <x v="3"/>
    <x v="1"/>
    <n v="0.99971391861735304"/>
    <n v="0"/>
    <s v="Unnamed ProjectDock_C.ScheduledUtilizationScheduled UtilizationResource"/>
    <n v="1"/>
    <n v="0.99971391861735304"/>
    <n v="0"/>
    <n v="0.95"/>
    <n v="4E+20"/>
    <n v="0.99971391861735304"/>
    <n v="0.99971391861735304"/>
  </r>
  <r>
    <x v="0"/>
    <s v="2025-03-21 18:06:17"/>
    <n v="1"/>
    <x v="8"/>
    <x v="2"/>
    <x v="1"/>
    <n v="139"/>
    <n v="0"/>
    <s v="Unnamed ProjectDock_D.NumberSeizedTotal Number SeizedResource"/>
    <n v="1"/>
    <n v="139"/>
    <n v="0"/>
    <n v="0.95"/>
    <n v="4E+20"/>
    <n v="139"/>
    <n v="139"/>
  </r>
  <r>
    <x v="0"/>
    <s v="2025-03-21 18:06:17"/>
    <n v="1"/>
    <x v="9"/>
    <x v="3"/>
    <x v="1"/>
    <n v="0.97630114796398204"/>
    <n v="0"/>
    <s v="Unnamed ProjectDock_D.ScheduledUtilizationScheduled UtilizationResource"/>
    <n v="1"/>
    <n v="0.97630114796398204"/>
    <n v="0"/>
    <n v="0.95"/>
    <n v="4E+20"/>
    <n v="0.97630114796398204"/>
    <n v="0.97630114796398204"/>
  </r>
  <r>
    <x v="0"/>
    <s v="2025-03-21 18:06:17"/>
    <n v="1"/>
    <x v="10"/>
    <x v="1"/>
    <x v="2"/>
    <n v="121"/>
    <n v="0"/>
    <s v="Unnamed ProjectSystem.NumberOutNumber OutSystem"/>
    <n v="1"/>
    <n v="121"/>
    <n v="0"/>
    <n v="0.95"/>
    <n v="4E+20"/>
    <n v="121"/>
    <n v="121"/>
  </r>
  <r>
    <x v="0"/>
    <s v="2025-03-21 18:06:17"/>
    <n v="1"/>
    <x v="11"/>
    <x v="0"/>
    <x v="0"/>
    <n v="153"/>
    <n v="0"/>
    <s v="Unnamed ProjectTourist.NumberInNumber InEntity"/>
    <n v="1"/>
    <n v="153"/>
    <n v="0"/>
    <n v="0.95"/>
    <n v="4E+20"/>
    <n v="153"/>
    <n v="153"/>
  </r>
  <r>
    <x v="0"/>
    <s v="2025-03-21 18:06:17"/>
    <n v="1"/>
    <x v="12"/>
    <x v="1"/>
    <x v="0"/>
    <n v="121"/>
    <n v="0"/>
    <s v="Unnamed ProjectTourist.NumberOutNumber OutEntity"/>
    <n v="1"/>
    <n v="121"/>
    <n v="0"/>
    <n v="0.95"/>
    <n v="4E+20"/>
    <n v="121"/>
    <n v="12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s v="2025-03-21 18:06:17"/>
    <n v="1"/>
    <x v="0"/>
    <x v="0"/>
    <x v="0"/>
    <n v="327.70933906197502"/>
    <n v="2E+20"/>
    <n v="0"/>
    <n v="338"/>
    <n v="329"/>
    <n v="0"/>
    <s v="Unnamed ProjectBikeWIPEntity"/>
    <n v="1"/>
    <n v="327.70933906197502"/>
    <n v="0"/>
    <n v="0.95"/>
    <n v="4E+20"/>
    <n v="327.70933906197502"/>
    <n v="327.70933906197502"/>
    <n v="2E+20"/>
  </r>
  <r>
    <x v="0"/>
    <s v="2025-03-21 18:06:17"/>
    <n v="1"/>
    <x v="1"/>
    <x v="1"/>
    <x v="1"/>
    <n v="0.97178783252283596"/>
    <n v="2E+20"/>
    <n v="0"/>
    <n v="1"/>
    <n v="1"/>
    <n v="0"/>
    <s v="Unnamed ProjectDock_AInstantaneous UtilizationResource"/>
    <n v="1"/>
    <n v="0.97178783252283596"/>
    <n v="0"/>
    <n v="0.95"/>
    <n v="4E+20"/>
    <n v="0.97178783252283596"/>
    <n v="0.97178783252283596"/>
    <n v="2E+20"/>
  </r>
  <r>
    <x v="0"/>
    <s v="2025-03-21 18:06:17"/>
    <n v="1"/>
    <x v="1"/>
    <x v="2"/>
    <x v="1"/>
    <n v="77.743026601826799"/>
    <n v="2E+20"/>
    <n v="0"/>
    <n v="80"/>
    <n v="80"/>
    <n v="0"/>
    <s v="Unnamed ProjectDock_ANumber BusyResource"/>
    <n v="1"/>
    <n v="77.743026601826799"/>
    <n v="0"/>
    <n v="0.95"/>
    <n v="4E+20"/>
    <n v="77.743026601826799"/>
    <n v="77.743026601826799"/>
    <n v="2E+20"/>
  </r>
  <r>
    <x v="0"/>
    <s v="2025-03-21 18:06:17"/>
    <n v="1"/>
    <x v="1"/>
    <x v="3"/>
    <x v="1"/>
    <n v="80"/>
    <n v="2E+20"/>
    <n v="80"/>
    <n v="80"/>
    <n v="80"/>
    <n v="0"/>
    <s v="Unnamed ProjectDock_ANumber ScheduledResource"/>
    <n v="1"/>
    <n v="80"/>
    <n v="0"/>
    <n v="0.95"/>
    <n v="4E+20"/>
    <n v="80"/>
    <n v="80"/>
    <n v="2E+20"/>
  </r>
  <r>
    <x v="0"/>
    <s v="2025-03-21 18:06:17"/>
    <n v="1"/>
    <x v="2"/>
    <x v="1"/>
    <x v="1"/>
    <n v="0.95583036262113796"/>
    <n v="2E+20"/>
    <n v="0"/>
    <n v="1"/>
    <n v="1"/>
    <n v="0"/>
    <s v="Unnamed ProjectDock_BInstantaneous UtilizationResource"/>
    <n v="1"/>
    <n v="0.95583036262113796"/>
    <n v="0"/>
    <n v="0.95"/>
    <n v="4E+20"/>
    <n v="0.95583036262113796"/>
    <n v="0.95583036262113796"/>
    <n v="2E+20"/>
  </r>
  <r>
    <x v="0"/>
    <s v="2025-03-21 18:06:17"/>
    <n v="1"/>
    <x v="2"/>
    <x v="2"/>
    <x v="1"/>
    <n v="76.466429009690998"/>
    <n v="2E+20"/>
    <n v="0"/>
    <n v="80"/>
    <n v="80"/>
    <n v="0"/>
    <s v="Unnamed ProjectDock_BNumber BusyResource"/>
    <n v="1"/>
    <n v="76.466429009690998"/>
    <n v="0"/>
    <n v="0.95"/>
    <n v="4E+20"/>
    <n v="76.466429009690998"/>
    <n v="76.466429009690998"/>
    <n v="2E+20"/>
  </r>
  <r>
    <x v="0"/>
    <s v="2025-03-21 18:06:17"/>
    <n v="1"/>
    <x v="2"/>
    <x v="3"/>
    <x v="1"/>
    <n v="80"/>
    <n v="2E+20"/>
    <n v="80"/>
    <n v="80"/>
    <n v="80"/>
    <n v="0"/>
    <s v="Unnamed ProjectDock_BNumber ScheduledResource"/>
    <n v="1"/>
    <n v="80"/>
    <n v="0"/>
    <n v="0.95"/>
    <n v="4E+20"/>
    <n v="80"/>
    <n v="80"/>
    <n v="2E+20"/>
  </r>
  <r>
    <x v="0"/>
    <s v="2025-03-21 18:06:17"/>
    <n v="1"/>
    <x v="3"/>
    <x v="1"/>
    <x v="1"/>
    <n v="0.99971391861735304"/>
    <n v="2E+20"/>
    <n v="0"/>
    <n v="1"/>
    <n v="1"/>
    <n v="0"/>
    <s v="Unnamed ProjectDock_CInstantaneous UtilizationResource"/>
    <n v="1"/>
    <n v="0.99971391861735304"/>
    <n v="0"/>
    <n v="0.95"/>
    <n v="4E+20"/>
    <n v="0.99971391861735304"/>
    <n v="0.99971391861735304"/>
    <n v="2E+20"/>
  </r>
  <r>
    <x v="0"/>
    <s v="2025-03-21 18:06:17"/>
    <n v="1"/>
    <x v="3"/>
    <x v="2"/>
    <x v="1"/>
    <n v="79.977113489388302"/>
    <n v="2E+20"/>
    <n v="0"/>
    <n v="80"/>
    <n v="80"/>
    <n v="0"/>
    <s v="Unnamed ProjectDock_CNumber BusyResource"/>
    <n v="1"/>
    <n v="79.977113489388302"/>
    <n v="0"/>
    <n v="0.95"/>
    <n v="4E+20"/>
    <n v="79.977113489388302"/>
    <n v="79.977113489388302"/>
    <n v="2E+20"/>
  </r>
  <r>
    <x v="0"/>
    <s v="2025-03-21 18:06:17"/>
    <n v="1"/>
    <x v="3"/>
    <x v="3"/>
    <x v="1"/>
    <n v="80"/>
    <n v="2E+20"/>
    <n v="80"/>
    <n v="80"/>
    <n v="80"/>
    <n v="0"/>
    <s v="Unnamed ProjectDock_CNumber ScheduledResource"/>
    <n v="1"/>
    <n v="80"/>
    <n v="0"/>
    <n v="0.95"/>
    <n v="4E+20"/>
    <n v="80"/>
    <n v="80"/>
    <n v="2E+20"/>
  </r>
  <r>
    <x v="0"/>
    <s v="2025-03-21 18:06:17"/>
    <n v="1"/>
    <x v="4"/>
    <x v="1"/>
    <x v="1"/>
    <n v="0.97630114796398204"/>
    <n v="2E+20"/>
    <n v="0"/>
    <n v="1"/>
    <n v="0.88749999999999996"/>
    <n v="0"/>
    <s v="Unnamed ProjectDock_DInstantaneous UtilizationResource"/>
    <n v="1"/>
    <n v="0.97630114796398204"/>
    <n v="0"/>
    <n v="0.95"/>
    <n v="4E+20"/>
    <n v="0.97630114796398204"/>
    <n v="0.97630114796398204"/>
    <n v="2E+20"/>
  </r>
  <r>
    <x v="0"/>
    <s v="2025-03-21 18:06:17"/>
    <n v="1"/>
    <x v="4"/>
    <x v="2"/>
    <x v="1"/>
    <n v="78.104091837118503"/>
    <n v="2E+20"/>
    <n v="0"/>
    <n v="80"/>
    <n v="71"/>
    <n v="0"/>
    <s v="Unnamed ProjectDock_DNumber BusyResource"/>
    <n v="1"/>
    <n v="78.104091837118503"/>
    <n v="0"/>
    <n v="0.95"/>
    <n v="4E+20"/>
    <n v="78.104091837118503"/>
    <n v="78.104091837118503"/>
    <n v="2E+20"/>
  </r>
  <r>
    <x v="0"/>
    <s v="2025-03-21 18:06:17"/>
    <n v="1"/>
    <x v="4"/>
    <x v="3"/>
    <x v="1"/>
    <n v="80"/>
    <n v="2E+20"/>
    <n v="80"/>
    <n v="80"/>
    <n v="80"/>
    <n v="0"/>
    <s v="Unnamed ProjectDock_DNumber ScheduledResource"/>
    <n v="1"/>
    <n v="80"/>
    <n v="0"/>
    <n v="0.95"/>
    <n v="4E+20"/>
    <n v="80"/>
    <n v="80"/>
    <n v="2E+20"/>
  </r>
  <r>
    <x v="0"/>
    <s v="2025-03-21 18:06:17"/>
    <n v="1"/>
    <x v="5"/>
    <x v="4"/>
    <x v="2"/>
    <n v="0"/>
    <n v="2E+20"/>
    <n v="0"/>
    <n v="1"/>
    <n v="0"/>
    <n v="0"/>
    <s v="Unnamed ProjectMatch Tourist to Bike A.Queue1Number WaitingQueue"/>
    <n v="1"/>
    <n v="0"/>
    <n v="0"/>
    <n v="0.95"/>
    <n v="4E+20"/>
    <n v="0"/>
    <n v="0"/>
    <n v="2E+20"/>
  </r>
  <r>
    <x v="0"/>
    <s v="2025-03-21 18:06:17"/>
    <n v="1"/>
    <x v="6"/>
    <x v="4"/>
    <x v="2"/>
    <n v="77.743026601826799"/>
    <n v="2E+20"/>
    <n v="0"/>
    <n v="80"/>
    <n v="80"/>
    <n v="0"/>
    <s v="Unnamed ProjectMatch Tourist to Bike A.Queue2Number WaitingQueue"/>
    <n v="1"/>
    <n v="77.743026601826799"/>
    <n v="0"/>
    <n v="0.95"/>
    <n v="4E+20"/>
    <n v="77.743026601826799"/>
    <n v="77.743026601826799"/>
    <n v="2E+20"/>
  </r>
  <r>
    <x v="0"/>
    <s v="2025-03-21 18:06:17"/>
    <n v="1"/>
    <x v="7"/>
    <x v="4"/>
    <x v="2"/>
    <n v="0"/>
    <n v="2E+20"/>
    <n v="0"/>
    <n v="1"/>
    <n v="0"/>
    <n v="0"/>
    <s v="Unnamed ProjectMatch Tourist to Bike B.Queue1Number WaitingQueue"/>
    <n v="1"/>
    <n v="0"/>
    <n v="0"/>
    <n v="0.95"/>
    <n v="4E+20"/>
    <n v="0"/>
    <n v="0"/>
    <n v="2E+20"/>
  </r>
  <r>
    <x v="0"/>
    <s v="2025-03-21 18:06:17"/>
    <n v="1"/>
    <x v="8"/>
    <x v="4"/>
    <x v="2"/>
    <n v="76.466429009690998"/>
    <n v="2E+20"/>
    <n v="0"/>
    <n v="80"/>
    <n v="80"/>
    <n v="0"/>
    <s v="Unnamed ProjectMatch Tourist to Bike B.Queue2Number WaitingQueue"/>
    <n v="1"/>
    <n v="76.466429009690998"/>
    <n v="0"/>
    <n v="0.95"/>
    <n v="4E+20"/>
    <n v="76.466429009690998"/>
    <n v="76.466429009690998"/>
    <n v="2E+20"/>
  </r>
  <r>
    <x v="0"/>
    <s v="2025-03-21 18:06:17"/>
    <n v="1"/>
    <x v="9"/>
    <x v="4"/>
    <x v="2"/>
    <n v="0"/>
    <n v="2E+20"/>
    <n v="0"/>
    <n v="1"/>
    <n v="0"/>
    <n v="0"/>
    <s v="Unnamed ProjectMatch Tourist to Bike C.Queue1Number WaitingQueue"/>
    <n v="1"/>
    <n v="0"/>
    <n v="0"/>
    <n v="0.95"/>
    <n v="4E+20"/>
    <n v="0"/>
    <n v="0"/>
    <n v="2E+20"/>
  </r>
  <r>
    <x v="0"/>
    <s v="2025-03-21 18:06:17"/>
    <n v="1"/>
    <x v="10"/>
    <x v="4"/>
    <x v="2"/>
    <n v="79.977113489388302"/>
    <n v="2E+20"/>
    <n v="0"/>
    <n v="80"/>
    <n v="80"/>
    <n v="0"/>
    <s v="Unnamed ProjectMatch Tourist to Bike C.Queue2Number WaitingQueue"/>
    <n v="1"/>
    <n v="79.977113489388302"/>
    <n v="0"/>
    <n v="0.95"/>
    <n v="4E+20"/>
    <n v="79.977113489388302"/>
    <n v="79.977113489388302"/>
    <n v="2E+20"/>
  </r>
  <r>
    <x v="0"/>
    <s v="2025-03-21 18:06:17"/>
    <n v="1"/>
    <x v="11"/>
    <x v="4"/>
    <x v="2"/>
    <n v="0"/>
    <n v="2E+20"/>
    <n v="0"/>
    <n v="1"/>
    <n v="0"/>
    <n v="0"/>
    <s v="Unnamed ProjectMatch Tourist to Bike D.Queue1Number WaitingQueue"/>
    <n v="1"/>
    <n v="0"/>
    <n v="0"/>
    <n v="0.95"/>
    <n v="4E+20"/>
    <n v="0"/>
    <n v="0"/>
    <n v="2E+20"/>
  </r>
  <r>
    <x v="0"/>
    <s v="2025-03-21 18:06:17"/>
    <n v="1"/>
    <x v="12"/>
    <x v="4"/>
    <x v="2"/>
    <n v="78.104091837118503"/>
    <n v="2E+20"/>
    <n v="0"/>
    <n v="80"/>
    <n v="71"/>
    <n v="0"/>
    <s v="Unnamed ProjectMatch Tourist to Bike D.Queue2Number WaitingQueue"/>
    <n v="1"/>
    <n v="78.104091837118503"/>
    <n v="0"/>
    <n v="0.95"/>
    <n v="4E+20"/>
    <n v="78.104091837118503"/>
    <n v="78.104091837118503"/>
    <n v="2E+20"/>
  </r>
  <r>
    <x v="0"/>
    <s v="2025-03-21 18:06:17"/>
    <n v="1"/>
    <x v="13"/>
    <x v="4"/>
    <x v="2"/>
    <n v="0"/>
    <n v="2E+20"/>
    <n v="0"/>
    <n v="0"/>
    <n v="0"/>
    <n v="0"/>
    <s v="Unnamed ProjectPut Bike in Dock B.QueueNumber WaitingQueue"/>
    <n v="1"/>
    <n v="0"/>
    <n v="0"/>
    <n v="0.95"/>
    <n v="4E+20"/>
    <n v="0"/>
    <n v="0"/>
    <n v="2E+20"/>
  </r>
  <r>
    <x v="0"/>
    <s v="2025-03-21 18:06:17"/>
    <n v="1"/>
    <x v="14"/>
    <x v="4"/>
    <x v="2"/>
    <n v="0"/>
    <n v="2E+20"/>
    <n v="0"/>
    <n v="0"/>
    <n v="0"/>
    <n v="0"/>
    <s v="Unnamed ProjectPut Bike in Dock C.QueueNumber WaitingQueue"/>
    <n v="1"/>
    <n v="0"/>
    <n v="0"/>
    <n v="0.95"/>
    <n v="4E+20"/>
    <n v="0"/>
    <n v="0"/>
    <n v="2E+20"/>
  </r>
  <r>
    <x v="0"/>
    <s v="2025-03-21 18:06:17"/>
    <n v="1"/>
    <x v="15"/>
    <x v="4"/>
    <x v="2"/>
    <n v="0"/>
    <n v="2E+20"/>
    <n v="0"/>
    <n v="0"/>
    <n v="0"/>
    <n v="0"/>
    <s v="Unnamed ProjectPut Bike in Dock D.QueueNumber WaitingQueue"/>
    <n v="1"/>
    <n v="0"/>
    <n v="0"/>
    <n v="0.95"/>
    <n v="4E+20"/>
    <n v="0"/>
    <n v="0"/>
    <n v="2E+20"/>
  </r>
  <r>
    <x v="0"/>
    <s v="2025-03-21 18:06:17"/>
    <n v="1"/>
    <x v="16"/>
    <x v="4"/>
    <x v="2"/>
    <n v="0"/>
    <n v="2E+20"/>
    <n v="0"/>
    <n v="0"/>
    <n v="0"/>
    <n v="0"/>
    <s v="Unnamed ProjectPut Bike in Dock.QueueNumber WaitingQueue"/>
    <n v="1"/>
    <n v="0"/>
    <n v="0"/>
    <n v="0.95"/>
    <n v="4E+20"/>
    <n v="0"/>
    <n v="0"/>
    <n v="2E+20"/>
  </r>
  <r>
    <x v="0"/>
    <s v="2025-03-21 18:06:17"/>
    <n v="1"/>
    <x v="17"/>
    <x v="0"/>
    <x v="0"/>
    <n v="31.804355385934599"/>
    <n v="2E+20"/>
    <n v="0"/>
    <n v="49"/>
    <n v="32"/>
    <n v="0"/>
    <s v="Unnamed ProjectTouristWIPEntity"/>
    <n v="1"/>
    <n v="31.804355385934599"/>
    <n v="0"/>
    <n v="0.95"/>
    <n v="4E+20"/>
    <n v="31.804355385934599"/>
    <n v="31.804355385934599"/>
    <n v="2E+20"/>
  </r>
  <r>
    <x v="0"/>
    <s v="2025-03-21 18:06:17"/>
    <n v="1"/>
    <x v="18"/>
    <x v="4"/>
    <x v="2"/>
    <n v="0"/>
    <n v="2E+20"/>
    <n v="0"/>
    <n v="0"/>
    <n v="0"/>
    <n v="0"/>
    <s v="Unnamed ProjectWait for a Free Bike A.QueueNumber WaitingQueue"/>
    <n v="1"/>
    <n v="0"/>
    <n v="0"/>
    <n v="0.95"/>
    <n v="4E+20"/>
    <n v="0"/>
    <n v="0"/>
    <n v="2E+20"/>
  </r>
  <r>
    <x v="0"/>
    <s v="2025-03-21 18:06:17"/>
    <n v="1"/>
    <x v="19"/>
    <x v="4"/>
    <x v="2"/>
    <n v="0"/>
    <n v="2E+20"/>
    <n v="0"/>
    <n v="0"/>
    <n v="0"/>
    <n v="0"/>
    <s v="Unnamed ProjectWait for a Free Bike B.QueueNumber WaitingQueue"/>
    <n v="1"/>
    <n v="0"/>
    <n v="0"/>
    <n v="0.95"/>
    <n v="4E+20"/>
    <n v="0"/>
    <n v="0"/>
    <n v="2E+20"/>
  </r>
  <r>
    <x v="0"/>
    <s v="2025-03-21 18:06:17"/>
    <n v="1"/>
    <x v="20"/>
    <x v="4"/>
    <x v="2"/>
    <n v="0"/>
    <n v="2E+20"/>
    <n v="0"/>
    <n v="0"/>
    <n v="0"/>
    <n v="0"/>
    <s v="Unnamed ProjectWait for a Free Bike C.QueueNumber WaitingQueue"/>
    <n v="1"/>
    <n v="0"/>
    <n v="0"/>
    <n v="0.95"/>
    <n v="4E+20"/>
    <n v="0"/>
    <n v="0"/>
    <n v="2E+20"/>
  </r>
  <r>
    <x v="0"/>
    <s v="2025-03-21 18:06:17"/>
    <n v="1"/>
    <x v="21"/>
    <x v="4"/>
    <x v="2"/>
    <n v="0"/>
    <n v="2E+20"/>
    <n v="0"/>
    <n v="0"/>
    <n v="0"/>
    <n v="0"/>
    <s v="Unnamed ProjectWait for a Free Bike D.QueueNumber WaitingQueue"/>
    <n v="1"/>
    <n v="0"/>
    <n v="0"/>
    <n v="0.95"/>
    <n v="4E+20"/>
    <n v="0"/>
    <n v="0"/>
    <n v="2E+20"/>
  </r>
  <r>
    <x v="0"/>
    <s v="2025-03-21 18:06:17"/>
    <n v="1"/>
    <x v="22"/>
    <x v="4"/>
    <x v="2"/>
    <n v="0.23996497703464301"/>
    <n v="2E+20"/>
    <n v="0"/>
    <n v="4"/>
    <n v="0"/>
    <n v="0"/>
    <s v="Unnamed ProjectWait for free dock A.QueueNumber WaitingQueue"/>
    <n v="1"/>
    <n v="0.23996497703464301"/>
    <n v="0"/>
    <n v="0.95"/>
    <n v="4E+20"/>
    <n v="0.23996497703464301"/>
    <n v="0.23996497703464301"/>
    <n v="2E+20"/>
  </r>
  <r>
    <x v="0"/>
    <s v="2025-03-21 18:06:17"/>
    <n v="1"/>
    <x v="23"/>
    <x v="4"/>
    <x v="2"/>
    <n v="0.29878411330610899"/>
    <n v="2E+20"/>
    <n v="0"/>
    <n v="8"/>
    <n v="7"/>
    <n v="0"/>
    <s v="Unnamed ProjectWait for free dock B.QueueNumber WaitingQueue"/>
    <n v="1"/>
    <n v="0.29878411330610899"/>
    <n v="0"/>
    <n v="0.95"/>
    <n v="4E+20"/>
    <n v="0.29878411330610899"/>
    <n v="0.29878411330610899"/>
    <n v="2E+20"/>
  </r>
  <r>
    <x v="0"/>
    <s v="2025-03-21 18:06:17"/>
    <n v="1"/>
    <x v="24"/>
    <x v="4"/>
    <x v="2"/>
    <n v="3.1408530452138201"/>
    <n v="2E+20"/>
    <n v="0"/>
    <n v="11"/>
    <n v="0"/>
    <n v="0"/>
    <s v="Unnamed ProjectWait for free dock C.QueueNumber WaitingQueue"/>
    <n v="1"/>
    <n v="3.1408530452138201"/>
    <n v="0"/>
    <n v="0.95"/>
    <n v="4E+20"/>
    <n v="3.1408530452138201"/>
    <n v="3.1408530452138201"/>
    <n v="2E+20"/>
  </r>
  <r>
    <x v="0"/>
    <s v="2025-03-21 18:06:17"/>
    <n v="1"/>
    <x v="25"/>
    <x v="4"/>
    <x v="2"/>
    <n v="0.611974429229867"/>
    <n v="2E+20"/>
    <n v="0"/>
    <n v="3"/>
    <n v="0"/>
    <n v="0"/>
    <s v="Unnamed ProjectWait for free dock D.QueueNumber WaitingQueue"/>
    <n v="1"/>
    <n v="0.611974429229867"/>
    <n v="0"/>
    <n v="0.95"/>
    <n v="4E+20"/>
    <n v="0.611974429229867"/>
    <n v="0.611974429229867"/>
    <n v="2E+2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28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0">
        <item m="1" x="31"/>
        <item m="1" x="54"/>
        <item m="1" x="26"/>
        <item m="1" x="106"/>
        <item m="1" x="89"/>
        <item m="1" x="59"/>
        <item m="1" x="115"/>
        <item m="1" x="47"/>
        <item m="1" x="51"/>
        <item m="1" x="118"/>
        <item m="1" x="84"/>
        <item m="1" x="96"/>
        <item m="1" x="101"/>
        <item m="1" x="25"/>
        <item m="1" x="53"/>
        <item m="1" x="43"/>
        <item m="1" x="119"/>
        <item m="1" x="113"/>
        <item m="1" x="41"/>
        <item m="1" x="35"/>
        <item m="1" x="107"/>
        <item m="1" x="27"/>
        <item m="1" x="60"/>
        <item m="1" x="46"/>
        <item m="1" x="71"/>
        <item m="1" x="98"/>
        <item m="1" x="62"/>
        <item m="1" x="32"/>
        <item m="1" x="56"/>
        <item m="1" x="85"/>
        <item m="1" x="75"/>
        <item m="1" x="33"/>
        <item m="1" x="92"/>
        <item m="1" x="24"/>
        <item m="1" x="112"/>
        <item m="1" x="80"/>
        <item m="1" x="100"/>
        <item m="1" x="55"/>
        <item m="1" x="114"/>
        <item m="1" x="83"/>
        <item m="1" x="37"/>
        <item m="1" x="74"/>
        <item m="1" x="88"/>
        <item m="1" x="99"/>
        <item m="1" x="105"/>
        <item m="1" x="23"/>
        <item m="1" x="36"/>
        <item m="1" x="45"/>
        <item m="1" x="38"/>
        <item m="1" x="22"/>
        <item m="1" x="97"/>
        <item m="1" x="109"/>
        <item m="1" x="49"/>
        <item m="1" x="79"/>
        <item m="1" x="40"/>
        <item m="1" x="57"/>
        <item m="1" x="44"/>
        <item m="1" x="65"/>
        <item m="1" x="52"/>
        <item m="1" x="72"/>
        <item m="1" x="58"/>
        <item m="1" x="81"/>
        <item m="1" x="66"/>
        <item m="1" x="86"/>
        <item m="1" x="73"/>
        <item m="1" x="94"/>
        <item m="1" x="87"/>
        <item m="1" x="102"/>
        <item m="1" x="110"/>
        <item m="1" x="90"/>
        <item m="1" x="69"/>
        <item m="1" x="50"/>
        <item m="1" x="63"/>
        <item m="1" x="34"/>
        <item m="1" x="39"/>
        <item m="1" x="48"/>
        <item m="1" x="76"/>
        <item m="1" x="111"/>
        <item m="1" x="104"/>
        <item m="1" x="91"/>
        <item m="1" x="64"/>
        <item m="1" x="77"/>
        <item m="1" x="68"/>
        <item m="1" x="93"/>
        <item m="1" x="78"/>
        <item m="1" x="61"/>
        <item m="1" x="67"/>
        <item m="1" x="30"/>
        <item m="1" x="70"/>
        <item m="1" x="82"/>
        <item m="1" x="95"/>
        <item m="1" x="103"/>
        <item m="1" x="108"/>
        <item m="1" x="117"/>
        <item m="1" x="28"/>
        <item m="1" x="42"/>
        <item m="1" x="116"/>
        <item m="1" x="29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26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7"/>
      <x v="1"/>
    </i>
    <i r="1">
      <x v="108"/>
      <x v="7"/>
      <x v="1"/>
    </i>
    <i r="1">
      <x v="109"/>
      <x v="7"/>
      <x v="1"/>
    </i>
    <i r="1">
      <x v="110"/>
      <x v="7"/>
      <x v="1"/>
    </i>
    <i r="1">
      <x v="11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12"/>
      <x v="7"/>
      <x v="1"/>
    </i>
    <i r="1">
      <x v="113"/>
      <x v="7"/>
      <x v="1"/>
    </i>
    <i r="1">
      <x v="114"/>
      <x v="7"/>
      <x v="1"/>
    </i>
    <i r="1">
      <x v="115"/>
      <x v="7"/>
      <x v="1"/>
    </i>
    <i r="1">
      <x v="116"/>
      <x v="7"/>
      <x v="1"/>
    </i>
    <i r="1">
      <x v="117"/>
      <x v="7"/>
      <x v="1"/>
    </i>
    <i r="1">
      <x v="118"/>
      <x v="7"/>
      <x v="1"/>
    </i>
    <i r="1">
      <x v="119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1">
        <item m="1" x="38"/>
        <item m="1" x="14"/>
        <item m="1" x="39"/>
        <item m="1" x="15"/>
        <item m="1" x="40"/>
        <item m="1" x="16"/>
        <item m="1" x="41"/>
        <item m="1" x="17"/>
        <item m="1" x="73"/>
        <item m="1" x="28"/>
        <item x="10"/>
        <item m="1" x="72"/>
        <item m="1" x="59"/>
        <item m="1" x="76"/>
        <item m="1" x="61"/>
        <item m="1" x="77"/>
        <item m="1" x="84"/>
        <item m="1" x="53"/>
        <item m="1" x="21"/>
        <item m="1" x="70"/>
        <item m="1" x="60"/>
        <item m="1" x="58"/>
        <item m="1" x="24"/>
        <item m="1" x="68"/>
        <item m="1" x="33"/>
        <item m="1" x="69"/>
        <item m="1" x="34"/>
        <item m="1" x="67"/>
        <item m="1" x="87"/>
        <item m="1" x="27"/>
        <item m="1" x="90"/>
        <item m="1" x="55"/>
        <item m="1" x="22"/>
        <item m="1" x="85"/>
        <item m="1" x="80"/>
        <item m="1" x="56"/>
        <item m="1" x="23"/>
        <item m="1" x="86"/>
        <item m="1" x="81"/>
        <item m="1" x="18"/>
        <item m="1" x="52"/>
        <item m="1" x="36"/>
        <item m="1" x="26"/>
        <item m="1" x="78"/>
        <item m="1" x="48"/>
        <item m="1" x="79"/>
        <item m="1" x="49"/>
        <item m="1" x="35"/>
        <item m="1" x="30"/>
        <item m="1" x="57"/>
        <item m="1" x="32"/>
        <item m="1" x="89"/>
        <item m="1" x="82"/>
        <item m="1" x="31"/>
        <item m="1" x="29"/>
        <item m="1" x="74"/>
        <item m="1" x="83"/>
        <item m="1" x="19"/>
        <item m="1" x="37"/>
        <item m="1" x="50"/>
        <item m="1" x="71"/>
        <item m="1" x="88"/>
        <item m="1" x="20"/>
        <item m="1" x="47"/>
        <item m="1" x="51"/>
        <item m="1" x="75"/>
        <item m="1" x="54"/>
        <item m="1" x="25"/>
        <item m="1" x="42"/>
        <item m="1" x="62"/>
        <item m="1" x="43"/>
        <item m="1" x="63"/>
        <item m="1" x="44"/>
        <item m="1" x="64"/>
        <item m="1" x="45"/>
        <item m="1" x="65"/>
        <item m="1" x="46"/>
        <item m="1" x="66"/>
        <item m="1" x="13"/>
        <item x="0"/>
        <item x="1"/>
        <item x="2"/>
        <item x="3"/>
        <item x="4"/>
        <item x="5"/>
        <item x="6"/>
        <item x="7"/>
        <item x="8"/>
        <item x="9"/>
        <item x="11"/>
        <item x="12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  <i r="1">
      <x v="89"/>
      <x/>
      <x/>
    </i>
    <i r="1">
      <x v="9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36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50">
        <item m="1" x="41"/>
        <item m="1" x="32"/>
        <item m="1" x="48"/>
        <item m="1" x="57"/>
        <item m="1" x="70"/>
        <item m="1" x="69"/>
        <item m="1" x="33"/>
        <item m="1" x="134"/>
        <item m="1" x="112"/>
        <item m="1" x="75"/>
        <item m="1" x="62"/>
        <item m="1" x="66"/>
        <item m="1" x="148"/>
        <item m="1" x="51"/>
        <item m="1" x="133"/>
        <item m="1" x="55"/>
        <item m="1" x="106"/>
        <item m="1" x="120"/>
        <item m="1" x="30"/>
        <item m="1" x="56"/>
        <item m="1" x="143"/>
        <item m="1" x="45"/>
        <item m="1" x="135"/>
        <item m="1" x="34"/>
        <item m="1" x="61"/>
        <item m="1" x="87"/>
        <item m="1" x="31"/>
        <item m="1" x="37"/>
        <item m="1" x="107"/>
        <item m="1" x="88"/>
        <item m="1" x="122"/>
        <item m="1" x="78"/>
        <item m="1" x="42"/>
        <item m="1" x="72"/>
        <item m="1" x="108"/>
        <item m="1" x="93"/>
        <item m="1" x="43"/>
        <item m="1" x="53"/>
        <item m="1" x="115"/>
        <item m="1" x="29"/>
        <item m="1" x="142"/>
        <item m="1" x="100"/>
        <item m="1" x="40"/>
        <item m="1" x="125"/>
        <item m="1" x="71"/>
        <item m="1" x="144"/>
        <item m="1" x="105"/>
        <item m="1" x="47"/>
        <item m="1" x="92"/>
        <item m="1" x="111"/>
        <item m="1" x="124"/>
        <item m="1" x="132"/>
        <item m="1" x="141"/>
        <item m="1" x="28"/>
        <item m="1" x="46"/>
        <item m="1" x="60"/>
        <item m="1" x="49"/>
        <item m="1" x="27"/>
        <item m="1" x="121"/>
        <item m="1" x="138"/>
        <item m="1" x="64"/>
        <item m="1" x="99"/>
        <item m="1" x="52"/>
        <item m="1" x="73"/>
        <item m="1" x="58"/>
        <item m="1" x="82"/>
        <item m="1" x="67"/>
        <item m="1" x="89"/>
        <item m="1" x="74"/>
        <item m="1" x="101"/>
        <item m="1" x="83"/>
        <item m="1" x="109"/>
        <item m="1" x="90"/>
        <item m="1" x="118"/>
        <item m="1" x="102"/>
        <item m="1" x="123"/>
        <item m="1" x="110"/>
        <item m="1" x="127"/>
        <item m="1" x="139"/>
        <item m="1" x="129"/>
        <item m="1" x="113"/>
        <item m="1" x="86"/>
        <item m="1" x="65"/>
        <item m="1" x="80"/>
        <item m="1" x="44"/>
        <item m="1" x="50"/>
        <item m="1" x="59"/>
        <item m="1" x="63"/>
        <item m="1" x="95"/>
        <item m="1" x="140"/>
        <item m="1" x="130"/>
        <item m="1" x="114"/>
        <item m="1" x="81"/>
        <item m="1" x="149"/>
        <item m="1" x="97"/>
        <item m="1" x="85"/>
        <item m="1" x="117"/>
        <item m="1" x="98"/>
        <item m="1" x="77"/>
        <item m="1" x="84"/>
        <item m="1" x="38"/>
        <item m="1" x="103"/>
        <item m="1" x="119"/>
        <item m="1" x="128"/>
        <item m="1" x="136"/>
        <item m="1" x="147"/>
        <item m="1" x="35"/>
        <item m="1" x="54"/>
        <item m="1" x="146"/>
        <item m="1" x="36"/>
        <item m="1" x="104"/>
        <item m="1" x="79"/>
        <item m="1" x="94"/>
        <item m="1" x="39"/>
        <item m="1" x="145"/>
        <item m="1" x="126"/>
        <item m="1" x="76"/>
        <item m="1" x="137"/>
        <item m="1" x="96"/>
        <item m="1" x="116"/>
        <item m="1" x="131"/>
        <item m="1" x="68"/>
        <item m="1" x="91"/>
        <item m="1" x="2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4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/>
      <x v="2"/>
    </i>
    <i r="2">
      <x v="1"/>
      <x v="2"/>
    </i>
    <i r="2">
      <x v="2"/>
      <x v="2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3"/>
      <x v="1"/>
    </i>
    <i r="1">
      <x v="133"/>
      <x v="3"/>
      <x v="1"/>
    </i>
    <i r="1">
      <x v="134"/>
      <x v="3"/>
      <x v="1"/>
    </i>
    <i r="1">
      <x v="135"/>
      <x v="3"/>
      <x v="1"/>
    </i>
    <i r="1">
      <x v="136"/>
      <x v="3"/>
      <x v="1"/>
    </i>
    <i r="1">
      <x v="137"/>
      <x v="3"/>
      <x v="1"/>
    </i>
    <i r="1">
      <x v="138"/>
      <x v="3"/>
      <x v="1"/>
    </i>
    <i r="1">
      <x v="139"/>
      <x v="3"/>
      <x v="1"/>
    </i>
    <i r="1">
      <x v="140"/>
      <x v="3"/>
      <x v="1"/>
    </i>
    <i r="1">
      <x v="141"/>
      <x v="4"/>
      <x/>
    </i>
    <i r="1">
      <x v="142"/>
      <x v="3"/>
      <x v="1"/>
    </i>
    <i r="1">
      <x v="143"/>
      <x v="3"/>
      <x v="1"/>
    </i>
    <i r="1">
      <x v="144"/>
      <x v="3"/>
      <x v="1"/>
    </i>
    <i r="1">
      <x v="145"/>
      <x v="3"/>
      <x v="1"/>
    </i>
    <i r="1">
      <x v="146"/>
      <x v="3"/>
      <x v="1"/>
    </i>
    <i r="1">
      <x v="147"/>
      <x v="3"/>
      <x v="1"/>
    </i>
    <i r="1">
      <x v="148"/>
      <x v="3"/>
      <x v="1"/>
    </i>
    <i r="1">
      <x v="149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7" tableType="queryTable" totalsRowShown="0">
  <autoFilter ref="A1:Y27" xr:uid="{C3D003CA-1AFF-426C-A03D-D3AF5760DF1A}"/>
  <sortState xmlns:xlrd2="http://schemas.microsoft.com/office/spreadsheetml/2017/richdata2" ref="A2:Y27">
    <sortCondition ref="D1:D27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35" tableType="queryTable" totalsRowShown="0">
  <autoFilter ref="A1:U35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4" tableType="queryTable" totalsRowShown="0">
  <autoFilter ref="A1:P14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1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3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38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7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6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5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4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52.0898437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67</v>
      </c>
      <c r="B2" t="s">
        <v>68</v>
      </c>
      <c r="C2" t="s">
        <v>69</v>
      </c>
      <c r="D2">
        <v>3</v>
      </c>
      <c r="E2">
        <v>1</v>
      </c>
      <c r="F2">
        <v>8</v>
      </c>
      <c r="G2">
        <f>0.95</f>
        <v>0.95</v>
      </c>
    </row>
  </sheetData>
  <phoneticPr fontId="2" type="noConversion"/>
  <conditionalFormatting sqref="D2">
    <cfRule type="expression" dxfId="33" priority="1">
      <formula>D2=3</formula>
    </cfRule>
    <cfRule type="expression" dxfId="32" priority="2">
      <formula>D2=2</formula>
    </cfRule>
    <cfRule type="expression" dxfId="31" priority="3">
      <formula>D2=1</formula>
    </cfRule>
    <cfRule type="expression" dxfId="30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36"/>
  <sheetViews>
    <sheetView tabSelected="1" workbookViewId="0"/>
  </sheetViews>
  <sheetFormatPr defaultRowHeight="14.5" x14ac:dyDescent="0.35"/>
  <cols>
    <col min="1" max="1" width="33.1796875" customWidth="1"/>
    <col min="2" max="2" width="28.63281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0.0898437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0.0898437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67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68</v>
      </c>
      <c r="O3" t="s">
        <v>67</v>
      </c>
      <c r="P3" t="s">
        <v>100</v>
      </c>
      <c r="Q3" t="s">
        <v>101</v>
      </c>
      <c r="R3" t="s">
        <v>86</v>
      </c>
      <c r="S3" s="5">
        <v>327.70933906197502</v>
      </c>
      <c r="T3" s="5">
        <v>2E+20</v>
      </c>
      <c r="U3" s="5">
        <v>0</v>
      </c>
      <c r="V3" s="5">
        <v>327.70933906197502</v>
      </c>
      <c r="W3" s="5">
        <v>327.70933906197502</v>
      </c>
      <c r="X3" s="5">
        <v>0</v>
      </c>
      <c r="Y3" s="5">
        <v>338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125</v>
      </c>
      <c r="AM3" t="s">
        <v>114</v>
      </c>
      <c r="AN3" t="s">
        <v>126</v>
      </c>
      <c r="AO3" s="5">
        <v>121</v>
      </c>
      <c r="AP3" s="5">
        <v>4E+20</v>
      </c>
      <c r="AQ3" s="5">
        <v>0</v>
      </c>
      <c r="AR3" s="5">
        <v>121</v>
      </c>
      <c r="AS3" s="5">
        <v>121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4.4792967983940599</v>
      </c>
      <c r="F4" s="5">
        <v>1</v>
      </c>
      <c r="G4" s="5">
        <v>2E+20</v>
      </c>
      <c r="H4" s="5">
        <v>0</v>
      </c>
      <c r="I4" s="5">
        <v>4.4792967983940599</v>
      </c>
      <c r="J4" s="5">
        <v>4.4792967983940599</v>
      </c>
      <c r="K4" s="5">
        <v>0.36476006724152799</v>
      </c>
      <c r="L4" s="5">
        <v>7.7798944428576604</v>
      </c>
      <c r="M4" s="5">
        <v>68</v>
      </c>
      <c r="P4" t="s">
        <v>102</v>
      </c>
      <c r="Q4" t="s">
        <v>103</v>
      </c>
      <c r="R4" t="s">
        <v>104</v>
      </c>
      <c r="S4" s="5">
        <v>0.97178783252283596</v>
      </c>
      <c r="T4" s="5">
        <v>2E+20</v>
      </c>
      <c r="U4" s="5">
        <v>0</v>
      </c>
      <c r="V4" s="5">
        <v>0.97178783252283596</v>
      </c>
      <c r="W4" s="5">
        <v>0.97178783252283596</v>
      </c>
      <c r="X4" s="5">
        <v>0</v>
      </c>
      <c r="Y4" s="5">
        <v>1</v>
      </c>
      <c r="AL4" t="s">
        <v>111</v>
      </c>
      <c r="AM4" t="s">
        <v>112</v>
      </c>
      <c r="AN4" t="s">
        <v>86</v>
      </c>
      <c r="AO4" s="5">
        <v>577</v>
      </c>
      <c r="AP4" s="5">
        <v>4E+20</v>
      </c>
      <c r="AQ4" s="5">
        <v>0</v>
      </c>
      <c r="AR4" s="5">
        <v>577</v>
      </c>
      <c r="AS4" s="5">
        <v>577</v>
      </c>
    </row>
    <row r="5" spans="1:52" x14ac:dyDescent="0.35">
      <c r="B5" t="s">
        <v>74</v>
      </c>
      <c r="C5" t="s">
        <v>71</v>
      </c>
      <c r="D5" t="s">
        <v>72</v>
      </c>
      <c r="E5" s="5">
        <v>0</v>
      </c>
      <c r="F5" s="5">
        <v>1</v>
      </c>
      <c r="G5" s="5">
        <v>2E+20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61</v>
      </c>
      <c r="Q5" t="s">
        <v>105</v>
      </c>
      <c r="R5" t="s">
        <v>104</v>
      </c>
      <c r="S5" s="5">
        <v>77.743026601826799</v>
      </c>
      <c r="T5" s="5">
        <v>2E+20</v>
      </c>
      <c r="U5" s="5">
        <v>0</v>
      </c>
      <c r="V5" s="5">
        <v>77.743026601826799</v>
      </c>
      <c r="W5" s="5">
        <v>77.743026601826799</v>
      </c>
      <c r="X5" s="5">
        <v>0</v>
      </c>
      <c r="Y5" s="5">
        <v>80</v>
      </c>
      <c r="AL5" t="s">
        <v>113</v>
      </c>
      <c r="AM5" t="s">
        <v>114</v>
      </c>
      <c r="AN5" t="s">
        <v>86</v>
      </c>
      <c r="AO5" s="5">
        <v>248</v>
      </c>
      <c r="AP5" s="5">
        <v>4E+20</v>
      </c>
      <c r="AQ5" s="5">
        <v>0</v>
      </c>
      <c r="AR5" s="5">
        <v>248</v>
      </c>
      <c r="AS5" s="5">
        <v>248</v>
      </c>
    </row>
    <row r="6" spans="1:52" x14ac:dyDescent="0.35">
      <c r="B6" t="s">
        <v>75</v>
      </c>
      <c r="C6" t="s">
        <v>71</v>
      </c>
      <c r="D6" t="s">
        <v>72</v>
      </c>
      <c r="E6" s="5">
        <v>3.76527269329056</v>
      </c>
      <c r="F6" s="5">
        <v>1</v>
      </c>
      <c r="G6" s="5">
        <v>2E+20</v>
      </c>
      <c r="H6" s="5">
        <v>0</v>
      </c>
      <c r="I6" s="5">
        <v>3.76527269329056</v>
      </c>
      <c r="J6" s="5">
        <v>3.76527269329056</v>
      </c>
      <c r="K6" s="5">
        <v>0.51040223307947497</v>
      </c>
      <c r="L6" s="5">
        <v>7.9287914992111501</v>
      </c>
      <c r="M6" s="5">
        <v>61</v>
      </c>
      <c r="Q6" t="s">
        <v>106</v>
      </c>
      <c r="R6" t="s">
        <v>104</v>
      </c>
      <c r="S6" s="5">
        <v>80</v>
      </c>
      <c r="T6" s="5">
        <v>2E+20</v>
      </c>
      <c r="U6" s="5">
        <v>0</v>
      </c>
      <c r="V6" s="5">
        <v>80</v>
      </c>
      <c r="W6" s="5">
        <v>80</v>
      </c>
      <c r="X6" s="5">
        <v>80</v>
      </c>
      <c r="Y6" s="5">
        <v>80</v>
      </c>
      <c r="AL6" t="s">
        <v>115</v>
      </c>
      <c r="AM6" t="s">
        <v>116</v>
      </c>
      <c r="AN6" t="s">
        <v>104</v>
      </c>
      <c r="AO6" s="5">
        <v>148</v>
      </c>
      <c r="AP6" s="5">
        <v>4E+20</v>
      </c>
      <c r="AQ6" s="5">
        <v>0</v>
      </c>
      <c r="AR6" s="5">
        <v>148</v>
      </c>
      <c r="AS6" s="5">
        <v>148</v>
      </c>
    </row>
    <row r="7" spans="1:52" x14ac:dyDescent="0.35">
      <c r="B7" t="s">
        <v>76</v>
      </c>
      <c r="C7" t="s">
        <v>71</v>
      </c>
      <c r="D7" t="s">
        <v>72</v>
      </c>
      <c r="E7" s="5">
        <v>0</v>
      </c>
      <c r="F7" s="5">
        <v>1</v>
      </c>
      <c r="G7" s="5">
        <v>2E+20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60</v>
      </c>
      <c r="P7" t="s">
        <v>107</v>
      </c>
      <c r="Q7" t="s">
        <v>103</v>
      </c>
      <c r="R7" t="s">
        <v>104</v>
      </c>
      <c r="S7" s="5">
        <v>0.95583036262113796</v>
      </c>
      <c r="T7" s="5">
        <v>2E+20</v>
      </c>
      <c r="U7" s="5">
        <v>0</v>
      </c>
      <c r="V7" s="5">
        <v>0.95583036262113796</v>
      </c>
      <c r="W7" s="5">
        <v>0.95583036262113796</v>
      </c>
      <c r="X7" s="5">
        <v>0</v>
      </c>
      <c r="Y7" s="5">
        <v>1</v>
      </c>
      <c r="AL7" t="s">
        <v>117</v>
      </c>
      <c r="AM7" t="s">
        <v>118</v>
      </c>
      <c r="AN7" t="s">
        <v>104</v>
      </c>
      <c r="AO7" s="5">
        <v>0.97178783252283496</v>
      </c>
      <c r="AP7" s="5">
        <v>4E+20</v>
      </c>
      <c r="AQ7" s="5">
        <v>0</v>
      </c>
      <c r="AR7" s="5">
        <v>0.97178783252283496</v>
      </c>
      <c r="AS7" s="5">
        <v>0.97178783252283496</v>
      </c>
    </row>
    <row r="8" spans="1:52" x14ac:dyDescent="0.35">
      <c r="B8" t="s">
        <v>77</v>
      </c>
      <c r="C8" t="s">
        <v>71</v>
      </c>
      <c r="D8" t="s">
        <v>72</v>
      </c>
      <c r="E8" s="5">
        <v>4.24164538086458</v>
      </c>
      <c r="F8" s="5">
        <v>1</v>
      </c>
      <c r="G8" s="5">
        <v>2E+20</v>
      </c>
      <c r="H8" s="5">
        <v>0</v>
      </c>
      <c r="I8" s="5">
        <v>4.24164538086458</v>
      </c>
      <c r="J8" s="5">
        <v>4.24164538086458</v>
      </c>
      <c r="K8" s="5">
        <v>0.57578021352077802</v>
      </c>
      <c r="L8" s="5">
        <v>7.8843089522229199</v>
      </c>
      <c r="M8" s="5">
        <v>60</v>
      </c>
      <c r="Q8" t="s">
        <v>105</v>
      </c>
      <c r="R8" t="s">
        <v>104</v>
      </c>
      <c r="S8" s="5">
        <v>76.466429009690998</v>
      </c>
      <c r="T8" s="5">
        <v>2E+20</v>
      </c>
      <c r="U8" s="5">
        <v>0</v>
      </c>
      <c r="V8" s="5">
        <v>76.466429009690998</v>
      </c>
      <c r="W8" s="5">
        <v>76.466429009690998</v>
      </c>
      <c r="X8" s="5">
        <v>0</v>
      </c>
      <c r="Y8" s="5">
        <v>80</v>
      </c>
      <c r="AL8" t="s">
        <v>119</v>
      </c>
      <c r="AM8" t="s">
        <v>116</v>
      </c>
      <c r="AN8" t="s">
        <v>104</v>
      </c>
      <c r="AO8" s="5">
        <v>141</v>
      </c>
      <c r="AP8" s="5">
        <v>4E+20</v>
      </c>
      <c r="AQ8" s="5">
        <v>0</v>
      </c>
      <c r="AR8" s="5">
        <v>141</v>
      </c>
      <c r="AS8" s="5">
        <v>141</v>
      </c>
    </row>
    <row r="9" spans="1:52" x14ac:dyDescent="0.35">
      <c r="B9" t="s">
        <v>78</v>
      </c>
      <c r="C9" t="s">
        <v>71</v>
      </c>
      <c r="D9" t="s">
        <v>72</v>
      </c>
      <c r="E9" s="5">
        <v>0</v>
      </c>
      <c r="F9" s="5">
        <v>1</v>
      </c>
      <c r="G9" s="5">
        <v>2E+20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68</v>
      </c>
      <c r="Q9" t="s">
        <v>106</v>
      </c>
      <c r="R9" t="s">
        <v>104</v>
      </c>
      <c r="S9" s="5">
        <v>80</v>
      </c>
      <c r="T9" s="5">
        <v>2E+20</v>
      </c>
      <c r="U9" s="5">
        <v>0</v>
      </c>
      <c r="V9" s="5">
        <v>80</v>
      </c>
      <c r="W9" s="5">
        <v>80</v>
      </c>
      <c r="X9" s="5">
        <v>80</v>
      </c>
      <c r="Y9" s="5">
        <v>80</v>
      </c>
      <c r="AL9" t="s">
        <v>120</v>
      </c>
      <c r="AM9" t="s">
        <v>118</v>
      </c>
      <c r="AN9" t="s">
        <v>104</v>
      </c>
      <c r="AO9" s="5">
        <v>0.95583036262113796</v>
      </c>
      <c r="AP9" s="5">
        <v>4E+20</v>
      </c>
      <c r="AQ9" s="5">
        <v>0</v>
      </c>
      <c r="AR9" s="5">
        <v>0.95583036262113796</v>
      </c>
      <c r="AS9" s="5">
        <v>0.95583036262113796</v>
      </c>
    </row>
    <row r="10" spans="1:52" x14ac:dyDescent="0.35">
      <c r="B10" t="s">
        <v>79</v>
      </c>
      <c r="C10" t="s">
        <v>71</v>
      </c>
      <c r="D10" t="s">
        <v>72</v>
      </c>
      <c r="E10" s="5">
        <v>4.6645399856652698</v>
      </c>
      <c r="F10" s="5">
        <v>1</v>
      </c>
      <c r="G10" s="5">
        <v>2E+20</v>
      </c>
      <c r="H10" s="5">
        <v>0</v>
      </c>
      <c r="I10" s="5">
        <v>4.6645399856652698</v>
      </c>
      <c r="J10" s="5">
        <v>4.6645399856652698</v>
      </c>
      <c r="K10" s="5">
        <v>0.50768210204097997</v>
      </c>
      <c r="L10" s="5">
        <v>7.7877845684610998</v>
      </c>
      <c r="M10" s="5">
        <v>68</v>
      </c>
      <c r="P10" t="s">
        <v>108</v>
      </c>
      <c r="Q10" t="s">
        <v>103</v>
      </c>
      <c r="R10" t="s">
        <v>104</v>
      </c>
      <c r="S10" s="5">
        <v>0.99971391861735304</v>
      </c>
      <c r="T10" s="5">
        <v>2E+20</v>
      </c>
      <c r="U10" s="5">
        <v>0</v>
      </c>
      <c r="V10" s="5">
        <v>0.99971391861735304</v>
      </c>
      <c r="W10" s="5">
        <v>0.99971391861735304</v>
      </c>
      <c r="X10" s="5">
        <v>0</v>
      </c>
      <c r="Y10" s="5">
        <v>1</v>
      </c>
      <c r="AL10" t="s">
        <v>121</v>
      </c>
      <c r="AM10" t="s">
        <v>116</v>
      </c>
      <c r="AN10" t="s">
        <v>104</v>
      </c>
      <c r="AO10" s="5">
        <v>140</v>
      </c>
      <c r="AP10" s="5">
        <v>4E+20</v>
      </c>
      <c r="AQ10" s="5">
        <v>0</v>
      </c>
      <c r="AR10" s="5">
        <v>140</v>
      </c>
      <c r="AS10" s="5">
        <v>140</v>
      </c>
    </row>
    <row r="11" spans="1:52" x14ac:dyDescent="0.35">
      <c r="B11" t="s">
        <v>80</v>
      </c>
      <c r="C11" t="s">
        <v>71</v>
      </c>
      <c r="D11" t="s">
        <v>72</v>
      </c>
      <c r="E11" s="5">
        <v>0</v>
      </c>
      <c r="F11" s="5">
        <v>1</v>
      </c>
      <c r="G11" s="5">
        <v>2E+20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141</v>
      </c>
      <c r="Q11" t="s">
        <v>105</v>
      </c>
      <c r="R11" t="s">
        <v>104</v>
      </c>
      <c r="S11" s="5">
        <v>79.977113489388302</v>
      </c>
      <c r="T11" s="5">
        <v>2E+20</v>
      </c>
      <c r="U11" s="5">
        <v>0</v>
      </c>
      <c r="V11" s="5">
        <v>79.977113489388302</v>
      </c>
      <c r="W11" s="5">
        <v>79.977113489388302</v>
      </c>
      <c r="X11" s="5">
        <v>0</v>
      </c>
      <c r="Y11" s="5">
        <v>80</v>
      </c>
      <c r="AL11" t="s">
        <v>122</v>
      </c>
      <c r="AM11" t="s">
        <v>118</v>
      </c>
      <c r="AN11" t="s">
        <v>104</v>
      </c>
      <c r="AO11" s="5">
        <v>0.99971391861735304</v>
      </c>
      <c r="AP11" s="5">
        <v>4E+20</v>
      </c>
      <c r="AQ11" s="5">
        <v>0</v>
      </c>
      <c r="AR11" s="5">
        <v>0.99971391861735304</v>
      </c>
      <c r="AS11" s="5">
        <v>0.99971391861735304</v>
      </c>
    </row>
    <row r="12" spans="1:52" x14ac:dyDescent="0.35">
      <c r="B12" t="s">
        <v>81</v>
      </c>
      <c r="C12" t="s">
        <v>71</v>
      </c>
      <c r="D12" t="s">
        <v>72</v>
      </c>
      <c r="E12" s="5">
        <v>0</v>
      </c>
      <c r="F12" s="5">
        <v>1</v>
      </c>
      <c r="G12" s="5">
        <v>2E+20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140</v>
      </c>
      <c r="Q12" t="s">
        <v>106</v>
      </c>
      <c r="R12" t="s">
        <v>104</v>
      </c>
      <c r="S12" s="5">
        <v>80</v>
      </c>
      <c r="T12" s="5">
        <v>2E+20</v>
      </c>
      <c r="U12" s="5">
        <v>0</v>
      </c>
      <c r="V12" s="5">
        <v>80</v>
      </c>
      <c r="W12" s="5">
        <v>80</v>
      </c>
      <c r="X12" s="5">
        <v>80</v>
      </c>
      <c r="Y12" s="5">
        <v>80</v>
      </c>
      <c r="AL12" t="s">
        <v>123</v>
      </c>
      <c r="AM12" t="s">
        <v>116</v>
      </c>
      <c r="AN12" t="s">
        <v>104</v>
      </c>
      <c r="AO12" s="5">
        <v>139</v>
      </c>
      <c r="AP12" s="5">
        <v>4E+20</v>
      </c>
      <c r="AQ12" s="5">
        <v>0</v>
      </c>
      <c r="AR12" s="5">
        <v>139</v>
      </c>
      <c r="AS12" s="5">
        <v>139</v>
      </c>
    </row>
    <row r="13" spans="1:52" x14ac:dyDescent="0.35">
      <c r="B13" t="s">
        <v>82</v>
      </c>
      <c r="C13" t="s">
        <v>71</v>
      </c>
      <c r="D13" t="s">
        <v>72</v>
      </c>
      <c r="E13" s="5">
        <v>0</v>
      </c>
      <c r="F13" s="5">
        <v>1</v>
      </c>
      <c r="G13" s="5">
        <v>2E+20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139</v>
      </c>
      <c r="P13" t="s">
        <v>109</v>
      </c>
      <c r="Q13" t="s">
        <v>103</v>
      </c>
      <c r="R13" t="s">
        <v>104</v>
      </c>
      <c r="S13" s="5">
        <v>0.97630114796398204</v>
      </c>
      <c r="T13" s="5">
        <v>2E+20</v>
      </c>
      <c r="U13" s="5">
        <v>0</v>
      </c>
      <c r="V13" s="5">
        <v>0.97630114796398204</v>
      </c>
      <c r="W13" s="5">
        <v>0.97630114796398204</v>
      </c>
      <c r="X13" s="5">
        <v>0</v>
      </c>
      <c r="Y13" s="5">
        <v>1</v>
      </c>
      <c r="AL13" t="s">
        <v>124</v>
      </c>
      <c r="AM13" t="s">
        <v>118</v>
      </c>
      <c r="AN13" t="s">
        <v>104</v>
      </c>
      <c r="AO13" s="5">
        <v>0.97630114796398204</v>
      </c>
      <c r="AP13" s="5">
        <v>4E+20</v>
      </c>
      <c r="AQ13" s="5">
        <v>0</v>
      </c>
      <c r="AR13" s="5">
        <v>0.97630114796398204</v>
      </c>
      <c r="AS13" s="5">
        <v>0.97630114796398204</v>
      </c>
    </row>
    <row r="14" spans="1:52" x14ac:dyDescent="0.35">
      <c r="B14" t="s">
        <v>83</v>
      </c>
      <c r="C14" t="s">
        <v>71</v>
      </c>
      <c r="D14" t="s">
        <v>72</v>
      </c>
      <c r="E14" s="5">
        <v>0</v>
      </c>
      <c r="F14" s="5">
        <v>1</v>
      </c>
      <c r="G14" s="5">
        <v>2E+20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148</v>
      </c>
      <c r="Q14" t="s">
        <v>105</v>
      </c>
      <c r="R14" t="s">
        <v>104</v>
      </c>
      <c r="S14" s="5">
        <v>78.104091837118503</v>
      </c>
      <c r="T14" s="5">
        <v>2E+20</v>
      </c>
      <c r="U14" s="5">
        <v>0</v>
      </c>
      <c r="V14" s="5">
        <v>78.104091837118503</v>
      </c>
      <c r="W14" s="5">
        <v>78.104091837118503</v>
      </c>
      <c r="X14" s="5">
        <v>0</v>
      </c>
      <c r="Y14" s="5">
        <v>80</v>
      </c>
      <c r="AL14" t="s">
        <v>127</v>
      </c>
      <c r="AM14" t="s">
        <v>112</v>
      </c>
      <c r="AN14" t="s">
        <v>86</v>
      </c>
      <c r="AO14" s="5">
        <v>153</v>
      </c>
      <c r="AP14" s="5">
        <v>4E+20</v>
      </c>
      <c r="AQ14" s="5">
        <v>0</v>
      </c>
      <c r="AR14" s="5">
        <v>153</v>
      </c>
      <c r="AS14" s="5">
        <v>153</v>
      </c>
    </row>
    <row r="15" spans="1:52" x14ac:dyDescent="0.35">
      <c r="B15" t="s">
        <v>84</v>
      </c>
      <c r="C15" t="s">
        <v>85</v>
      </c>
      <c r="D15" t="s">
        <v>86</v>
      </c>
      <c r="E15" s="5">
        <v>0</v>
      </c>
      <c r="F15" s="5">
        <v>1</v>
      </c>
      <c r="G15" s="5">
        <v>2E+20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121</v>
      </c>
      <c r="Q15" t="s">
        <v>106</v>
      </c>
      <c r="R15" t="s">
        <v>104</v>
      </c>
      <c r="S15" s="5">
        <v>80</v>
      </c>
      <c r="T15" s="5">
        <v>2E+20</v>
      </c>
      <c r="U15" s="5">
        <v>0</v>
      </c>
      <c r="V15" s="5">
        <v>80</v>
      </c>
      <c r="W15" s="5">
        <v>80</v>
      </c>
      <c r="X15" s="5">
        <v>80</v>
      </c>
      <c r="Y15" s="5">
        <v>80</v>
      </c>
      <c r="AL15" t="s">
        <v>128</v>
      </c>
      <c r="AM15" t="s">
        <v>114</v>
      </c>
      <c r="AN15" t="s">
        <v>86</v>
      </c>
      <c r="AO15" s="5">
        <v>121</v>
      </c>
      <c r="AP15" s="5">
        <v>4E+20</v>
      </c>
      <c r="AQ15" s="5">
        <v>0</v>
      </c>
      <c r="AR15" s="5">
        <v>121</v>
      </c>
      <c r="AS15" s="5">
        <v>121</v>
      </c>
    </row>
    <row r="16" spans="1:52" x14ac:dyDescent="0.35">
      <c r="C16" t="s">
        <v>87</v>
      </c>
      <c r="D16" t="s">
        <v>86</v>
      </c>
      <c r="E16" s="5">
        <v>0</v>
      </c>
      <c r="F16" s="5">
        <v>1</v>
      </c>
      <c r="G16" s="5">
        <v>2E+20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121</v>
      </c>
      <c r="P16" t="s">
        <v>70</v>
      </c>
      <c r="Q16" t="s">
        <v>110</v>
      </c>
      <c r="R16" t="s">
        <v>72</v>
      </c>
      <c r="S16" s="5">
        <v>0</v>
      </c>
      <c r="T16" s="5">
        <v>2E+20</v>
      </c>
      <c r="U16" s="5">
        <v>0</v>
      </c>
      <c r="V16" s="5">
        <v>0</v>
      </c>
      <c r="W16" s="5">
        <v>0</v>
      </c>
      <c r="X16" s="5">
        <v>0</v>
      </c>
      <c r="Y16" s="5">
        <v>1</v>
      </c>
    </row>
    <row r="17" spans="2:25" x14ac:dyDescent="0.35">
      <c r="C17" t="s">
        <v>88</v>
      </c>
      <c r="D17" t="s">
        <v>86</v>
      </c>
      <c r="E17" s="5">
        <v>1.86002047497111</v>
      </c>
      <c r="F17" s="5">
        <v>1</v>
      </c>
      <c r="G17" s="5">
        <v>2E+20</v>
      </c>
      <c r="H17" s="5">
        <v>0</v>
      </c>
      <c r="I17" s="5">
        <v>1.86002047497111</v>
      </c>
      <c r="J17" s="5">
        <v>1.86002047497111</v>
      </c>
      <c r="K17" s="5">
        <v>0.68154640969804003</v>
      </c>
      <c r="L17" s="5">
        <v>3.42483915664369</v>
      </c>
      <c r="M17" s="5">
        <v>121</v>
      </c>
      <c r="P17" t="s">
        <v>73</v>
      </c>
      <c r="Q17" t="s">
        <v>110</v>
      </c>
      <c r="R17" t="s">
        <v>72</v>
      </c>
      <c r="S17" s="5">
        <v>77.743026601826799</v>
      </c>
      <c r="T17" s="5">
        <v>2E+20</v>
      </c>
      <c r="U17" s="5">
        <v>0</v>
      </c>
      <c r="V17" s="5">
        <v>77.743026601826799</v>
      </c>
      <c r="W17" s="5">
        <v>77.743026601826799</v>
      </c>
      <c r="X17" s="5">
        <v>0</v>
      </c>
      <c r="Y17" s="5">
        <v>80</v>
      </c>
    </row>
    <row r="18" spans="2:25" x14ac:dyDescent="0.35">
      <c r="C18" t="s">
        <v>89</v>
      </c>
      <c r="D18" t="s">
        <v>86</v>
      </c>
      <c r="E18" s="5">
        <v>0.20109248870306101</v>
      </c>
      <c r="F18" s="5">
        <v>1</v>
      </c>
      <c r="G18" s="5">
        <v>2E+20</v>
      </c>
      <c r="H18" s="5">
        <v>0</v>
      </c>
      <c r="I18" s="5">
        <v>0.20109248870306101</v>
      </c>
      <c r="J18" s="5">
        <v>0.20109248870306101</v>
      </c>
      <c r="K18" s="5">
        <v>3.5403990233327E-2</v>
      </c>
      <c r="L18" s="5">
        <v>0.48127996945957302</v>
      </c>
      <c r="M18" s="5">
        <v>121</v>
      </c>
      <c r="P18" t="s">
        <v>74</v>
      </c>
      <c r="Q18" t="s">
        <v>110</v>
      </c>
      <c r="R18" t="s">
        <v>72</v>
      </c>
      <c r="S18" s="5">
        <v>0</v>
      </c>
      <c r="T18" s="5">
        <v>2E+20</v>
      </c>
      <c r="U18" s="5">
        <v>0</v>
      </c>
      <c r="V18" s="5">
        <v>0</v>
      </c>
      <c r="W18" s="5">
        <v>0</v>
      </c>
      <c r="X18" s="5">
        <v>0</v>
      </c>
      <c r="Y18" s="5">
        <v>1</v>
      </c>
    </row>
    <row r="19" spans="2:25" x14ac:dyDescent="0.35">
      <c r="C19" t="s">
        <v>90</v>
      </c>
      <c r="D19" t="s">
        <v>86</v>
      </c>
      <c r="E19" s="5">
        <v>1.4183707030786299</v>
      </c>
      <c r="F19" s="5">
        <v>1</v>
      </c>
      <c r="G19" s="5">
        <v>2E+20</v>
      </c>
      <c r="H19" s="5">
        <v>0</v>
      </c>
      <c r="I19" s="5">
        <v>1.4183707030786299</v>
      </c>
      <c r="J19" s="5">
        <v>1.4183707030786299</v>
      </c>
      <c r="K19" s="5">
        <v>0.63033136546619895</v>
      </c>
      <c r="L19" s="5">
        <v>2.30446125801627</v>
      </c>
      <c r="M19" s="5">
        <v>121</v>
      </c>
      <c r="P19" t="s">
        <v>75</v>
      </c>
      <c r="Q19" t="s">
        <v>110</v>
      </c>
      <c r="R19" t="s">
        <v>72</v>
      </c>
      <c r="S19" s="5">
        <v>76.466429009690998</v>
      </c>
      <c r="T19" s="5">
        <v>2E+20</v>
      </c>
      <c r="U19" s="5">
        <v>0</v>
      </c>
      <c r="V19" s="5">
        <v>76.466429009690998</v>
      </c>
      <c r="W19" s="5">
        <v>76.466429009690998</v>
      </c>
      <c r="X19" s="5">
        <v>0</v>
      </c>
      <c r="Y19" s="5">
        <v>80</v>
      </c>
    </row>
    <row r="20" spans="2:25" x14ac:dyDescent="0.35">
      <c r="C20" t="s">
        <v>91</v>
      </c>
      <c r="D20" t="s">
        <v>86</v>
      </c>
      <c r="E20" s="5">
        <v>0.24055728318942299</v>
      </c>
      <c r="F20" s="5">
        <v>1</v>
      </c>
      <c r="G20" s="5">
        <v>2E+20</v>
      </c>
      <c r="H20" s="5">
        <v>0</v>
      </c>
      <c r="I20" s="5">
        <v>0.24055728318942299</v>
      </c>
      <c r="J20" s="5">
        <v>0.24055728318942299</v>
      </c>
      <c r="K20" s="5">
        <v>0</v>
      </c>
      <c r="L20" s="5">
        <v>0.91895101004491997</v>
      </c>
      <c r="M20" s="5">
        <v>121</v>
      </c>
      <c r="P20" t="s">
        <v>76</v>
      </c>
      <c r="Q20" t="s">
        <v>110</v>
      </c>
      <c r="R20" t="s">
        <v>72</v>
      </c>
      <c r="S20" s="5">
        <v>0</v>
      </c>
      <c r="T20" s="5">
        <v>2E+20</v>
      </c>
      <c r="U20" s="5">
        <v>0</v>
      </c>
      <c r="V20" s="5">
        <v>0</v>
      </c>
      <c r="W20" s="5">
        <v>0</v>
      </c>
      <c r="X20" s="5">
        <v>0</v>
      </c>
      <c r="Y20" s="5">
        <v>1</v>
      </c>
    </row>
    <row r="21" spans="2:25" x14ac:dyDescent="0.35">
      <c r="B21" t="s">
        <v>92</v>
      </c>
      <c r="C21" t="s">
        <v>71</v>
      </c>
      <c r="D21" t="s">
        <v>72</v>
      </c>
      <c r="E21" s="5">
        <v>0</v>
      </c>
      <c r="F21" s="5">
        <v>1</v>
      </c>
      <c r="G21" s="5">
        <v>2E+20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68</v>
      </c>
      <c r="P21" t="s">
        <v>77</v>
      </c>
      <c r="Q21" t="s">
        <v>110</v>
      </c>
      <c r="R21" t="s">
        <v>72</v>
      </c>
      <c r="S21" s="5">
        <v>79.977113489388302</v>
      </c>
      <c r="T21" s="5">
        <v>2E+20</v>
      </c>
      <c r="U21" s="5">
        <v>0</v>
      </c>
      <c r="V21" s="5">
        <v>79.977113489388302</v>
      </c>
      <c r="W21" s="5">
        <v>79.977113489388302</v>
      </c>
      <c r="X21" s="5">
        <v>0</v>
      </c>
      <c r="Y21" s="5">
        <v>80</v>
      </c>
    </row>
    <row r="22" spans="2:25" x14ac:dyDescent="0.35">
      <c r="B22" t="s">
        <v>93</v>
      </c>
      <c r="C22" t="s">
        <v>71</v>
      </c>
      <c r="D22" t="s">
        <v>72</v>
      </c>
      <c r="E22" s="5">
        <v>0</v>
      </c>
      <c r="F22" s="5">
        <v>1</v>
      </c>
      <c r="G22" s="5">
        <v>2E+20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61</v>
      </c>
      <c r="P22" t="s">
        <v>78</v>
      </c>
      <c r="Q22" t="s">
        <v>110</v>
      </c>
      <c r="R22" t="s">
        <v>72</v>
      </c>
      <c r="S22" s="5">
        <v>0</v>
      </c>
      <c r="T22" s="5">
        <v>2E+20</v>
      </c>
      <c r="U22" s="5">
        <v>0</v>
      </c>
      <c r="V22" s="5">
        <v>0</v>
      </c>
      <c r="W22" s="5">
        <v>0</v>
      </c>
      <c r="X22" s="5">
        <v>0</v>
      </c>
      <c r="Y22" s="5">
        <v>1</v>
      </c>
    </row>
    <row r="23" spans="2:25" x14ac:dyDescent="0.35">
      <c r="B23" t="s">
        <v>94</v>
      </c>
      <c r="C23" t="s">
        <v>71</v>
      </c>
      <c r="D23" t="s">
        <v>72</v>
      </c>
      <c r="E23" s="5">
        <v>0</v>
      </c>
      <c r="F23" s="5">
        <v>1</v>
      </c>
      <c r="G23" s="5">
        <v>2E+20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60</v>
      </c>
      <c r="P23" t="s">
        <v>79</v>
      </c>
      <c r="Q23" t="s">
        <v>110</v>
      </c>
      <c r="R23" t="s">
        <v>72</v>
      </c>
      <c r="S23" s="5">
        <v>78.104091837118503</v>
      </c>
      <c r="T23" s="5">
        <v>2E+20</v>
      </c>
      <c r="U23" s="5">
        <v>0</v>
      </c>
      <c r="V23" s="5">
        <v>78.104091837118503</v>
      </c>
      <c r="W23" s="5">
        <v>78.104091837118503</v>
      </c>
      <c r="X23" s="5">
        <v>0</v>
      </c>
      <c r="Y23" s="5">
        <v>80</v>
      </c>
    </row>
    <row r="24" spans="2:25" x14ac:dyDescent="0.35">
      <c r="B24" t="s">
        <v>95</v>
      </c>
      <c r="C24" t="s">
        <v>71</v>
      </c>
      <c r="D24" t="s">
        <v>72</v>
      </c>
      <c r="E24" s="5">
        <v>0</v>
      </c>
      <c r="F24" s="5">
        <v>1</v>
      </c>
      <c r="G24" s="5">
        <v>2E+20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68</v>
      </c>
      <c r="P24" t="s">
        <v>80</v>
      </c>
      <c r="Q24" t="s">
        <v>110</v>
      </c>
      <c r="R24" t="s">
        <v>72</v>
      </c>
      <c r="S24" s="5">
        <v>0</v>
      </c>
      <c r="T24" s="5">
        <v>2E+20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</row>
    <row r="25" spans="2:25" x14ac:dyDescent="0.35">
      <c r="B25" t="s">
        <v>96</v>
      </c>
      <c r="C25" t="s">
        <v>71</v>
      </c>
      <c r="D25" t="s">
        <v>72</v>
      </c>
      <c r="E25" s="5">
        <v>2.8231173768781499E-2</v>
      </c>
      <c r="F25" s="5">
        <v>1</v>
      </c>
      <c r="G25" s="5">
        <v>2E+20</v>
      </c>
      <c r="H25" s="5">
        <v>0</v>
      </c>
      <c r="I25" s="5">
        <v>2.8231173768781499E-2</v>
      </c>
      <c r="J25" s="5">
        <v>2.8231173768781499E-2</v>
      </c>
      <c r="K25" s="5">
        <v>0</v>
      </c>
      <c r="L25" s="5">
        <v>0.33244383893490698</v>
      </c>
      <c r="M25" s="5">
        <v>68</v>
      </c>
      <c r="P25" t="s">
        <v>81</v>
      </c>
      <c r="Q25" t="s">
        <v>110</v>
      </c>
      <c r="R25" t="s">
        <v>72</v>
      </c>
      <c r="S25" s="5">
        <v>0</v>
      </c>
      <c r="T25" s="5">
        <v>2E+20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</row>
    <row r="26" spans="2:25" x14ac:dyDescent="0.35">
      <c r="B26" t="s">
        <v>97</v>
      </c>
      <c r="C26" t="s">
        <v>71</v>
      </c>
      <c r="D26" t="s">
        <v>72</v>
      </c>
      <c r="E26" s="5">
        <v>1.09146347977574E-2</v>
      </c>
      <c r="F26" s="5">
        <v>1</v>
      </c>
      <c r="G26" s="5">
        <v>2E+20</v>
      </c>
      <c r="H26" s="5">
        <v>0</v>
      </c>
      <c r="I26" s="5">
        <v>1.09146347977574E-2</v>
      </c>
      <c r="J26" s="5">
        <v>1.09146347977574E-2</v>
      </c>
      <c r="K26" s="5">
        <v>0</v>
      </c>
      <c r="L26" s="5">
        <v>0.52971364377732</v>
      </c>
      <c r="M26" s="5">
        <v>61</v>
      </c>
      <c r="P26" t="s">
        <v>82</v>
      </c>
      <c r="Q26" t="s">
        <v>110</v>
      </c>
      <c r="R26" t="s">
        <v>72</v>
      </c>
      <c r="S26" s="5">
        <v>0</v>
      </c>
      <c r="T26" s="5">
        <v>2E+20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</row>
    <row r="27" spans="2:25" x14ac:dyDescent="0.35">
      <c r="B27" t="s">
        <v>98</v>
      </c>
      <c r="C27" t="s">
        <v>71</v>
      </c>
      <c r="D27" t="s">
        <v>72</v>
      </c>
      <c r="E27" s="5">
        <v>0.41878040602851002</v>
      </c>
      <c r="F27" s="5">
        <v>1</v>
      </c>
      <c r="G27" s="5">
        <v>2E+20</v>
      </c>
      <c r="H27" s="5">
        <v>0</v>
      </c>
      <c r="I27" s="5">
        <v>0.41878040602851002</v>
      </c>
      <c r="J27" s="5">
        <v>0.41878040602851002</v>
      </c>
      <c r="K27" s="5">
        <v>0</v>
      </c>
      <c r="L27" s="5">
        <v>0.81848713817695795</v>
      </c>
      <c r="M27" s="5">
        <v>60</v>
      </c>
      <c r="P27" t="s">
        <v>83</v>
      </c>
      <c r="Q27" t="s">
        <v>110</v>
      </c>
      <c r="R27" t="s">
        <v>72</v>
      </c>
      <c r="S27" s="5">
        <v>0</v>
      </c>
      <c r="T27" s="5">
        <v>2E+20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</row>
    <row r="28" spans="2:25" x14ac:dyDescent="0.35">
      <c r="B28" t="s">
        <v>99</v>
      </c>
      <c r="C28" t="s">
        <v>71</v>
      </c>
      <c r="D28" t="s">
        <v>72</v>
      </c>
      <c r="E28" s="5">
        <v>8.29795836243888E-2</v>
      </c>
      <c r="F28" s="5">
        <v>1</v>
      </c>
      <c r="G28" s="5">
        <v>2E+20</v>
      </c>
      <c r="H28" s="5">
        <v>0</v>
      </c>
      <c r="I28" s="5">
        <v>8.29795836243888E-2</v>
      </c>
      <c r="J28" s="5">
        <v>8.29795836243888E-2</v>
      </c>
      <c r="K28" s="5">
        <v>0</v>
      </c>
      <c r="L28" s="5">
        <v>0.50541457317974703</v>
      </c>
      <c r="M28" s="5">
        <v>59</v>
      </c>
      <c r="P28" t="s">
        <v>84</v>
      </c>
      <c r="Q28" t="s">
        <v>101</v>
      </c>
      <c r="R28" t="s">
        <v>86</v>
      </c>
      <c r="S28" s="5">
        <v>31.804355385934599</v>
      </c>
      <c r="T28" s="5">
        <v>2E+20</v>
      </c>
      <c r="U28" s="5">
        <v>0</v>
      </c>
      <c r="V28" s="5">
        <v>31.804355385934599</v>
      </c>
      <c r="W28" s="5">
        <v>31.804355385934599</v>
      </c>
      <c r="X28" s="5">
        <v>0</v>
      </c>
      <c r="Y28" s="5">
        <v>49</v>
      </c>
    </row>
    <row r="29" spans="2:25" x14ac:dyDescent="0.35">
      <c r="P29" t="s">
        <v>92</v>
      </c>
      <c r="Q29" t="s">
        <v>110</v>
      </c>
      <c r="R29" t="s">
        <v>72</v>
      </c>
      <c r="S29" s="5">
        <v>0</v>
      </c>
      <c r="T29" s="5">
        <v>2E+20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</row>
    <row r="30" spans="2:25" x14ac:dyDescent="0.35">
      <c r="P30" t="s">
        <v>93</v>
      </c>
      <c r="Q30" t="s">
        <v>110</v>
      </c>
      <c r="R30" t="s">
        <v>72</v>
      </c>
      <c r="S30" s="5">
        <v>0</v>
      </c>
      <c r="T30" s="5">
        <v>2E+20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</row>
    <row r="31" spans="2:25" x14ac:dyDescent="0.35">
      <c r="P31" t="s">
        <v>94</v>
      </c>
      <c r="Q31" t="s">
        <v>110</v>
      </c>
      <c r="R31" t="s">
        <v>72</v>
      </c>
      <c r="S31" s="5">
        <v>0</v>
      </c>
      <c r="T31" s="5">
        <v>2E+20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</row>
    <row r="32" spans="2:25" x14ac:dyDescent="0.35">
      <c r="P32" t="s">
        <v>95</v>
      </c>
      <c r="Q32" t="s">
        <v>110</v>
      </c>
      <c r="R32" t="s">
        <v>72</v>
      </c>
      <c r="S32" s="5">
        <v>0</v>
      </c>
      <c r="T32" s="5">
        <v>2E+20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</row>
    <row r="33" spans="16:25" x14ac:dyDescent="0.35">
      <c r="P33" t="s">
        <v>96</v>
      </c>
      <c r="Q33" t="s">
        <v>110</v>
      </c>
      <c r="R33" t="s">
        <v>72</v>
      </c>
      <c r="S33" s="5">
        <v>0.23996497703464301</v>
      </c>
      <c r="T33" s="5">
        <v>2E+20</v>
      </c>
      <c r="U33" s="5">
        <v>0</v>
      </c>
      <c r="V33" s="5">
        <v>0.23996497703464301</v>
      </c>
      <c r="W33" s="5">
        <v>0.23996497703464301</v>
      </c>
      <c r="X33" s="5">
        <v>0</v>
      </c>
      <c r="Y33" s="5">
        <v>4</v>
      </c>
    </row>
    <row r="34" spans="16:25" x14ac:dyDescent="0.35">
      <c r="P34" t="s">
        <v>97</v>
      </c>
      <c r="Q34" t="s">
        <v>110</v>
      </c>
      <c r="R34" t="s">
        <v>72</v>
      </c>
      <c r="S34" s="5">
        <v>0.29878411330610899</v>
      </c>
      <c r="T34" s="5">
        <v>2E+20</v>
      </c>
      <c r="U34" s="5">
        <v>0</v>
      </c>
      <c r="V34" s="5">
        <v>0.29878411330610899</v>
      </c>
      <c r="W34" s="5">
        <v>0.29878411330610899</v>
      </c>
      <c r="X34" s="5">
        <v>0</v>
      </c>
      <c r="Y34" s="5">
        <v>8</v>
      </c>
    </row>
    <row r="35" spans="16:25" x14ac:dyDescent="0.35">
      <c r="P35" t="s">
        <v>98</v>
      </c>
      <c r="Q35" t="s">
        <v>110</v>
      </c>
      <c r="R35" t="s">
        <v>72</v>
      </c>
      <c r="S35" s="5">
        <v>3.1408530452138201</v>
      </c>
      <c r="T35" s="5">
        <v>2E+20</v>
      </c>
      <c r="U35" s="5">
        <v>0</v>
      </c>
      <c r="V35" s="5">
        <v>3.1408530452138201</v>
      </c>
      <c r="W35" s="5">
        <v>3.1408530452138201</v>
      </c>
      <c r="X35" s="5">
        <v>0</v>
      </c>
      <c r="Y35" s="5">
        <v>11</v>
      </c>
    </row>
    <row r="36" spans="16:25" x14ac:dyDescent="0.35">
      <c r="P36" t="s">
        <v>99</v>
      </c>
      <c r="Q36" t="s">
        <v>110</v>
      </c>
      <c r="R36" t="s">
        <v>72</v>
      </c>
      <c r="S36" s="5">
        <v>0.611974429229867</v>
      </c>
      <c r="T36" s="5">
        <v>2E+20</v>
      </c>
      <c r="U36" s="5">
        <v>0</v>
      </c>
      <c r="V36" s="5">
        <v>0.611974429229867</v>
      </c>
      <c r="W36" s="5">
        <v>0.611974429229867</v>
      </c>
      <c r="X36" s="5">
        <v>0</v>
      </c>
      <c r="Y36" s="5">
        <v>3</v>
      </c>
    </row>
  </sheetData>
  <dataConsolidate/>
  <conditionalFormatting pivot="1" sqref="G3:G28">
    <cfRule type="expression" dxfId="29" priority="10">
      <formula>G3=200000000000000000000</formula>
    </cfRule>
  </conditionalFormatting>
  <conditionalFormatting pivot="1" sqref="T3:T36">
    <cfRule type="expression" dxfId="28" priority="9">
      <formula>T3=200000000000000000000</formula>
    </cfRule>
  </conditionalFormatting>
  <conditionalFormatting pivot="1" sqref="T3:T36">
    <cfRule type="expression" dxfId="27" priority="8">
      <formula>T3=300000000000000000000</formula>
    </cfRule>
  </conditionalFormatting>
  <conditionalFormatting pivot="1" sqref="G3:G28">
    <cfRule type="expression" dxfId="26" priority="7">
      <formula>G3=300000000000000000000</formula>
    </cfRule>
  </conditionalFormatting>
  <conditionalFormatting pivot="1" sqref="F3:F28">
    <cfRule type="expression" dxfId="25" priority="6">
      <formula>F3=0</formula>
    </cfRule>
  </conditionalFormatting>
  <conditionalFormatting pivot="1" sqref="F3:F28">
    <cfRule type="expression" dxfId="24" priority="5">
      <formula>F3=1</formula>
    </cfRule>
  </conditionalFormatting>
  <conditionalFormatting pivot="1" sqref="T3:T36">
    <cfRule type="expression" dxfId="23" priority="4">
      <formula>T3=400000000000000000000</formula>
    </cfRule>
  </conditionalFormatting>
  <conditionalFormatting pivot="1" sqref="AP3:AP15">
    <cfRule type="expression" dxfId="22" priority="3">
      <formula>AP3=400000000000000000000</formula>
    </cfRule>
  </conditionalFormatting>
  <conditionalFormatting pivot="1" sqref="AF3">
    <cfRule type="expression" dxfId="21" priority="2">
      <formula>AF3=400000000000000000000</formula>
    </cfRule>
  </conditionalFormatting>
  <conditionalFormatting pivot="1" sqref="G3:G28">
    <cfRule type="expression" dxfId="20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7"/>
  <sheetViews>
    <sheetView workbookViewId="0">
      <selection activeCell="K2" sqref="K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7.6328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59.179687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67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68</v>
      </c>
      <c r="L2" t="str">
        <f>DiscreteStatsTable[[#This Row],[ProjectName]]&amp;DiscreteStatsTable[[#This Row],[Name]]&amp;DiscreteStatsTable[[#This Row],[Type]]&amp;DiscreteStatsTable[[#This Row],[Source]]</f>
        <v>Unnamed ProjectMatch Tourist to Bike A.Queue1Waiting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68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67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4.4792967983940599</v>
      </c>
      <c r="H3">
        <v>2E+20</v>
      </c>
      <c r="I3">
        <v>0.36476006724152799</v>
      </c>
      <c r="J3">
        <v>7.7798944428576604</v>
      </c>
      <c r="K3">
        <v>68</v>
      </c>
      <c r="L3" t="str">
        <f>DiscreteStatsTable[[#This Row],[ProjectName]]&amp;DiscreteStatsTable[[#This Row],[Name]]&amp;DiscreteStatsTable[[#This Row],[Type]]&amp;DiscreteStatsTable[[#This Row],[Source]]</f>
        <v>Unnamed ProjectMatch Tourist to Bike A.Queue2Waiting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4.4792967983940599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4.4792967983940599</v>
      </c>
      <c r="S3" cm="1">
        <f t="array" ref="S3">MAX(IF((DiscreteStatsTable[GroupByKey]=DiscreteStatsTable[[#This Row],[GroupByKey]]),(DiscreteStatsTable[GroupByKey]=DiscreteStatsTable[[#This Row],[GroupByKey]])*DiscreteStatsTable[Average]))</f>
        <v>4.4792967983940599</v>
      </c>
      <c r="T3" cm="1">
        <f t="array" ref="T3">MIN(IF((DiscreteStatsTable[GroupByKey]=DiscreteStatsTable[[#This Row],[GroupByKey]]),(DiscreteStatsTable[GroupByKey]=DiscreteStatsTable[[#This Row],[GroupByKey]])*DiscreteStatsTable[Minimum]))</f>
        <v>0.36476006724152799</v>
      </c>
      <c r="U3" cm="1">
        <f t="array" ref="U3">MAX(IF((DiscreteStatsTable[GroupByKey]=DiscreteStatsTable[[#This Row],[GroupByKey]]),(DiscreteStatsTable[GroupByKey]=DiscreteStatsTable[[#This Row],[GroupByKey]])*DiscreteStatsTable[Maximum]))</f>
        <v>7.7798944428576604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68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67</v>
      </c>
      <c r="B4" t="s">
        <v>69</v>
      </c>
      <c r="C4">
        <v>1</v>
      </c>
      <c r="D4" t="s">
        <v>74</v>
      </c>
      <c r="E4" t="s">
        <v>71</v>
      </c>
      <c r="F4" t="s">
        <v>72</v>
      </c>
      <c r="G4">
        <v>0</v>
      </c>
      <c r="H4">
        <v>2E+20</v>
      </c>
      <c r="I4">
        <v>0</v>
      </c>
      <c r="J4">
        <v>0</v>
      </c>
      <c r="K4">
        <v>61</v>
      </c>
      <c r="L4" t="str">
        <f>DiscreteStatsTable[[#This Row],[ProjectName]]&amp;DiscreteStatsTable[[#This Row],[Name]]&amp;DiscreteStatsTable[[#This Row],[Type]]&amp;DiscreteStatsTable[[#This Row],[Source]]</f>
        <v>Unnamed ProjectMatch Tourist to Bike B.Queue1Waiting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61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67</v>
      </c>
      <c r="B5" t="s">
        <v>69</v>
      </c>
      <c r="C5">
        <v>1</v>
      </c>
      <c r="D5" t="s">
        <v>75</v>
      </c>
      <c r="E5" t="s">
        <v>71</v>
      </c>
      <c r="F5" t="s">
        <v>72</v>
      </c>
      <c r="G5">
        <v>3.76527269329056</v>
      </c>
      <c r="H5">
        <v>2E+20</v>
      </c>
      <c r="I5">
        <v>0.51040223307947497</v>
      </c>
      <c r="J5">
        <v>7.9287914992111501</v>
      </c>
      <c r="K5">
        <v>61</v>
      </c>
      <c r="L5" t="str">
        <f>DiscreteStatsTable[[#This Row],[ProjectName]]&amp;DiscreteStatsTable[[#This Row],[Name]]&amp;DiscreteStatsTable[[#This Row],[Type]]&amp;DiscreteStatsTable[[#This Row],[Source]]</f>
        <v>Unnamed ProjectMatch Tourist to Bike B.Queue2Waiting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3.76527269329056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3.76527269329056</v>
      </c>
      <c r="S5" cm="1">
        <f t="array" ref="S5">MAX(IF((DiscreteStatsTable[GroupByKey]=DiscreteStatsTable[[#This Row],[GroupByKey]]),(DiscreteStatsTable[GroupByKey]=DiscreteStatsTable[[#This Row],[GroupByKey]])*DiscreteStatsTable[Average]))</f>
        <v>3.76527269329056</v>
      </c>
      <c r="T5" cm="1">
        <f t="array" ref="T5">MIN(IF((DiscreteStatsTable[GroupByKey]=DiscreteStatsTable[[#This Row],[GroupByKey]]),(DiscreteStatsTable[GroupByKey]=DiscreteStatsTable[[#This Row],[GroupByKey]])*DiscreteStatsTable[Minimum]))</f>
        <v>0.51040223307947497</v>
      </c>
      <c r="U5" cm="1">
        <f t="array" ref="U5">MAX(IF((DiscreteStatsTable[GroupByKey]=DiscreteStatsTable[[#This Row],[GroupByKey]]),(DiscreteStatsTable[GroupByKey]=DiscreteStatsTable[[#This Row],[GroupByKey]])*DiscreteStatsTable[Maximum]))</f>
        <v>7.9287914992111501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61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67</v>
      </c>
      <c r="B6" t="s">
        <v>69</v>
      </c>
      <c r="C6">
        <v>1</v>
      </c>
      <c r="D6" t="s">
        <v>76</v>
      </c>
      <c r="E6" t="s">
        <v>71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60</v>
      </c>
      <c r="L6" t="str">
        <f>DiscreteStatsTable[[#This Row],[ProjectName]]&amp;DiscreteStatsTable[[#This Row],[Name]]&amp;DiscreteStatsTable[[#This Row],[Type]]&amp;DiscreteStatsTable[[#This Row],[Source]]</f>
        <v>Unnamed ProjectMatch Tourist to Bike C.Queue1Waiting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60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67</v>
      </c>
      <c r="B7" t="s">
        <v>69</v>
      </c>
      <c r="C7">
        <v>1</v>
      </c>
      <c r="D7" t="s">
        <v>77</v>
      </c>
      <c r="E7" t="s">
        <v>71</v>
      </c>
      <c r="F7" t="s">
        <v>72</v>
      </c>
      <c r="G7">
        <v>4.24164538086458</v>
      </c>
      <c r="H7">
        <v>2E+20</v>
      </c>
      <c r="I7">
        <v>0.57578021352077802</v>
      </c>
      <c r="J7">
        <v>7.8843089522229199</v>
      </c>
      <c r="K7">
        <v>60</v>
      </c>
      <c r="L7" t="str">
        <f>DiscreteStatsTable[[#This Row],[ProjectName]]&amp;DiscreteStatsTable[[#This Row],[Name]]&amp;DiscreteStatsTable[[#This Row],[Type]]&amp;DiscreteStatsTable[[#This Row],[Source]]</f>
        <v>Unnamed ProjectMatch Tourist to Bike C.Queue2Waiting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4.24164538086458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4.24164538086458</v>
      </c>
      <c r="S7" cm="1">
        <f t="array" ref="S7">MAX(IF((DiscreteStatsTable[GroupByKey]=DiscreteStatsTable[[#This Row],[GroupByKey]]),(DiscreteStatsTable[GroupByKey]=DiscreteStatsTable[[#This Row],[GroupByKey]])*DiscreteStatsTable[Average]))</f>
        <v>4.24164538086458</v>
      </c>
      <c r="T7" cm="1">
        <f t="array" ref="T7">MIN(IF((DiscreteStatsTable[GroupByKey]=DiscreteStatsTable[[#This Row],[GroupByKey]]),(DiscreteStatsTable[GroupByKey]=DiscreteStatsTable[[#This Row],[GroupByKey]])*DiscreteStatsTable[Minimum]))</f>
        <v>0.57578021352077802</v>
      </c>
      <c r="U7" cm="1">
        <f t="array" ref="U7">MAX(IF((DiscreteStatsTable[GroupByKey]=DiscreteStatsTable[[#This Row],[GroupByKey]]),(DiscreteStatsTable[GroupByKey]=DiscreteStatsTable[[#This Row],[GroupByKey]])*DiscreteStatsTable[Maximum]))</f>
        <v>7.8843089522229199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60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67</v>
      </c>
      <c r="B8" t="s">
        <v>69</v>
      </c>
      <c r="C8">
        <v>1</v>
      </c>
      <c r="D8" t="s">
        <v>78</v>
      </c>
      <c r="E8" t="s">
        <v>71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68</v>
      </c>
      <c r="L8" t="str">
        <f>DiscreteStatsTable[[#This Row],[ProjectName]]&amp;DiscreteStatsTable[[#This Row],[Name]]&amp;DiscreteStatsTable[[#This Row],[Type]]&amp;DiscreteStatsTable[[#This Row],[Source]]</f>
        <v>Unnamed ProjectMatch Tourist to Bike D.Queue1Waiting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68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67</v>
      </c>
      <c r="B9" t="s">
        <v>69</v>
      </c>
      <c r="C9">
        <v>1</v>
      </c>
      <c r="D9" t="s">
        <v>79</v>
      </c>
      <c r="E9" t="s">
        <v>71</v>
      </c>
      <c r="F9" t="s">
        <v>72</v>
      </c>
      <c r="G9">
        <v>4.6645399856652698</v>
      </c>
      <c r="H9">
        <v>2E+20</v>
      </c>
      <c r="I9">
        <v>0.50768210204097997</v>
      </c>
      <c r="J9">
        <v>7.7877845684610998</v>
      </c>
      <c r="K9">
        <v>68</v>
      </c>
      <c r="L9" t="str">
        <f>DiscreteStatsTable[[#This Row],[ProjectName]]&amp;DiscreteStatsTable[[#This Row],[Name]]&amp;DiscreteStatsTable[[#This Row],[Type]]&amp;DiscreteStatsTable[[#This Row],[Source]]</f>
        <v>Unnamed ProjectMatch Tourist to Bike D.Queue2Waiting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4.6645399856652698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4.6645399856652698</v>
      </c>
      <c r="S9" cm="1">
        <f t="array" ref="S9">MAX(IF((DiscreteStatsTable[GroupByKey]=DiscreteStatsTable[[#This Row],[GroupByKey]]),(DiscreteStatsTable[GroupByKey]=DiscreteStatsTable[[#This Row],[GroupByKey]])*DiscreteStatsTable[Average]))</f>
        <v>4.6645399856652698</v>
      </c>
      <c r="T9" cm="1">
        <f t="array" ref="T9">MIN(IF((DiscreteStatsTable[GroupByKey]=DiscreteStatsTable[[#This Row],[GroupByKey]]),(DiscreteStatsTable[GroupByKey]=DiscreteStatsTable[[#This Row],[GroupByKey]])*DiscreteStatsTable[Minimum]))</f>
        <v>0.50768210204097997</v>
      </c>
      <c r="U9" cm="1">
        <f t="array" ref="U9">MAX(IF((DiscreteStatsTable[GroupByKey]=DiscreteStatsTable[[#This Row],[GroupByKey]]),(DiscreteStatsTable[GroupByKey]=DiscreteStatsTable[[#This Row],[GroupByKey]])*DiscreteStatsTable[Maximum]))</f>
        <v>7.7877845684610998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68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67</v>
      </c>
      <c r="B10" t="s">
        <v>69</v>
      </c>
      <c r="C10">
        <v>1</v>
      </c>
      <c r="D10" t="s">
        <v>80</v>
      </c>
      <c r="E10" t="s">
        <v>71</v>
      </c>
      <c r="F10" t="s">
        <v>72</v>
      </c>
      <c r="G10">
        <v>0</v>
      </c>
      <c r="H10">
        <v>2E+20</v>
      </c>
      <c r="I10">
        <v>0</v>
      </c>
      <c r="J10">
        <v>0</v>
      </c>
      <c r="K10">
        <v>141</v>
      </c>
      <c r="L10" t="str">
        <f>DiscreteStatsTable[[#This Row],[ProjectName]]&amp;DiscreteStatsTable[[#This Row],[Name]]&amp;DiscreteStatsTable[[#This Row],[Type]]&amp;DiscreteStatsTable[[#This Row],[Source]]</f>
        <v>Unnamed ProjectPut Bike in Dock B.QueueWaiting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141</v>
      </c>
      <c r="W10">
        <f>IF((DiscreteStatsTable[[#This Row],[RepsRequested]]&gt;1),DiscreteStatsTable[[#This Row],[HalfWidth]],DiscreteStatsTable[[#This Row],[BatchMeansHalfWidth]])</f>
        <v>2E+20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67</v>
      </c>
      <c r="B11" t="s">
        <v>69</v>
      </c>
      <c r="C11">
        <v>1</v>
      </c>
      <c r="D11" t="s">
        <v>81</v>
      </c>
      <c r="E11" t="s">
        <v>71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140</v>
      </c>
      <c r="L11" t="str">
        <f>DiscreteStatsTable[[#This Row],[ProjectName]]&amp;DiscreteStatsTable[[#This Row],[Name]]&amp;DiscreteStatsTable[[#This Row],[Type]]&amp;DiscreteStatsTable[[#This Row],[Source]]</f>
        <v>Unnamed ProjectPut Bike in Dock C.QueueWaiting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140</v>
      </c>
      <c r="W11">
        <f>IF((DiscreteStatsTable[[#This Row],[RepsRequested]]&gt;1),DiscreteStatsTable[[#This Row],[HalfWidth]],DiscreteStatsTable[[#This Row],[BatchMeansHalfWidth]])</f>
        <v>2E+20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67</v>
      </c>
      <c r="B12" t="s">
        <v>69</v>
      </c>
      <c r="C12">
        <v>1</v>
      </c>
      <c r="D12" t="s">
        <v>82</v>
      </c>
      <c r="E12" t="s">
        <v>71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139</v>
      </c>
      <c r="L12" t="str">
        <f>DiscreteStatsTable[[#This Row],[ProjectName]]&amp;DiscreteStatsTable[[#This Row],[Name]]&amp;DiscreteStatsTable[[#This Row],[Type]]&amp;DiscreteStatsTable[[#This Row],[Source]]</f>
        <v>Unnamed ProjectPut Bike in Dock D.QueueWaiting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139</v>
      </c>
      <c r="W12">
        <f>IF((DiscreteStatsTable[[#This Row],[RepsRequested]]&gt;1),DiscreteStatsTable[[#This Row],[HalfWidth]],DiscreteStatsTable[[#This Row],[BatchMeansHalfWidth]])</f>
        <v>2E+20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67</v>
      </c>
      <c r="B13" t="s">
        <v>69</v>
      </c>
      <c r="C13">
        <v>1</v>
      </c>
      <c r="D13" t="s">
        <v>83</v>
      </c>
      <c r="E13" t="s">
        <v>71</v>
      </c>
      <c r="F13" t="s">
        <v>72</v>
      </c>
      <c r="G13">
        <v>0</v>
      </c>
      <c r="H13">
        <v>2E+20</v>
      </c>
      <c r="I13">
        <v>0</v>
      </c>
      <c r="J13">
        <v>0</v>
      </c>
      <c r="K13">
        <v>148</v>
      </c>
      <c r="L13" t="str">
        <f>DiscreteStatsTable[[#This Row],[ProjectName]]&amp;DiscreteStatsTable[[#This Row],[Name]]&amp;DiscreteStatsTable[[#This Row],[Type]]&amp;DiscreteStatsTable[[#This Row],[Source]]</f>
        <v>Unnamed ProjectPut Bike in Dock.QueueWaiting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148</v>
      </c>
      <c r="W13">
        <f>IF((DiscreteStatsTable[[#This Row],[RepsRequested]]&gt;1),DiscreteStatsTable[[#This Row],[HalfWidth]],DiscreteStatsTable[[#This Row],[BatchMeansHalfWidth]])</f>
        <v>2E+20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67</v>
      </c>
      <c r="B14" t="s">
        <v>69</v>
      </c>
      <c r="C14">
        <v>1</v>
      </c>
      <c r="D14" t="s">
        <v>84</v>
      </c>
      <c r="E14" t="s">
        <v>85</v>
      </c>
      <c r="F14" t="s">
        <v>86</v>
      </c>
      <c r="G14">
        <v>0</v>
      </c>
      <c r="H14">
        <v>2E+20</v>
      </c>
      <c r="I14">
        <v>0</v>
      </c>
      <c r="J14">
        <v>0</v>
      </c>
      <c r="K14">
        <v>121</v>
      </c>
      <c r="L14" t="str">
        <f>DiscreteStatsTable[[#This Row],[ProjectName]]&amp;DiscreteStatsTable[[#This Row],[Name]]&amp;DiscreteStatsTable[[#This Row],[Type]]&amp;DiscreteStatsTable[[#This Row],[Source]]</f>
        <v>Unnamed ProjectTouristNVA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121</v>
      </c>
      <c r="W14">
        <f>IF((DiscreteStatsTable[[#This Row],[RepsRequested]]&gt;1),DiscreteStatsTable[[#This Row],[HalfWidth]],DiscreteStatsTable[[#This Row],[BatchMeansHalfWidth]])</f>
        <v>2E+20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67</v>
      </c>
      <c r="B15" t="s">
        <v>69</v>
      </c>
      <c r="C15">
        <v>1</v>
      </c>
      <c r="D15" t="s">
        <v>84</v>
      </c>
      <c r="E15" t="s">
        <v>87</v>
      </c>
      <c r="F15" t="s">
        <v>86</v>
      </c>
      <c r="G15">
        <v>0</v>
      </c>
      <c r="H15">
        <v>2E+20</v>
      </c>
      <c r="I15">
        <v>0</v>
      </c>
      <c r="J15">
        <v>0</v>
      </c>
      <c r="K15">
        <v>121</v>
      </c>
      <c r="L15" t="str">
        <f>DiscreteStatsTable[[#This Row],[ProjectName]]&amp;DiscreteStatsTable[[#This Row],[Name]]&amp;DiscreteStatsTable[[#This Row],[Type]]&amp;DiscreteStatsTable[[#This Row],[Source]]</f>
        <v>Unnamed ProjectTouristOther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121</v>
      </c>
      <c r="W15">
        <f>IF((DiscreteStatsTable[[#This Row],[RepsRequested]]&gt;1),DiscreteStatsTable[[#This Row],[HalfWidth]],DiscreteStatsTable[[#This Row],[BatchMeansHalfWidth]])</f>
        <v>2E+20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67</v>
      </c>
      <c r="B16" t="s">
        <v>69</v>
      </c>
      <c r="C16">
        <v>1</v>
      </c>
      <c r="D16" t="s">
        <v>84</v>
      </c>
      <c r="E16" t="s">
        <v>88</v>
      </c>
      <c r="F16" t="s">
        <v>86</v>
      </c>
      <c r="G16">
        <v>1.86002047497111</v>
      </c>
      <c r="H16">
        <v>2E+20</v>
      </c>
      <c r="I16">
        <v>0.68154640969804003</v>
      </c>
      <c r="J16">
        <v>3.42483915664369</v>
      </c>
      <c r="K16">
        <v>121</v>
      </c>
      <c r="L16" t="str">
        <f>DiscreteStatsTable[[#This Row],[ProjectName]]&amp;DiscreteStatsTable[[#This Row],[Name]]&amp;DiscreteStatsTable[[#This Row],[Type]]&amp;DiscreteStatsTable[[#This Row],[Source]]</f>
        <v>Unnamed ProjectTouristTotal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1.86002047497111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1.86002047497111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1.86002047497111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0.68154640969804003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3.42483915664369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121</v>
      </c>
      <c r="W16">
        <f>IF((DiscreteStatsTable[[#This Row],[RepsRequested]]&gt;1),DiscreteStatsTable[[#This Row],[HalfWidth]],DiscreteStatsTable[[#This Row],[BatchMeansHalfWidth]])</f>
        <v>2E+20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67</v>
      </c>
      <c r="B17" t="s">
        <v>69</v>
      </c>
      <c r="C17">
        <v>1</v>
      </c>
      <c r="D17" t="s">
        <v>84</v>
      </c>
      <c r="E17" t="s">
        <v>89</v>
      </c>
      <c r="F17" t="s">
        <v>86</v>
      </c>
      <c r="G17">
        <v>0.20109248870306101</v>
      </c>
      <c r="H17">
        <v>2E+20</v>
      </c>
      <c r="I17">
        <v>3.5403990233327E-2</v>
      </c>
      <c r="J17">
        <v>0.48127996945957302</v>
      </c>
      <c r="K17">
        <v>121</v>
      </c>
      <c r="L17" t="str">
        <f>DiscreteStatsTable[[#This Row],[ProjectName]]&amp;DiscreteStatsTable[[#This Row],[Name]]&amp;DiscreteStatsTable[[#This Row],[Type]]&amp;DiscreteStatsTable[[#This Row],[Source]]</f>
        <v>Unnamed ProjectTouristTransfer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0.20109248870306101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0.20109248870306101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0.20109248870306101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3.5403990233327E-2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0.48127996945957302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121</v>
      </c>
      <c r="W17">
        <f>IF((DiscreteStatsTable[[#This Row],[RepsRequested]]&gt;1),DiscreteStatsTable[[#This Row],[HalfWidth]],DiscreteStatsTable[[#This Row],[BatchMeansHalfWidth]])</f>
        <v>2E+20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</v>
      </c>
      <c r="Y17">
        <f>IF(DiscreteStatsTable[[#This Row],[RepsRequested]]=DiscreteStatsTable[[#This Row],[RepsWithStatObserved]],1,0)</f>
        <v>1</v>
      </c>
    </row>
    <row r="18" spans="1:25" x14ac:dyDescent="0.35">
      <c r="A18" t="s">
        <v>67</v>
      </c>
      <c r="B18" t="s">
        <v>69</v>
      </c>
      <c r="C18">
        <v>1</v>
      </c>
      <c r="D18" t="s">
        <v>84</v>
      </c>
      <c r="E18" t="s">
        <v>90</v>
      </c>
      <c r="F18" t="s">
        <v>86</v>
      </c>
      <c r="G18">
        <v>1.4183707030786299</v>
      </c>
      <c r="H18">
        <v>2E+20</v>
      </c>
      <c r="I18">
        <v>0.63033136546619895</v>
      </c>
      <c r="J18">
        <v>2.30446125801627</v>
      </c>
      <c r="K18">
        <v>121</v>
      </c>
      <c r="L18" t="str">
        <f>DiscreteStatsTable[[#This Row],[ProjectName]]&amp;DiscreteStatsTable[[#This Row],[Name]]&amp;DiscreteStatsTable[[#This Row],[Type]]&amp;DiscreteStatsTable[[#This Row],[Source]]</f>
        <v>Unnamed ProjectTouristVA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1.4183707030786299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1.4183707030786299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1.4183707030786299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0.63033136546619895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2.30446125801627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121</v>
      </c>
      <c r="W18">
        <f>IF((DiscreteStatsTable[[#This Row],[RepsRequested]]&gt;1),DiscreteStatsTable[[#This Row],[HalfWidth]],DiscreteStatsTable[[#This Row],[BatchMeansHalfWidth]])</f>
        <v>2E+20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</v>
      </c>
      <c r="Y18">
        <f>IF(DiscreteStatsTable[[#This Row],[RepsRequested]]=DiscreteStatsTable[[#This Row],[RepsWithStatObserved]],1,0)</f>
        <v>1</v>
      </c>
    </row>
    <row r="19" spans="1:25" x14ac:dyDescent="0.35">
      <c r="A19" t="s">
        <v>67</v>
      </c>
      <c r="B19" t="s">
        <v>69</v>
      </c>
      <c r="C19">
        <v>1</v>
      </c>
      <c r="D19" t="s">
        <v>84</v>
      </c>
      <c r="E19" t="s">
        <v>91</v>
      </c>
      <c r="F19" t="s">
        <v>86</v>
      </c>
      <c r="G19">
        <v>0.24055728318942299</v>
      </c>
      <c r="H19">
        <v>2E+20</v>
      </c>
      <c r="I19">
        <v>0</v>
      </c>
      <c r="J19">
        <v>0.91895101004491997</v>
      </c>
      <c r="K19">
        <v>121</v>
      </c>
      <c r="L19" t="str">
        <f>DiscreteStatsTable[[#This Row],[ProjectName]]&amp;DiscreteStatsTable[[#This Row],[Name]]&amp;DiscreteStatsTable[[#This Row],[Type]]&amp;DiscreteStatsTable[[#This Row],[Source]]</f>
        <v>Unnamed ProjectTouristWait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0.24055728318942299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0.24055728318942299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0.24055728318942299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0.91895101004491997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121</v>
      </c>
      <c r="W19">
        <f>IF((DiscreteStatsTable[[#This Row],[RepsRequested]]&gt;1),DiscreteStatsTable[[#This Row],[HalfWidth]],DiscreteStatsTable[[#This Row],[BatchMeansHalfWidth]])</f>
        <v>2E+20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</v>
      </c>
      <c r="Y19">
        <f>IF(DiscreteStatsTable[[#This Row],[RepsRequested]]=DiscreteStatsTable[[#This Row],[RepsWithStatObserved]],1,0)</f>
        <v>1</v>
      </c>
    </row>
    <row r="20" spans="1:25" x14ac:dyDescent="0.35">
      <c r="A20" t="s">
        <v>67</v>
      </c>
      <c r="B20" t="s">
        <v>69</v>
      </c>
      <c r="C20">
        <v>1</v>
      </c>
      <c r="D20" t="s">
        <v>92</v>
      </c>
      <c r="E20" t="s">
        <v>71</v>
      </c>
      <c r="F20" t="s">
        <v>72</v>
      </c>
      <c r="G20">
        <v>0</v>
      </c>
      <c r="H20">
        <v>2E+20</v>
      </c>
      <c r="I20">
        <v>0</v>
      </c>
      <c r="J20">
        <v>0</v>
      </c>
      <c r="K20">
        <v>68</v>
      </c>
      <c r="L20" t="str">
        <f>DiscreteStatsTable[[#This Row],[ProjectName]]&amp;DiscreteStatsTable[[#This Row],[Name]]&amp;DiscreteStatsTable[[#This Row],[Type]]&amp;DiscreteStatsTable[[#This Row],[Source]]</f>
        <v>Unnamed ProjectWait for a Free Bike A.QueueWaiting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68</v>
      </c>
      <c r="W20">
        <f>IF((DiscreteStatsTable[[#This Row],[RepsRequested]]&gt;1),DiscreteStatsTable[[#This Row],[HalfWidth]],DiscreteStatsTable[[#This Row],[BatchMeansHalfWidth]])</f>
        <v>2E+20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</v>
      </c>
      <c r="Y20">
        <f>IF(DiscreteStatsTable[[#This Row],[RepsRequested]]=DiscreteStatsTable[[#This Row],[RepsWithStatObserved]],1,0)</f>
        <v>1</v>
      </c>
    </row>
    <row r="21" spans="1:25" x14ac:dyDescent="0.35">
      <c r="A21" t="s">
        <v>67</v>
      </c>
      <c r="B21" t="s">
        <v>69</v>
      </c>
      <c r="C21">
        <v>1</v>
      </c>
      <c r="D21" t="s">
        <v>93</v>
      </c>
      <c r="E21" t="s">
        <v>71</v>
      </c>
      <c r="F21" t="s">
        <v>72</v>
      </c>
      <c r="G21">
        <v>0</v>
      </c>
      <c r="H21">
        <v>2E+20</v>
      </c>
      <c r="I21">
        <v>0</v>
      </c>
      <c r="J21">
        <v>0</v>
      </c>
      <c r="K21">
        <v>61</v>
      </c>
      <c r="L21" t="str">
        <f>DiscreteStatsTable[[#This Row],[ProjectName]]&amp;DiscreteStatsTable[[#This Row],[Name]]&amp;DiscreteStatsTable[[#This Row],[Type]]&amp;DiscreteStatsTable[[#This Row],[Source]]</f>
        <v>Unnamed ProjectWait for a Free Bike B.QueueWaiting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61</v>
      </c>
      <c r="W21">
        <f>IF((DiscreteStatsTable[[#This Row],[RepsRequested]]&gt;1),DiscreteStatsTable[[#This Row],[HalfWidth]],DiscreteStatsTable[[#This Row],[BatchMeansHalfWidth]])</f>
        <v>2E+20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</v>
      </c>
      <c r="Y21">
        <f>IF(DiscreteStatsTable[[#This Row],[RepsRequested]]=DiscreteStatsTable[[#This Row],[RepsWithStatObserved]],1,0)</f>
        <v>1</v>
      </c>
    </row>
    <row r="22" spans="1:25" x14ac:dyDescent="0.35">
      <c r="A22" t="s">
        <v>67</v>
      </c>
      <c r="B22" t="s">
        <v>69</v>
      </c>
      <c r="C22">
        <v>1</v>
      </c>
      <c r="D22" t="s">
        <v>94</v>
      </c>
      <c r="E22" t="s">
        <v>71</v>
      </c>
      <c r="F22" t="s">
        <v>72</v>
      </c>
      <c r="G22">
        <v>0</v>
      </c>
      <c r="H22">
        <v>2E+20</v>
      </c>
      <c r="I22">
        <v>0</v>
      </c>
      <c r="J22">
        <v>0</v>
      </c>
      <c r="K22">
        <v>60</v>
      </c>
      <c r="L22" t="str">
        <f>DiscreteStatsTable[[#This Row],[ProjectName]]&amp;DiscreteStatsTable[[#This Row],[Name]]&amp;DiscreteStatsTable[[#This Row],[Type]]&amp;DiscreteStatsTable[[#This Row],[Source]]</f>
        <v>Unnamed ProjectWait for a Free Bike C.QueueWaiting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60</v>
      </c>
      <c r="W22">
        <f>IF((DiscreteStatsTable[[#This Row],[RepsRequested]]&gt;1),DiscreteStatsTable[[#This Row],[HalfWidth]],DiscreteStatsTable[[#This Row],[BatchMeansHalfWidth]])</f>
        <v>2E+20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</v>
      </c>
      <c r="Y22">
        <f>IF(DiscreteStatsTable[[#This Row],[RepsRequested]]=DiscreteStatsTable[[#This Row],[RepsWithStatObserved]],1,0)</f>
        <v>1</v>
      </c>
    </row>
    <row r="23" spans="1:25" x14ac:dyDescent="0.35">
      <c r="A23" t="s">
        <v>67</v>
      </c>
      <c r="B23" t="s">
        <v>69</v>
      </c>
      <c r="C23">
        <v>1</v>
      </c>
      <c r="D23" t="s">
        <v>95</v>
      </c>
      <c r="E23" t="s">
        <v>71</v>
      </c>
      <c r="F23" t="s">
        <v>72</v>
      </c>
      <c r="G23">
        <v>0</v>
      </c>
      <c r="H23">
        <v>2E+20</v>
      </c>
      <c r="I23">
        <v>0</v>
      </c>
      <c r="J23">
        <v>0</v>
      </c>
      <c r="K23">
        <v>68</v>
      </c>
      <c r="L23" t="str">
        <f>DiscreteStatsTable[[#This Row],[ProjectName]]&amp;DiscreteStatsTable[[#This Row],[Name]]&amp;DiscreteStatsTable[[#This Row],[Type]]&amp;DiscreteStatsTable[[#This Row],[Source]]</f>
        <v>Unnamed ProjectWait for a Free Bike D.QueueWaiting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68</v>
      </c>
      <c r="W23">
        <f>IF((DiscreteStatsTable[[#This Row],[RepsRequested]]&gt;1),DiscreteStatsTable[[#This Row],[HalfWidth]],DiscreteStatsTable[[#This Row],[BatchMeansHalfWidth]])</f>
        <v>2E+20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</v>
      </c>
      <c r="Y23">
        <f>IF(DiscreteStatsTable[[#This Row],[RepsRequested]]=DiscreteStatsTable[[#This Row],[RepsWithStatObserved]],1,0)</f>
        <v>1</v>
      </c>
    </row>
    <row r="24" spans="1:25" x14ac:dyDescent="0.35">
      <c r="A24" t="s">
        <v>67</v>
      </c>
      <c r="B24" t="s">
        <v>69</v>
      </c>
      <c r="C24">
        <v>1</v>
      </c>
      <c r="D24" t="s">
        <v>96</v>
      </c>
      <c r="E24" t="s">
        <v>71</v>
      </c>
      <c r="F24" t="s">
        <v>72</v>
      </c>
      <c r="G24">
        <v>2.8231173768781499E-2</v>
      </c>
      <c r="H24">
        <v>2E+20</v>
      </c>
      <c r="I24">
        <v>0</v>
      </c>
      <c r="J24">
        <v>0.33244383893490698</v>
      </c>
      <c r="K24">
        <v>68</v>
      </c>
      <c r="L24" t="str">
        <f>DiscreteStatsTable[[#This Row],[ProjectName]]&amp;DiscreteStatsTable[[#This Row],[Name]]&amp;DiscreteStatsTable[[#This Row],[Type]]&amp;DiscreteStatsTable[[#This Row],[Source]]</f>
        <v>Unnamed ProjectWait for free dock A.QueueWaiting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2.8231173768781499E-2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2.8231173768781499E-2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2.8231173768781499E-2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0.33244383893490698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68</v>
      </c>
      <c r="W24">
        <f>IF((DiscreteStatsTable[[#This Row],[RepsRequested]]&gt;1),DiscreteStatsTable[[#This Row],[HalfWidth]],DiscreteStatsTable[[#This Row],[BatchMeansHalfWidth]])</f>
        <v>2E+20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</v>
      </c>
      <c r="Y24">
        <f>IF(DiscreteStatsTable[[#This Row],[RepsRequested]]=DiscreteStatsTable[[#This Row],[RepsWithStatObserved]],1,0)</f>
        <v>1</v>
      </c>
    </row>
    <row r="25" spans="1:25" x14ac:dyDescent="0.35">
      <c r="A25" t="s">
        <v>67</v>
      </c>
      <c r="B25" t="s">
        <v>69</v>
      </c>
      <c r="C25">
        <v>1</v>
      </c>
      <c r="D25" t="s">
        <v>97</v>
      </c>
      <c r="E25" t="s">
        <v>71</v>
      </c>
      <c r="F25" t="s">
        <v>72</v>
      </c>
      <c r="G25">
        <v>1.09146347977574E-2</v>
      </c>
      <c r="H25">
        <v>2E+20</v>
      </c>
      <c r="I25">
        <v>0</v>
      </c>
      <c r="J25">
        <v>0.52971364377732</v>
      </c>
      <c r="K25">
        <v>61</v>
      </c>
      <c r="L25" t="str">
        <f>DiscreteStatsTable[[#This Row],[ProjectName]]&amp;DiscreteStatsTable[[#This Row],[Name]]&amp;DiscreteStatsTable[[#This Row],[Type]]&amp;DiscreteStatsTable[[#This Row],[Source]]</f>
        <v>Unnamed ProjectWait for free dock B.QueueWaiting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1.09146347977574E-2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1.09146347977574E-2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1.09146347977574E-2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0.52971364377732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61</v>
      </c>
      <c r="W25">
        <f>IF((DiscreteStatsTable[[#This Row],[RepsRequested]]&gt;1),DiscreteStatsTable[[#This Row],[HalfWidth]],DiscreteStatsTable[[#This Row],[BatchMeansHalfWidth]])</f>
        <v>2E+20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</v>
      </c>
      <c r="Y25">
        <f>IF(DiscreteStatsTable[[#This Row],[RepsRequested]]=DiscreteStatsTable[[#This Row],[RepsWithStatObserved]],1,0)</f>
        <v>1</v>
      </c>
    </row>
    <row r="26" spans="1:25" x14ac:dyDescent="0.35">
      <c r="A26" t="s">
        <v>67</v>
      </c>
      <c r="B26" t="s">
        <v>69</v>
      </c>
      <c r="C26">
        <v>1</v>
      </c>
      <c r="D26" t="s">
        <v>98</v>
      </c>
      <c r="E26" t="s">
        <v>71</v>
      </c>
      <c r="F26" t="s">
        <v>72</v>
      </c>
      <c r="G26">
        <v>0.41878040602851002</v>
      </c>
      <c r="H26">
        <v>2E+20</v>
      </c>
      <c r="I26">
        <v>0</v>
      </c>
      <c r="J26">
        <v>0.81848713817695795</v>
      </c>
      <c r="K26">
        <v>60</v>
      </c>
      <c r="L26" t="str">
        <f>DiscreteStatsTable[[#This Row],[ProjectName]]&amp;DiscreteStatsTable[[#This Row],[Name]]&amp;DiscreteStatsTable[[#This Row],[Type]]&amp;DiscreteStatsTable[[#This Row],[Source]]</f>
        <v>Unnamed ProjectWait for free dock C.QueueWaiting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0.41878040602851002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0.41878040602851002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0.41878040602851002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0.81848713817695795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60</v>
      </c>
      <c r="W26">
        <f>IF((DiscreteStatsTable[[#This Row],[RepsRequested]]&gt;1),DiscreteStatsTable[[#This Row],[HalfWidth]],DiscreteStatsTable[[#This Row],[BatchMeansHalfWidth]])</f>
        <v>2E+20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</v>
      </c>
      <c r="Y26">
        <f>IF(DiscreteStatsTable[[#This Row],[RepsRequested]]=DiscreteStatsTable[[#This Row],[RepsWithStatObserved]],1,0)</f>
        <v>1</v>
      </c>
    </row>
    <row r="27" spans="1:25" x14ac:dyDescent="0.35">
      <c r="A27" t="s">
        <v>67</v>
      </c>
      <c r="B27" t="s">
        <v>69</v>
      </c>
      <c r="C27">
        <v>1</v>
      </c>
      <c r="D27" t="s">
        <v>99</v>
      </c>
      <c r="E27" t="s">
        <v>71</v>
      </c>
      <c r="F27" t="s">
        <v>72</v>
      </c>
      <c r="G27">
        <v>8.29795836243888E-2</v>
      </c>
      <c r="H27">
        <v>2E+20</v>
      </c>
      <c r="I27">
        <v>0</v>
      </c>
      <c r="J27">
        <v>0.50541457317974703</v>
      </c>
      <c r="K27">
        <v>59</v>
      </c>
      <c r="L27" t="str">
        <f>DiscreteStatsTable[[#This Row],[ProjectName]]&amp;DiscreteStatsTable[[#This Row],[Name]]&amp;DiscreteStatsTable[[#This Row],[Type]]&amp;DiscreteStatsTable[[#This Row],[Source]]</f>
        <v>Unnamed ProjectWait for free dock D.QueueWaiting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8.29795836243888E-2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8.29795836243888E-2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8.29795836243888E-2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0.50541457317974703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59</v>
      </c>
      <c r="W27">
        <f>IF((DiscreteStatsTable[[#This Row],[RepsRequested]]&gt;1),DiscreteStatsTable[[#This Row],[HalfWidth]],DiscreteStatsTable[[#This Row],[BatchMeansHalfWidth]])</f>
        <v>2E+20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</v>
      </c>
      <c r="Y27">
        <f>IF(DiscreteStatsTable[[#This Row],[RepsRequested]]=DiscreteStatsTable[[#This Row],[RepsWithStatObserved]],1,0)</f>
        <v>1</v>
      </c>
    </row>
  </sheetData>
  <phoneticPr fontId="2" type="noConversion"/>
  <conditionalFormatting sqref="H2:H27 Q2:Q27">
    <cfRule type="expression" dxfId="19" priority="23">
      <formula>H2=200000000000000000000</formula>
    </cfRule>
  </conditionalFormatting>
  <conditionalFormatting sqref="H2:H27">
    <cfRule type="expression" dxfId="18" priority="21">
      <formula>H2=300000000000000000000</formula>
    </cfRule>
  </conditionalFormatting>
  <conditionalFormatting sqref="L2:Y27">
    <cfRule type="expression" dxfId="17" priority="19">
      <formula>MOD(ROW(),2)=0</formula>
    </cfRule>
  </conditionalFormatting>
  <conditionalFormatting sqref="Y2:Y27">
    <cfRule type="expression" dxfId="16" priority="14">
      <formula>Y2=0</formula>
    </cfRule>
    <cfRule type="expression" dxfId="15" priority="16">
      <formula>Y2=1</formula>
    </cfRule>
  </conditionalFormatting>
  <conditionalFormatting sqref="Y3:Y27">
    <cfRule type="expression" dxfId="14" priority="15">
      <formula>Y3=1</formula>
    </cfRule>
  </conditionalFormatting>
  <conditionalFormatting sqref="W2:W27">
    <cfRule type="expression" dxfId="13" priority="6">
      <formula>W2=300000000000000000000</formula>
    </cfRule>
    <cfRule type="expression" dxfId="12" priority="7">
      <formula>W2=200000000000000000000</formula>
    </cfRule>
  </conditionalFormatting>
  <conditionalFormatting sqref="Q2:Q27 W2:W27">
    <cfRule type="expression" dxfId="1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35"/>
  <sheetViews>
    <sheetView workbookViewId="0">
      <selection activeCell="D2" sqref="D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7.6328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62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67</v>
      </c>
      <c r="B2" t="s">
        <v>69</v>
      </c>
      <c r="C2">
        <v>1</v>
      </c>
      <c r="D2" t="s">
        <v>100</v>
      </c>
      <c r="E2" t="s">
        <v>101</v>
      </c>
      <c r="F2" t="s">
        <v>86</v>
      </c>
      <c r="G2">
        <v>327.70933906197502</v>
      </c>
      <c r="H2">
        <v>2E+20</v>
      </c>
      <c r="I2">
        <v>0</v>
      </c>
      <c r="J2">
        <v>338</v>
      </c>
      <c r="K2">
        <v>329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ProjectBikeWIPEntity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327.70933906197502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327.70933906197502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327.70933906197502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5">
      <c r="A3" t="s">
        <v>67</v>
      </c>
      <c r="B3" t="s">
        <v>69</v>
      </c>
      <c r="C3">
        <v>1</v>
      </c>
      <c r="D3" t="s">
        <v>102</v>
      </c>
      <c r="E3" t="s">
        <v>103</v>
      </c>
      <c r="F3" t="s">
        <v>104</v>
      </c>
      <c r="G3">
        <v>0.97178783252283596</v>
      </c>
      <c r="H3">
        <v>2E+20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ProjectDock_AInstantaneous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0.97178783252283596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0.97178783252283596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0.97178783252283596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5">
      <c r="A4" t="s">
        <v>67</v>
      </c>
      <c r="B4" t="s">
        <v>69</v>
      </c>
      <c r="C4">
        <v>1</v>
      </c>
      <c r="D4" t="s">
        <v>102</v>
      </c>
      <c r="E4" t="s">
        <v>105</v>
      </c>
      <c r="F4" t="s">
        <v>104</v>
      </c>
      <c r="G4">
        <v>77.743026601826799</v>
      </c>
      <c r="H4">
        <v>2E+20</v>
      </c>
      <c r="I4">
        <v>0</v>
      </c>
      <c r="J4">
        <v>80</v>
      </c>
      <c r="K4">
        <v>80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ProjectDock_ANumber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77.743026601826799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77.743026601826799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77.743026601826799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67</v>
      </c>
      <c r="B5" t="s">
        <v>69</v>
      </c>
      <c r="C5">
        <v>1</v>
      </c>
      <c r="D5" t="s">
        <v>102</v>
      </c>
      <c r="E5" t="s">
        <v>106</v>
      </c>
      <c r="F5" t="s">
        <v>104</v>
      </c>
      <c r="G5">
        <v>80</v>
      </c>
      <c r="H5">
        <v>2E+20</v>
      </c>
      <c r="I5">
        <v>80</v>
      </c>
      <c r="J5">
        <v>80</v>
      </c>
      <c r="K5">
        <v>80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ProjectDock_ANumber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80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80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80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5">
      <c r="A6" t="s">
        <v>67</v>
      </c>
      <c r="B6" t="s">
        <v>69</v>
      </c>
      <c r="C6">
        <v>1</v>
      </c>
      <c r="D6" t="s">
        <v>107</v>
      </c>
      <c r="E6" t="s">
        <v>103</v>
      </c>
      <c r="F6" t="s">
        <v>104</v>
      </c>
      <c r="G6">
        <v>0.95583036262113796</v>
      </c>
      <c r="H6">
        <v>2E+20</v>
      </c>
      <c r="I6">
        <v>0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ProjectDock_BInstantaneous UtilizationResource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0.95583036262113796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0.95583036262113796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0.95583036262113796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67</v>
      </c>
      <c r="B7" t="s">
        <v>69</v>
      </c>
      <c r="C7">
        <v>1</v>
      </c>
      <c r="D7" t="s">
        <v>107</v>
      </c>
      <c r="E7" t="s">
        <v>105</v>
      </c>
      <c r="F7" t="s">
        <v>104</v>
      </c>
      <c r="G7">
        <v>76.466429009690998</v>
      </c>
      <c r="H7">
        <v>2E+20</v>
      </c>
      <c r="I7">
        <v>0</v>
      </c>
      <c r="J7">
        <v>80</v>
      </c>
      <c r="K7">
        <v>80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ProjectDock_BNumber BusyResource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76.466429009690998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76.466429009690998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76.466429009690998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5">
      <c r="A8" t="s">
        <v>67</v>
      </c>
      <c r="B8" t="s">
        <v>69</v>
      </c>
      <c r="C8">
        <v>1</v>
      </c>
      <c r="D8" t="s">
        <v>107</v>
      </c>
      <c r="E8" t="s">
        <v>106</v>
      </c>
      <c r="F8" t="s">
        <v>104</v>
      </c>
      <c r="G8">
        <v>80</v>
      </c>
      <c r="H8">
        <v>2E+20</v>
      </c>
      <c r="I8">
        <v>80</v>
      </c>
      <c r="J8">
        <v>80</v>
      </c>
      <c r="K8">
        <v>80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ProjectDock_BNumber ScheduledResource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80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80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80</v>
      </c>
      <c r="U8">
        <f>IF((ContinuousStatsTable[[#This Row],[RepsRequested]]&gt;1),ContinuousStatsTable[[#This Row],[HalfWidth]],ContinuousStatsTable[[#This Row],[BatchMeansHalfWidth]])</f>
        <v>2E+20</v>
      </c>
    </row>
    <row r="9" spans="1:21" x14ac:dyDescent="0.35">
      <c r="A9" t="s">
        <v>67</v>
      </c>
      <c r="B9" t="s">
        <v>69</v>
      </c>
      <c r="C9">
        <v>1</v>
      </c>
      <c r="D9" t="s">
        <v>108</v>
      </c>
      <c r="E9" t="s">
        <v>103</v>
      </c>
      <c r="F9" t="s">
        <v>104</v>
      </c>
      <c r="G9">
        <v>0.99971391861735304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ProjectDock_CInstantaneous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0.99971391861735304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0.99971391861735304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0.99971391861735304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35">
      <c r="A10" t="s">
        <v>67</v>
      </c>
      <c r="B10" t="s">
        <v>69</v>
      </c>
      <c r="C10">
        <v>1</v>
      </c>
      <c r="D10" t="s">
        <v>108</v>
      </c>
      <c r="E10" t="s">
        <v>105</v>
      </c>
      <c r="F10" t="s">
        <v>104</v>
      </c>
      <c r="G10">
        <v>79.977113489388302</v>
      </c>
      <c r="H10">
        <v>2E+20</v>
      </c>
      <c r="I10">
        <v>0</v>
      </c>
      <c r="J10">
        <v>80</v>
      </c>
      <c r="K10">
        <v>80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ProjectDock_CNumber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79.977113489388302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79.977113489388302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79.977113489388302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5">
      <c r="A11" t="s">
        <v>67</v>
      </c>
      <c r="B11" t="s">
        <v>69</v>
      </c>
      <c r="C11">
        <v>1</v>
      </c>
      <c r="D11" t="s">
        <v>108</v>
      </c>
      <c r="E11" t="s">
        <v>106</v>
      </c>
      <c r="F11" t="s">
        <v>104</v>
      </c>
      <c r="G11">
        <v>80</v>
      </c>
      <c r="H11">
        <v>2E+20</v>
      </c>
      <c r="I11">
        <v>80</v>
      </c>
      <c r="J11">
        <v>80</v>
      </c>
      <c r="K11">
        <v>80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ProjectDock_CNumber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80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80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80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5">
      <c r="A12" t="s">
        <v>67</v>
      </c>
      <c r="B12" t="s">
        <v>69</v>
      </c>
      <c r="C12">
        <v>1</v>
      </c>
      <c r="D12" t="s">
        <v>109</v>
      </c>
      <c r="E12" t="s">
        <v>103</v>
      </c>
      <c r="F12" t="s">
        <v>104</v>
      </c>
      <c r="G12">
        <v>0.97630114796398204</v>
      </c>
      <c r="H12">
        <v>2E+20</v>
      </c>
      <c r="I12">
        <v>0</v>
      </c>
      <c r="J12">
        <v>1</v>
      </c>
      <c r="K12">
        <v>0.88749999999999996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ProjectDock_DInstantaneous UtilizationResource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0.97630114796398204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0.97630114796398204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0.97630114796398204</v>
      </c>
      <c r="U12">
        <f>IF((ContinuousStatsTable[[#This Row],[RepsRequested]]&gt;1),ContinuousStatsTable[[#This Row],[HalfWidth]],ContinuousStatsTable[[#This Row],[BatchMeansHalfWidth]])</f>
        <v>2E+20</v>
      </c>
    </row>
    <row r="13" spans="1:21" x14ac:dyDescent="0.35">
      <c r="A13" t="s">
        <v>67</v>
      </c>
      <c r="B13" t="s">
        <v>69</v>
      </c>
      <c r="C13">
        <v>1</v>
      </c>
      <c r="D13" t="s">
        <v>109</v>
      </c>
      <c r="E13" t="s">
        <v>105</v>
      </c>
      <c r="F13" t="s">
        <v>104</v>
      </c>
      <c r="G13">
        <v>78.104091837118503</v>
      </c>
      <c r="H13">
        <v>2E+20</v>
      </c>
      <c r="I13">
        <v>0</v>
      </c>
      <c r="J13">
        <v>80</v>
      </c>
      <c r="K13">
        <v>71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ProjectDock_DNumber BusyResource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78.104091837118503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78.104091837118503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78.104091837118503</v>
      </c>
      <c r="U13">
        <f>IF((ContinuousStatsTable[[#This Row],[RepsRequested]]&gt;1),ContinuousStatsTable[[#This Row],[HalfWidth]],ContinuousStatsTable[[#This Row],[BatchMeansHalfWidth]])</f>
        <v>2E+20</v>
      </c>
    </row>
    <row r="14" spans="1:21" x14ac:dyDescent="0.35">
      <c r="A14" t="s">
        <v>67</v>
      </c>
      <c r="B14" t="s">
        <v>69</v>
      </c>
      <c r="C14">
        <v>1</v>
      </c>
      <c r="D14" t="s">
        <v>109</v>
      </c>
      <c r="E14" t="s">
        <v>106</v>
      </c>
      <c r="F14" t="s">
        <v>104</v>
      </c>
      <c r="G14">
        <v>80</v>
      </c>
      <c r="H14">
        <v>2E+20</v>
      </c>
      <c r="I14">
        <v>80</v>
      </c>
      <c r="J14">
        <v>80</v>
      </c>
      <c r="K14">
        <v>80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ProjectDock_DNumber ScheduledResource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80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80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80</v>
      </c>
      <c r="U14">
        <f>IF((ContinuousStatsTable[[#This Row],[RepsRequested]]&gt;1),ContinuousStatsTable[[#This Row],[HalfWidth]],ContinuousStatsTable[[#This Row],[BatchMeansHalfWidth]])</f>
        <v>2E+20</v>
      </c>
    </row>
    <row r="15" spans="1:21" x14ac:dyDescent="0.35">
      <c r="A15" t="s">
        <v>67</v>
      </c>
      <c r="B15" t="s">
        <v>69</v>
      </c>
      <c r="C15">
        <v>1</v>
      </c>
      <c r="D15" t="s">
        <v>70</v>
      </c>
      <c r="E15" t="s">
        <v>110</v>
      </c>
      <c r="F15" t="s">
        <v>72</v>
      </c>
      <c r="G15">
        <v>0</v>
      </c>
      <c r="H15">
        <v>2E+20</v>
      </c>
      <c r="I15">
        <v>0</v>
      </c>
      <c r="J15">
        <v>1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ProjectMatch Tourist to Bike A.Queue1Number WaitingQueue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0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0</v>
      </c>
      <c r="U15">
        <f>IF((ContinuousStatsTable[[#This Row],[RepsRequested]]&gt;1),ContinuousStatsTable[[#This Row],[HalfWidth]],ContinuousStatsTable[[#This Row],[BatchMeansHalfWidth]])</f>
        <v>2E+20</v>
      </c>
    </row>
    <row r="16" spans="1:21" x14ac:dyDescent="0.35">
      <c r="A16" t="s">
        <v>67</v>
      </c>
      <c r="B16" t="s">
        <v>69</v>
      </c>
      <c r="C16">
        <v>1</v>
      </c>
      <c r="D16" t="s">
        <v>73</v>
      </c>
      <c r="E16" t="s">
        <v>110</v>
      </c>
      <c r="F16" t="s">
        <v>72</v>
      </c>
      <c r="G16">
        <v>77.743026601826799</v>
      </c>
      <c r="H16">
        <v>2E+20</v>
      </c>
      <c r="I16">
        <v>0</v>
      </c>
      <c r="J16">
        <v>80</v>
      </c>
      <c r="K16">
        <v>80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ProjectMatch Tourist to Bike A.Queue2Number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77.743026601826799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77.743026601826799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77.743026601826799</v>
      </c>
      <c r="U16">
        <f>IF((ContinuousStatsTable[[#This Row],[RepsRequested]]&gt;1),ContinuousStatsTable[[#This Row],[HalfWidth]],ContinuousStatsTable[[#This Row],[BatchMeansHalfWidth]])</f>
        <v>2E+20</v>
      </c>
    </row>
    <row r="17" spans="1:21" x14ac:dyDescent="0.35">
      <c r="A17" t="s">
        <v>67</v>
      </c>
      <c r="B17" t="s">
        <v>69</v>
      </c>
      <c r="C17">
        <v>1</v>
      </c>
      <c r="D17" t="s">
        <v>74</v>
      </c>
      <c r="E17" t="s">
        <v>110</v>
      </c>
      <c r="F17" t="s">
        <v>72</v>
      </c>
      <c r="G17">
        <v>0</v>
      </c>
      <c r="H17">
        <v>2E+20</v>
      </c>
      <c r="I17">
        <v>0</v>
      </c>
      <c r="J17">
        <v>1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ProjectMatch Tourist to Bike B.Queue1Number WaitingQueue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0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0</v>
      </c>
      <c r="U17">
        <f>IF((ContinuousStatsTable[[#This Row],[RepsRequested]]&gt;1),ContinuousStatsTable[[#This Row],[HalfWidth]],ContinuousStatsTable[[#This Row],[BatchMeansHalfWidth]])</f>
        <v>2E+20</v>
      </c>
    </row>
    <row r="18" spans="1:21" x14ac:dyDescent="0.35">
      <c r="A18" t="s">
        <v>67</v>
      </c>
      <c r="B18" t="s">
        <v>69</v>
      </c>
      <c r="C18">
        <v>1</v>
      </c>
      <c r="D18" t="s">
        <v>75</v>
      </c>
      <c r="E18" t="s">
        <v>110</v>
      </c>
      <c r="F18" t="s">
        <v>72</v>
      </c>
      <c r="G18">
        <v>76.466429009690998</v>
      </c>
      <c r="H18">
        <v>2E+20</v>
      </c>
      <c r="I18">
        <v>0</v>
      </c>
      <c r="J18">
        <v>80</v>
      </c>
      <c r="K18">
        <v>80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ProjectMatch Tourist to Bike B.Queue2Number WaitingQueue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76.466429009690998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76.466429009690998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76.466429009690998</v>
      </c>
      <c r="U18">
        <f>IF((ContinuousStatsTable[[#This Row],[RepsRequested]]&gt;1),ContinuousStatsTable[[#This Row],[HalfWidth]],ContinuousStatsTable[[#This Row],[BatchMeansHalfWidth]])</f>
        <v>2E+20</v>
      </c>
    </row>
    <row r="19" spans="1:21" x14ac:dyDescent="0.35">
      <c r="A19" t="s">
        <v>67</v>
      </c>
      <c r="B19" t="s">
        <v>69</v>
      </c>
      <c r="C19">
        <v>1</v>
      </c>
      <c r="D19" t="s">
        <v>76</v>
      </c>
      <c r="E19" t="s">
        <v>110</v>
      </c>
      <c r="F19" t="s">
        <v>72</v>
      </c>
      <c r="G19">
        <v>0</v>
      </c>
      <c r="H19">
        <v>2E+20</v>
      </c>
      <c r="I19">
        <v>0</v>
      </c>
      <c r="J19">
        <v>1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ProjectMatch Tourist to Bike C.Queue1Number WaitingQueue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0</v>
      </c>
      <c r="U19">
        <f>IF((ContinuousStatsTable[[#This Row],[RepsRequested]]&gt;1),ContinuousStatsTable[[#This Row],[HalfWidth]],ContinuousStatsTable[[#This Row],[BatchMeansHalfWidth]])</f>
        <v>2E+20</v>
      </c>
    </row>
    <row r="20" spans="1:21" x14ac:dyDescent="0.35">
      <c r="A20" t="s">
        <v>67</v>
      </c>
      <c r="B20" t="s">
        <v>69</v>
      </c>
      <c r="C20">
        <v>1</v>
      </c>
      <c r="D20" t="s">
        <v>77</v>
      </c>
      <c r="E20" t="s">
        <v>110</v>
      </c>
      <c r="F20" t="s">
        <v>72</v>
      </c>
      <c r="G20">
        <v>79.977113489388302</v>
      </c>
      <c r="H20">
        <v>2E+20</v>
      </c>
      <c r="I20">
        <v>0</v>
      </c>
      <c r="J20">
        <v>80</v>
      </c>
      <c r="K20">
        <v>80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ProjectMatch Tourist to Bike C.Queue2Number WaitingQueue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1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79.977113489388302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79.977113489388302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79.977113489388302</v>
      </c>
      <c r="U20">
        <f>IF((ContinuousStatsTable[[#This Row],[RepsRequested]]&gt;1),ContinuousStatsTable[[#This Row],[HalfWidth]],ContinuousStatsTable[[#This Row],[BatchMeansHalfWidth]])</f>
        <v>2E+20</v>
      </c>
    </row>
    <row r="21" spans="1:21" x14ac:dyDescent="0.35">
      <c r="A21" t="s">
        <v>67</v>
      </c>
      <c r="B21" t="s">
        <v>69</v>
      </c>
      <c r="C21">
        <v>1</v>
      </c>
      <c r="D21" t="s">
        <v>78</v>
      </c>
      <c r="E21" t="s">
        <v>110</v>
      </c>
      <c r="F21" t="s">
        <v>72</v>
      </c>
      <c r="G21">
        <v>0</v>
      </c>
      <c r="H21">
        <v>2E+20</v>
      </c>
      <c r="I21">
        <v>0</v>
      </c>
      <c r="J21">
        <v>1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ProjectMatch Tourist to Bike D.Queue1Number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1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</v>
      </c>
      <c r="U21">
        <f>IF((ContinuousStatsTable[[#This Row],[RepsRequested]]&gt;1),ContinuousStatsTable[[#This Row],[HalfWidth]],ContinuousStatsTable[[#This Row],[BatchMeansHalfWidth]])</f>
        <v>2E+20</v>
      </c>
    </row>
    <row r="22" spans="1:21" x14ac:dyDescent="0.35">
      <c r="A22" t="s">
        <v>67</v>
      </c>
      <c r="B22" t="s">
        <v>69</v>
      </c>
      <c r="C22">
        <v>1</v>
      </c>
      <c r="D22" t="s">
        <v>79</v>
      </c>
      <c r="E22" t="s">
        <v>110</v>
      </c>
      <c r="F22" t="s">
        <v>72</v>
      </c>
      <c r="G22">
        <v>78.104091837118503</v>
      </c>
      <c r="H22">
        <v>2E+20</v>
      </c>
      <c r="I22">
        <v>0</v>
      </c>
      <c r="J22">
        <v>80</v>
      </c>
      <c r="K22">
        <v>71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ProjectMatch Tourist to Bike D.Queue2Number WaitingQueue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1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78.104091837118503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78.104091837118503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78.104091837118503</v>
      </c>
      <c r="U22">
        <f>IF((ContinuousStatsTable[[#This Row],[RepsRequested]]&gt;1),ContinuousStatsTable[[#This Row],[HalfWidth]],ContinuousStatsTable[[#This Row],[BatchMeansHalfWidth]])</f>
        <v>2E+20</v>
      </c>
    </row>
    <row r="23" spans="1:21" x14ac:dyDescent="0.35">
      <c r="A23" t="s">
        <v>67</v>
      </c>
      <c r="B23" t="s">
        <v>69</v>
      </c>
      <c r="C23">
        <v>1</v>
      </c>
      <c r="D23" t="s">
        <v>80</v>
      </c>
      <c r="E23" t="s">
        <v>110</v>
      </c>
      <c r="F23" t="s">
        <v>72</v>
      </c>
      <c r="G23">
        <v>0</v>
      </c>
      <c r="H23">
        <v>2E+20</v>
      </c>
      <c r="I23">
        <v>0</v>
      </c>
      <c r="J23">
        <v>0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ProjectPut Bike in Dock B.QueueNumber WaitingQueue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1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</v>
      </c>
      <c r="U23">
        <f>IF((ContinuousStatsTable[[#This Row],[RepsRequested]]&gt;1),ContinuousStatsTable[[#This Row],[HalfWidth]],ContinuousStatsTable[[#This Row],[BatchMeansHalfWidth]])</f>
        <v>2E+20</v>
      </c>
    </row>
    <row r="24" spans="1:21" x14ac:dyDescent="0.35">
      <c r="A24" t="s">
        <v>67</v>
      </c>
      <c r="B24" t="s">
        <v>69</v>
      </c>
      <c r="C24">
        <v>1</v>
      </c>
      <c r="D24" t="s">
        <v>81</v>
      </c>
      <c r="E24" t="s">
        <v>110</v>
      </c>
      <c r="F24" t="s">
        <v>72</v>
      </c>
      <c r="G24">
        <v>0</v>
      </c>
      <c r="H24">
        <v>2E+20</v>
      </c>
      <c r="I24">
        <v>0</v>
      </c>
      <c r="J24">
        <v>0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ProjectPut Bike in Dock C.QueueNumber WaitingQueue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1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0</v>
      </c>
      <c r="U24">
        <f>IF((ContinuousStatsTable[[#This Row],[RepsRequested]]&gt;1),ContinuousStatsTable[[#This Row],[HalfWidth]],ContinuousStatsTable[[#This Row],[BatchMeansHalfWidth]])</f>
        <v>2E+20</v>
      </c>
    </row>
    <row r="25" spans="1:21" x14ac:dyDescent="0.35">
      <c r="A25" t="s">
        <v>67</v>
      </c>
      <c r="B25" t="s">
        <v>69</v>
      </c>
      <c r="C25">
        <v>1</v>
      </c>
      <c r="D25" t="s">
        <v>82</v>
      </c>
      <c r="E25" t="s">
        <v>110</v>
      </c>
      <c r="F25" t="s">
        <v>72</v>
      </c>
      <c r="G25">
        <v>0</v>
      </c>
      <c r="H25">
        <v>2E+20</v>
      </c>
      <c r="I25">
        <v>0</v>
      </c>
      <c r="J25">
        <v>0</v>
      </c>
      <c r="K25">
        <v>0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ProjectPut Bike in Dock D.QueueNumber WaitingQueue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1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0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0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0</v>
      </c>
      <c r="U25">
        <f>IF((ContinuousStatsTable[[#This Row],[RepsRequested]]&gt;1),ContinuousStatsTable[[#This Row],[HalfWidth]],ContinuousStatsTable[[#This Row],[BatchMeansHalfWidth]])</f>
        <v>2E+20</v>
      </c>
    </row>
    <row r="26" spans="1:21" x14ac:dyDescent="0.35">
      <c r="A26" t="s">
        <v>67</v>
      </c>
      <c r="B26" t="s">
        <v>69</v>
      </c>
      <c r="C26">
        <v>1</v>
      </c>
      <c r="D26" t="s">
        <v>83</v>
      </c>
      <c r="E26" t="s">
        <v>110</v>
      </c>
      <c r="F26" t="s">
        <v>72</v>
      </c>
      <c r="G26">
        <v>0</v>
      </c>
      <c r="H26">
        <v>2E+20</v>
      </c>
      <c r="I26">
        <v>0</v>
      </c>
      <c r="J26">
        <v>0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ProjectPut Bike in Dock.QueueNumber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1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0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0</v>
      </c>
      <c r="U26">
        <f>IF((ContinuousStatsTable[[#This Row],[RepsRequested]]&gt;1),ContinuousStatsTable[[#This Row],[HalfWidth]],ContinuousStatsTable[[#This Row],[BatchMeansHalfWidth]])</f>
        <v>2E+20</v>
      </c>
    </row>
    <row r="27" spans="1:21" x14ac:dyDescent="0.35">
      <c r="A27" t="s">
        <v>67</v>
      </c>
      <c r="B27" t="s">
        <v>69</v>
      </c>
      <c r="C27">
        <v>1</v>
      </c>
      <c r="D27" t="s">
        <v>84</v>
      </c>
      <c r="E27" t="s">
        <v>101</v>
      </c>
      <c r="F27" t="s">
        <v>86</v>
      </c>
      <c r="G27">
        <v>31.804355385934599</v>
      </c>
      <c r="H27">
        <v>2E+20</v>
      </c>
      <c r="I27">
        <v>0</v>
      </c>
      <c r="J27">
        <v>49</v>
      </c>
      <c r="K27">
        <v>32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ProjectTouristWIPEntity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1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31.804355385934599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31.804355385934599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31.804355385934599</v>
      </c>
      <c r="U27">
        <f>IF((ContinuousStatsTable[[#This Row],[RepsRequested]]&gt;1),ContinuousStatsTable[[#This Row],[HalfWidth]],ContinuousStatsTable[[#This Row],[BatchMeansHalfWidth]])</f>
        <v>2E+20</v>
      </c>
    </row>
    <row r="28" spans="1:21" x14ac:dyDescent="0.35">
      <c r="A28" t="s">
        <v>67</v>
      </c>
      <c r="B28" t="s">
        <v>69</v>
      </c>
      <c r="C28">
        <v>1</v>
      </c>
      <c r="D28" t="s">
        <v>92</v>
      </c>
      <c r="E28" t="s">
        <v>110</v>
      </c>
      <c r="F28" t="s">
        <v>72</v>
      </c>
      <c r="G28">
        <v>0</v>
      </c>
      <c r="H28">
        <v>2E+20</v>
      </c>
      <c r="I28">
        <v>0</v>
      </c>
      <c r="J28">
        <v>0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ProjectWait for a Free Bike A.QueueNumber WaitingQueue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1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</v>
      </c>
      <c r="U28">
        <f>IF((ContinuousStatsTable[[#This Row],[RepsRequested]]&gt;1),ContinuousStatsTable[[#This Row],[HalfWidth]],ContinuousStatsTable[[#This Row],[BatchMeansHalfWidth]])</f>
        <v>2E+20</v>
      </c>
    </row>
    <row r="29" spans="1:21" x14ac:dyDescent="0.35">
      <c r="A29" t="s">
        <v>67</v>
      </c>
      <c r="B29" t="s">
        <v>69</v>
      </c>
      <c r="C29">
        <v>1</v>
      </c>
      <c r="D29" t="s">
        <v>93</v>
      </c>
      <c r="E29" t="s">
        <v>110</v>
      </c>
      <c r="F29" t="s">
        <v>72</v>
      </c>
      <c r="G29">
        <v>0</v>
      </c>
      <c r="H29">
        <v>2E+20</v>
      </c>
      <c r="I29">
        <v>0</v>
      </c>
      <c r="J29">
        <v>0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ProjectWait for a Free Bike B.QueueNumber WaitingQueue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1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0</v>
      </c>
      <c r="U29">
        <f>IF((ContinuousStatsTable[[#This Row],[RepsRequested]]&gt;1),ContinuousStatsTable[[#This Row],[HalfWidth]],ContinuousStatsTable[[#This Row],[BatchMeansHalfWidth]])</f>
        <v>2E+20</v>
      </c>
    </row>
    <row r="30" spans="1:21" x14ac:dyDescent="0.35">
      <c r="A30" t="s">
        <v>67</v>
      </c>
      <c r="B30" t="s">
        <v>69</v>
      </c>
      <c r="C30">
        <v>1</v>
      </c>
      <c r="D30" t="s">
        <v>94</v>
      </c>
      <c r="E30" t="s">
        <v>110</v>
      </c>
      <c r="F30" t="s">
        <v>72</v>
      </c>
      <c r="G30">
        <v>0</v>
      </c>
      <c r="H30">
        <v>2E+20</v>
      </c>
      <c r="I30">
        <v>0</v>
      </c>
      <c r="J30">
        <v>0</v>
      </c>
      <c r="K30">
        <v>0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ProjectWait for a Free Bike C.QueueNumber WaitingQueue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1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0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0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0</v>
      </c>
      <c r="U30">
        <f>IF((ContinuousStatsTable[[#This Row],[RepsRequested]]&gt;1),ContinuousStatsTable[[#This Row],[HalfWidth]],ContinuousStatsTable[[#This Row],[BatchMeansHalfWidth]])</f>
        <v>2E+20</v>
      </c>
    </row>
    <row r="31" spans="1:21" x14ac:dyDescent="0.35">
      <c r="A31" t="s">
        <v>67</v>
      </c>
      <c r="B31" t="s">
        <v>69</v>
      </c>
      <c r="C31">
        <v>1</v>
      </c>
      <c r="D31" t="s">
        <v>95</v>
      </c>
      <c r="E31" t="s">
        <v>110</v>
      </c>
      <c r="F31" t="s">
        <v>72</v>
      </c>
      <c r="G31">
        <v>0</v>
      </c>
      <c r="H31">
        <v>2E+20</v>
      </c>
      <c r="I31">
        <v>0</v>
      </c>
      <c r="J31">
        <v>0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ProjectWait for a Free Bike D.QueueNumber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1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0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0</v>
      </c>
      <c r="U31">
        <f>IF((ContinuousStatsTable[[#This Row],[RepsRequested]]&gt;1),ContinuousStatsTable[[#This Row],[HalfWidth]],ContinuousStatsTable[[#This Row],[BatchMeansHalfWidth]])</f>
        <v>2E+20</v>
      </c>
    </row>
    <row r="32" spans="1:21" x14ac:dyDescent="0.35">
      <c r="A32" t="s">
        <v>67</v>
      </c>
      <c r="B32" t="s">
        <v>69</v>
      </c>
      <c r="C32">
        <v>1</v>
      </c>
      <c r="D32" t="s">
        <v>96</v>
      </c>
      <c r="E32" t="s">
        <v>110</v>
      </c>
      <c r="F32" t="s">
        <v>72</v>
      </c>
      <c r="G32">
        <v>0.23996497703464301</v>
      </c>
      <c r="H32">
        <v>2E+20</v>
      </c>
      <c r="I32">
        <v>0</v>
      </c>
      <c r="J32">
        <v>4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ProjectWait for free dock A.QueueNumber WaitingQueue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1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0.23996497703464301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0.23996497703464301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0.23996497703464301</v>
      </c>
      <c r="U32">
        <f>IF((ContinuousStatsTable[[#This Row],[RepsRequested]]&gt;1),ContinuousStatsTable[[#This Row],[HalfWidth]],ContinuousStatsTable[[#This Row],[BatchMeansHalfWidth]])</f>
        <v>2E+20</v>
      </c>
    </row>
    <row r="33" spans="1:21" x14ac:dyDescent="0.35">
      <c r="A33" t="s">
        <v>67</v>
      </c>
      <c r="B33" t="s">
        <v>69</v>
      </c>
      <c r="C33">
        <v>1</v>
      </c>
      <c r="D33" t="s">
        <v>97</v>
      </c>
      <c r="E33" t="s">
        <v>110</v>
      </c>
      <c r="F33" t="s">
        <v>72</v>
      </c>
      <c r="G33">
        <v>0.29878411330610899</v>
      </c>
      <c r="H33">
        <v>2E+20</v>
      </c>
      <c r="I33">
        <v>0</v>
      </c>
      <c r="J33">
        <v>8</v>
      </c>
      <c r="K33">
        <v>7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ProjectWait for free dock B.QueueNumber WaitingQueue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1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0.29878411330610899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0.29878411330610899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0.29878411330610899</v>
      </c>
      <c r="U33">
        <f>IF((ContinuousStatsTable[[#This Row],[RepsRequested]]&gt;1),ContinuousStatsTable[[#This Row],[HalfWidth]],ContinuousStatsTable[[#This Row],[BatchMeansHalfWidth]])</f>
        <v>2E+20</v>
      </c>
    </row>
    <row r="34" spans="1:21" x14ac:dyDescent="0.35">
      <c r="A34" t="s">
        <v>67</v>
      </c>
      <c r="B34" t="s">
        <v>69</v>
      </c>
      <c r="C34">
        <v>1</v>
      </c>
      <c r="D34" t="s">
        <v>98</v>
      </c>
      <c r="E34" t="s">
        <v>110</v>
      </c>
      <c r="F34" t="s">
        <v>72</v>
      </c>
      <c r="G34">
        <v>3.1408530452138201</v>
      </c>
      <c r="H34">
        <v>2E+20</v>
      </c>
      <c r="I34">
        <v>0</v>
      </c>
      <c r="J34">
        <v>11</v>
      </c>
      <c r="K34">
        <v>0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ProjectWait for free dock C.QueueNumber WaitingQueue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1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3.1408530452138201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3.1408530452138201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3.1408530452138201</v>
      </c>
      <c r="U34">
        <f>IF((ContinuousStatsTable[[#This Row],[RepsRequested]]&gt;1),ContinuousStatsTable[[#This Row],[HalfWidth]],ContinuousStatsTable[[#This Row],[BatchMeansHalfWidth]])</f>
        <v>2E+20</v>
      </c>
    </row>
    <row r="35" spans="1:21" x14ac:dyDescent="0.35">
      <c r="A35" t="s">
        <v>67</v>
      </c>
      <c r="B35" t="s">
        <v>69</v>
      </c>
      <c r="C35">
        <v>1</v>
      </c>
      <c r="D35" t="s">
        <v>99</v>
      </c>
      <c r="E35" t="s">
        <v>110</v>
      </c>
      <c r="F35" t="s">
        <v>72</v>
      </c>
      <c r="G35">
        <v>0.611974429229867</v>
      </c>
      <c r="H35">
        <v>2E+20</v>
      </c>
      <c r="I35">
        <v>0</v>
      </c>
      <c r="J35">
        <v>3</v>
      </c>
      <c r="K35">
        <v>0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ProjectWait for free dock D.QueueNumber WaitingQueue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1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0.611974429229867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0.611974429229867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0.611974429229867</v>
      </c>
      <c r="U3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35">
    <cfRule type="expression" dxfId="10" priority="9">
      <formula>H2=200000000000000000000</formula>
    </cfRule>
  </conditionalFormatting>
  <conditionalFormatting sqref="H2:H35">
    <cfRule type="expression" dxfId="9" priority="7">
      <formula>H2=300000000000000000000</formula>
    </cfRule>
  </conditionalFormatting>
  <conditionalFormatting sqref="M2:U35">
    <cfRule type="expression" dxfId="8" priority="5">
      <formula>MOD(ROW(),2)=0</formula>
    </cfRule>
  </conditionalFormatting>
  <conditionalFormatting sqref="U2:U35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:R35 U2:U35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4" priority="2">
      <formula>MOD(ROW(),2)=0</formula>
    </cfRule>
  </conditionalFormatting>
  <conditionalFormatting sqref="M2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4"/>
  <sheetViews>
    <sheetView workbookViewId="0">
      <selection activeCell="H2" sqref="H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4.906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5.179687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67</v>
      </c>
      <c r="B2" t="s">
        <v>69</v>
      </c>
      <c r="C2">
        <v>1</v>
      </c>
      <c r="D2" t="s">
        <v>111</v>
      </c>
      <c r="E2" t="s">
        <v>112</v>
      </c>
      <c r="F2" t="s">
        <v>86</v>
      </c>
      <c r="G2">
        <v>577</v>
      </c>
      <c r="H2">
        <v>0</v>
      </c>
      <c r="I2" t="str">
        <f>OutputTable[[#This Row],[ProjectName]]&amp;OutputTable[[#This Row],[Name]]&amp;OutputTable[[#This Row],[Type]]&amp;OutputTable[[#This Row],[Source]]</f>
        <v>Unnamed ProjectBike.NumberInNumber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577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577</v>
      </c>
      <c r="P2" cm="1">
        <f t="array" ref="P2">MAX(IF((OutputTable[GroupByKey]=OutputTable[[#This Row],[GroupByKey]]),(OutputTable[GroupByKey]=OutputTable[[#This Row],[GroupByKey]])*OutputTable[RecordedValue]))</f>
        <v>577</v>
      </c>
    </row>
    <row r="3" spans="1:16" x14ac:dyDescent="0.35">
      <c r="A3" t="s">
        <v>67</v>
      </c>
      <c r="B3" t="s">
        <v>69</v>
      </c>
      <c r="C3">
        <v>1</v>
      </c>
      <c r="D3" t="s">
        <v>113</v>
      </c>
      <c r="E3" t="s">
        <v>114</v>
      </c>
      <c r="F3" t="s">
        <v>86</v>
      </c>
      <c r="G3">
        <v>248</v>
      </c>
      <c r="H3">
        <v>0</v>
      </c>
      <c r="I3" t="str">
        <f>OutputTable[[#This Row],[ProjectName]]&amp;OutputTable[[#This Row],[Name]]&amp;OutputTable[[#This Row],[Type]]&amp;OutputTable[[#This Row],[Source]]</f>
        <v>Unnamed ProjectBike.NumberOutNumber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248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248</v>
      </c>
      <c r="P3" cm="1">
        <f t="array" ref="P3">MAX(IF((OutputTable[GroupByKey]=OutputTable[[#This Row],[GroupByKey]]),(OutputTable[GroupByKey]=OutputTable[[#This Row],[GroupByKey]])*OutputTable[RecordedValue]))</f>
        <v>248</v>
      </c>
    </row>
    <row r="4" spans="1:16" x14ac:dyDescent="0.35">
      <c r="A4" t="s">
        <v>67</v>
      </c>
      <c r="B4" t="s">
        <v>69</v>
      </c>
      <c r="C4">
        <v>1</v>
      </c>
      <c r="D4" t="s">
        <v>115</v>
      </c>
      <c r="E4" t="s">
        <v>116</v>
      </c>
      <c r="F4" t="s">
        <v>104</v>
      </c>
      <c r="G4">
        <v>148</v>
      </c>
      <c r="H4">
        <v>0</v>
      </c>
      <c r="I4" t="str">
        <f>OutputTable[[#This Row],[ProjectName]]&amp;OutputTable[[#This Row],[Name]]&amp;OutputTable[[#This Row],[Type]]&amp;OutputTable[[#This Row],[Source]]</f>
        <v>Unnamed ProjectDock_A.NumberSeizedTotal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148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148</v>
      </c>
      <c r="P4" cm="1">
        <f t="array" ref="P4">MAX(IF((OutputTable[GroupByKey]=OutputTable[[#This Row],[GroupByKey]]),(OutputTable[GroupByKey]=OutputTable[[#This Row],[GroupByKey]])*OutputTable[RecordedValue]))</f>
        <v>148</v>
      </c>
    </row>
    <row r="5" spans="1:16" x14ac:dyDescent="0.35">
      <c r="A5" t="s">
        <v>67</v>
      </c>
      <c r="B5" t="s">
        <v>69</v>
      </c>
      <c r="C5">
        <v>1</v>
      </c>
      <c r="D5" t="s">
        <v>117</v>
      </c>
      <c r="E5" t="s">
        <v>118</v>
      </c>
      <c r="F5" t="s">
        <v>104</v>
      </c>
      <c r="G5">
        <v>0.97178783252283496</v>
      </c>
      <c r="H5">
        <v>0</v>
      </c>
      <c r="I5" t="str">
        <f>OutputTable[[#This Row],[ProjectName]]&amp;OutputTable[[#This Row],[Name]]&amp;OutputTable[[#This Row],[Type]]&amp;OutputTable[[#This Row],[Source]]</f>
        <v>Unnamed ProjectDock_A.ScheduledUtilizationScheduled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0.97178783252283496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0.97178783252283496</v>
      </c>
      <c r="P5" cm="1">
        <f t="array" ref="P5">MAX(IF((OutputTable[GroupByKey]=OutputTable[[#This Row],[GroupByKey]]),(OutputTable[GroupByKey]=OutputTable[[#This Row],[GroupByKey]])*OutputTable[RecordedValue]))</f>
        <v>0.97178783252283496</v>
      </c>
    </row>
    <row r="6" spans="1:16" x14ac:dyDescent="0.35">
      <c r="A6" t="s">
        <v>67</v>
      </c>
      <c r="B6" t="s">
        <v>69</v>
      </c>
      <c r="C6">
        <v>1</v>
      </c>
      <c r="D6" t="s">
        <v>119</v>
      </c>
      <c r="E6" t="s">
        <v>116</v>
      </c>
      <c r="F6" t="s">
        <v>104</v>
      </c>
      <c r="G6">
        <v>141</v>
      </c>
      <c r="H6">
        <v>0</v>
      </c>
      <c r="I6" t="str">
        <f>OutputTable[[#This Row],[ProjectName]]&amp;OutputTable[[#This Row],[Name]]&amp;OutputTable[[#This Row],[Type]]&amp;OutputTable[[#This Row],[Source]]</f>
        <v>Unnamed ProjectDock_B.NumberSeizedTotal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141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141</v>
      </c>
      <c r="P6" cm="1">
        <f t="array" ref="P6">MAX(IF((OutputTable[GroupByKey]=OutputTable[[#This Row],[GroupByKey]]),(OutputTable[GroupByKey]=OutputTable[[#This Row],[GroupByKey]])*OutputTable[RecordedValue]))</f>
        <v>141</v>
      </c>
    </row>
    <row r="7" spans="1:16" x14ac:dyDescent="0.35">
      <c r="A7" t="s">
        <v>67</v>
      </c>
      <c r="B7" t="s">
        <v>69</v>
      </c>
      <c r="C7">
        <v>1</v>
      </c>
      <c r="D7" t="s">
        <v>120</v>
      </c>
      <c r="E7" t="s">
        <v>118</v>
      </c>
      <c r="F7" t="s">
        <v>104</v>
      </c>
      <c r="G7">
        <v>0.95583036262113796</v>
      </c>
      <c r="H7">
        <v>0</v>
      </c>
      <c r="I7" t="str">
        <f>OutputTable[[#This Row],[ProjectName]]&amp;OutputTable[[#This Row],[Name]]&amp;OutputTable[[#This Row],[Type]]&amp;OutputTable[[#This Row],[Source]]</f>
        <v>Unnamed ProjectDock_B.ScheduledUtilizationScheduled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0.95583036262113796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0.95583036262113796</v>
      </c>
      <c r="P7" cm="1">
        <f t="array" ref="P7">MAX(IF((OutputTable[GroupByKey]=OutputTable[[#This Row],[GroupByKey]]),(OutputTable[GroupByKey]=OutputTable[[#This Row],[GroupByKey]])*OutputTable[RecordedValue]))</f>
        <v>0.95583036262113796</v>
      </c>
    </row>
    <row r="8" spans="1:16" x14ac:dyDescent="0.35">
      <c r="A8" t="s">
        <v>67</v>
      </c>
      <c r="B8" t="s">
        <v>69</v>
      </c>
      <c r="C8">
        <v>1</v>
      </c>
      <c r="D8" t="s">
        <v>121</v>
      </c>
      <c r="E8" t="s">
        <v>116</v>
      </c>
      <c r="F8" t="s">
        <v>104</v>
      </c>
      <c r="G8">
        <v>140</v>
      </c>
      <c r="H8">
        <v>0</v>
      </c>
      <c r="I8" t="str">
        <f>OutputTable[[#This Row],[ProjectName]]&amp;OutputTable[[#This Row],[Name]]&amp;OutputTable[[#This Row],[Type]]&amp;OutputTable[[#This Row],[Source]]</f>
        <v>Unnamed ProjectDock_C.NumberSeizedTotal Number SeizedResource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140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140</v>
      </c>
      <c r="P8" cm="1">
        <f t="array" ref="P8">MAX(IF((OutputTable[GroupByKey]=OutputTable[[#This Row],[GroupByKey]]),(OutputTable[GroupByKey]=OutputTable[[#This Row],[GroupByKey]])*OutputTable[RecordedValue]))</f>
        <v>140</v>
      </c>
    </row>
    <row r="9" spans="1:16" x14ac:dyDescent="0.35">
      <c r="A9" t="s">
        <v>67</v>
      </c>
      <c r="B9" t="s">
        <v>69</v>
      </c>
      <c r="C9">
        <v>1</v>
      </c>
      <c r="D9" t="s">
        <v>122</v>
      </c>
      <c r="E9" t="s">
        <v>118</v>
      </c>
      <c r="F9" t="s">
        <v>104</v>
      </c>
      <c r="G9">
        <v>0.99971391861735304</v>
      </c>
      <c r="H9">
        <v>0</v>
      </c>
      <c r="I9" t="str">
        <f>OutputTable[[#This Row],[ProjectName]]&amp;OutputTable[[#This Row],[Name]]&amp;OutputTable[[#This Row],[Type]]&amp;OutputTable[[#This Row],[Source]]</f>
        <v>Unnamed ProjectDock_C.ScheduledUtilizationScheduled UtilizationResource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0.99971391861735304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0.99971391861735304</v>
      </c>
      <c r="P9" cm="1">
        <f t="array" ref="P9">MAX(IF((OutputTable[GroupByKey]=OutputTable[[#This Row],[GroupByKey]]),(OutputTable[GroupByKey]=OutputTable[[#This Row],[GroupByKey]])*OutputTable[RecordedValue]))</f>
        <v>0.99971391861735304</v>
      </c>
    </row>
    <row r="10" spans="1:16" x14ac:dyDescent="0.35">
      <c r="A10" t="s">
        <v>67</v>
      </c>
      <c r="B10" t="s">
        <v>69</v>
      </c>
      <c r="C10">
        <v>1</v>
      </c>
      <c r="D10" t="s">
        <v>123</v>
      </c>
      <c r="E10" t="s">
        <v>116</v>
      </c>
      <c r="F10" t="s">
        <v>104</v>
      </c>
      <c r="G10">
        <v>139</v>
      </c>
      <c r="H10">
        <v>0</v>
      </c>
      <c r="I10" t="str">
        <f>OutputTable[[#This Row],[ProjectName]]&amp;OutputTable[[#This Row],[Name]]&amp;OutputTable[[#This Row],[Type]]&amp;OutputTable[[#This Row],[Source]]</f>
        <v>Unnamed ProjectDock_D.NumberSeizedTotal Number SeizedResource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139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139</v>
      </c>
      <c r="P10" cm="1">
        <f t="array" ref="P10">MAX(IF((OutputTable[GroupByKey]=OutputTable[[#This Row],[GroupByKey]]),(OutputTable[GroupByKey]=OutputTable[[#This Row],[GroupByKey]])*OutputTable[RecordedValue]))</f>
        <v>139</v>
      </c>
    </row>
    <row r="11" spans="1:16" x14ac:dyDescent="0.35">
      <c r="A11" t="s">
        <v>67</v>
      </c>
      <c r="B11" t="s">
        <v>69</v>
      </c>
      <c r="C11">
        <v>1</v>
      </c>
      <c r="D11" t="s">
        <v>124</v>
      </c>
      <c r="E11" t="s">
        <v>118</v>
      </c>
      <c r="F11" t="s">
        <v>104</v>
      </c>
      <c r="G11">
        <v>0.97630114796398204</v>
      </c>
      <c r="H11">
        <v>0</v>
      </c>
      <c r="I11" t="str">
        <f>OutputTable[[#This Row],[ProjectName]]&amp;OutputTable[[#This Row],[Name]]&amp;OutputTable[[#This Row],[Type]]&amp;OutputTable[[#This Row],[Source]]</f>
        <v>Unnamed ProjectDock_D.ScheduledUtilizationScheduled UtilizationResource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0.97630114796398204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0.97630114796398204</v>
      </c>
      <c r="P11" cm="1">
        <f t="array" ref="P11">MAX(IF((OutputTable[GroupByKey]=OutputTable[[#This Row],[GroupByKey]]),(OutputTable[GroupByKey]=OutputTable[[#This Row],[GroupByKey]])*OutputTable[RecordedValue]))</f>
        <v>0.97630114796398204</v>
      </c>
    </row>
    <row r="12" spans="1:16" x14ac:dyDescent="0.35">
      <c r="A12" t="s">
        <v>67</v>
      </c>
      <c r="B12" t="s">
        <v>69</v>
      </c>
      <c r="C12">
        <v>1</v>
      </c>
      <c r="D12" t="s">
        <v>125</v>
      </c>
      <c r="E12" t="s">
        <v>114</v>
      </c>
      <c r="F12" t="s">
        <v>126</v>
      </c>
      <c r="G12">
        <v>121</v>
      </c>
      <c r="H12">
        <v>0</v>
      </c>
      <c r="I12" t="str">
        <f>OutputTable[[#This Row],[ProjectName]]&amp;OutputTable[[#This Row],[Name]]&amp;OutputTable[[#This Row],[Type]]&amp;OutputTable[[#This Row],[Source]]</f>
        <v>Unnamed ProjectSystem.NumberOutNumber OutSystem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121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121</v>
      </c>
      <c r="P12" cm="1">
        <f t="array" ref="P12">MAX(IF((OutputTable[GroupByKey]=OutputTable[[#This Row],[GroupByKey]]),(OutputTable[GroupByKey]=OutputTable[[#This Row],[GroupByKey]])*OutputTable[RecordedValue]))</f>
        <v>121</v>
      </c>
    </row>
    <row r="13" spans="1:16" x14ac:dyDescent="0.35">
      <c r="A13" t="s">
        <v>67</v>
      </c>
      <c r="B13" t="s">
        <v>69</v>
      </c>
      <c r="C13">
        <v>1</v>
      </c>
      <c r="D13" t="s">
        <v>127</v>
      </c>
      <c r="E13" t="s">
        <v>112</v>
      </c>
      <c r="F13" t="s">
        <v>86</v>
      </c>
      <c r="G13">
        <v>153</v>
      </c>
      <c r="H13">
        <v>0</v>
      </c>
      <c r="I13" t="str">
        <f>OutputTable[[#This Row],[ProjectName]]&amp;OutputTable[[#This Row],[Name]]&amp;OutputTable[[#This Row],[Type]]&amp;OutputTable[[#This Row],[Source]]</f>
        <v>Unnamed ProjectTourist.NumberInNumber InEntity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1</v>
      </c>
      <c r="K13" cm="1">
        <f t="array" ref="K13">IFERROR(AVERAGE(IF((OutputTable[GroupByKey]=OutputTable[[#This Row],[GroupByKey]]),(OutputTable[GroupByKey]=OutputTable[[#This Row],[GroupByKey]])*OutputTable[RecordedValue])),0)</f>
        <v>153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3" cm="1">
        <f t="array" ref="O13">MIN(IF((OutputTable[GroupByKey]=OutputTable[[#This Row],[GroupByKey]]),(OutputTable[GroupByKey]=OutputTable[[#This Row],[GroupByKey]])*OutputTable[RecordedValue]))</f>
        <v>153</v>
      </c>
      <c r="P13" cm="1">
        <f t="array" ref="P13">MAX(IF((OutputTable[GroupByKey]=OutputTable[[#This Row],[GroupByKey]]),(OutputTable[GroupByKey]=OutputTable[[#This Row],[GroupByKey]])*OutputTable[RecordedValue]))</f>
        <v>153</v>
      </c>
    </row>
    <row r="14" spans="1:16" x14ac:dyDescent="0.35">
      <c r="A14" t="s">
        <v>67</v>
      </c>
      <c r="B14" t="s">
        <v>69</v>
      </c>
      <c r="C14">
        <v>1</v>
      </c>
      <c r="D14" t="s">
        <v>128</v>
      </c>
      <c r="E14" t="s">
        <v>114</v>
      </c>
      <c r="F14" t="s">
        <v>86</v>
      </c>
      <c r="G14">
        <v>121</v>
      </c>
      <c r="H14">
        <v>0</v>
      </c>
      <c r="I14" t="str">
        <f>OutputTable[[#This Row],[ProjectName]]&amp;OutputTable[[#This Row],[Name]]&amp;OutputTable[[#This Row],[Type]]&amp;OutputTable[[#This Row],[Source]]</f>
        <v>Unnamed ProjectTourist.NumberOutNumber OutEntity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1</v>
      </c>
      <c r="K14" cm="1">
        <f t="array" ref="K14">IFERROR(AVERAGE(IF((OutputTable[GroupByKey]=OutputTable[[#This Row],[GroupByKey]]),(OutputTable[GroupByKey]=OutputTable[[#This Row],[GroupByKey]])*OutputTable[RecordedValue])),0)</f>
        <v>121</v>
      </c>
      <c r="L14" cm="1">
        <f t="array" ref="L14">IFERROR(_xlfn.STDEV.S(IF((OutputTable[GroupByKey]=OutputTable[[#This Row],[GroupByKey]]),(OutputTable[GroupByKey]=OutputTable[[#This Row],[GroupByKey]])*OutputTable[RecordedValue])),0)</f>
        <v>0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4" cm="1">
        <f t="array" ref="O14">MIN(IF((OutputTable[GroupByKey]=OutputTable[[#This Row],[GroupByKey]]),(OutputTable[GroupByKey]=OutputTable[[#This Row],[GroupByKey]])*OutputTable[RecordedValue]))</f>
        <v>121</v>
      </c>
      <c r="P14" cm="1">
        <f t="array" ref="P14">MAX(IF((OutputTable[GroupByKey]=OutputTable[[#This Row],[GroupByKey]]),(OutputTable[GroupByKey]=OutputTable[[#This Row],[GroupByKey]])*OutputTable[RecordedValue]))</f>
        <v>121</v>
      </c>
    </row>
  </sheetData>
  <phoneticPr fontId="2" type="noConversion"/>
  <conditionalFormatting sqref="I2:P14">
    <cfRule type="expression" dxfId="2" priority="2">
      <formula>MOD(ROW(),2)=0</formula>
    </cfRule>
  </conditionalFormatting>
  <conditionalFormatting sqref="N2:N14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3.36328125" bestFit="1" customWidth="1"/>
    <col min="12" max="12" width="28.36328125" bestFit="1" customWidth="1"/>
    <col min="13" max="13" width="29.1796875" bestFit="1" customWidth="1"/>
    <col min="14" max="14" width="16.08984375" bestFit="1" customWidth="1"/>
    <col min="15" max="15" width="27.08984375" bestFit="1" customWidth="1"/>
    <col min="16" max="16" width="28" bestFit="1" customWidth="1"/>
    <col min="17" max="17" width="29.1796875" bestFit="1" customWidth="1"/>
    <col min="18" max="18" width="28.36328125" bestFit="1" customWidth="1"/>
    <col min="19" max="19" width="26.1796875" bestFit="1" customWidth="1"/>
    <col min="20" max="20" width="29.90625" bestFit="1" customWidth="1"/>
    <col min="21" max="21" width="31.90625" bestFit="1" customWidth="1"/>
    <col min="22" max="22" width="32.0898437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Vaibhav Deb</cp:lastModifiedBy>
  <cp:lastPrinted>2022-03-22T10:33:10Z</cp:lastPrinted>
  <dcterms:created xsi:type="dcterms:W3CDTF">2020-06-29T21:30:31Z</dcterms:created>
  <dcterms:modified xsi:type="dcterms:W3CDTF">2025-03-21T10:06:22Z</dcterms:modified>
</cp:coreProperties>
</file>